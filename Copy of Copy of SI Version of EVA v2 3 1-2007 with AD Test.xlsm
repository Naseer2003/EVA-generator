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hartsheets/sheet3.xml" ContentType="application/vnd.openxmlformats-officedocument.spreadsheetml.chart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4D1C537B-E38A-612A-F078-A93A15B4B7F4}"/>
  <workbookPr codeName="ThisWorkbook"/>
  <mc:AlternateContent xmlns:mc="http://schemas.openxmlformats.org/markup-compatibility/2006">
    <mc:Choice Requires="x15">
      <x15ac:absPath xmlns:x15ac="http://schemas.microsoft.com/office/spreadsheetml/2010/11/ac" url="C:\Users\1073055\Desktop\"/>
    </mc:Choice>
  </mc:AlternateContent>
  <xr:revisionPtr revIDLastSave="0" documentId="8_{92B6F1AB-DDF9-4BE2-8E35-77D5480F1FC1}" xr6:coauthVersionLast="47" xr6:coauthVersionMax="47" xr10:uidLastSave="{00000000-0000-0000-0000-000000000000}"/>
  <bookViews>
    <workbookView xWindow="-108" yWindow="-108" windowWidth="23256" windowHeight="13896" tabRatio="799" firstSheet="1" activeTab="7" xr2:uid="{00000000-000D-0000-FFFF-FFFF00000000}"/>
  </bookViews>
  <sheets>
    <sheet name="Instructions" sheetId="11" r:id="rId1"/>
    <sheet name="Main" sheetId="6" r:id="rId2"/>
    <sheet name="EVA Calcs" sheetId="1" r:id="rId3"/>
    <sheet name="EVA Reduced Variate Plot" sheetId="5" r:id="rId4"/>
    <sheet name="EVA Cumulative Probability Plot" sheetId="4" r:id="rId5"/>
    <sheet name="Corrosion Rate &amp; End of Life" sheetId="10" r:id="rId6"/>
    <sheet name="VBAfix" sheetId="7" r:id="rId7"/>
    <sheet name="VBAfix for Office 2007" sheetId="14" r:id="rId8"/>
    <sheet name="PDF and CDF" sheetId="8" state="hidden" r:id="rId9"/>
    <sheet name="HiddenPlotData" sheetId="13" state="hidden" r:id="rId10"/>
    <sheet name="PDF Chart" sheetId="9" state="hidden" r:id="rId11"/>
  </sheets>
  <definedNames>
    <definedName name="Answers">Main!$D$11:$E$22</definedName>
    <definedName name="CR">'Corrosion Rate &amp; End of Life'!$D$20</definedName>
    <definedName name="Crit">'EVA Calcs'!$N$338:$N$339</definedName>
    <definedName name="Date_A" localSheetId="7">'Corrosion Rate &amp; End of Life'!#REF!</definedName>
    <definedName name="Date_A">'Corrosion Rate &amp; End of Life'!#REF!</definedName>
    <definedName name="Date_I">'Corrosion Rate &amp; End of Life'!$C$7</definedName>
    <definedName name="Date_S">'Corrosion Rate &amp; End of Life'!$C$5</definedName>
    <definedName name="DB">'EVA Calcs'!$B$34:$V$335</definedName>
    <definedName name="N">'EVA Calcs'!$C$6</definedName>
    <definedName name="Name">Main!$D$12</definedName>
    <definedName name="Nmeas">'Corrosion Rate &amp; End of Life'!$C$52</definedName>
    <definedName name="NTubes">Main!$D$18</definedName>
    <definedName name="_xlnm.Print_Area" localSheetId="1">Main!$A:$E</definedName>
    <definedName name="solver_adj" localSheetId="2" hidden="1">'EVA Calcs'!$C$16:$C$17</definedName>
    <definedName name="solver_cvg" localSheetId="2" hidden="1">0.001</definedName>
    <definedName name="solver_cvg" localSheetId="1" hidden="1">0.0001</definedName>
    <definedName name="solver_drv" localSheetId="2" hidden="1">1</definedName>
    <definedName name="solver_drv" localSheetId="1" hidden="1">1</definedName>
    <definedName name="solver_est" localSheetId="2" hidden="1">1</definedName>
    <definedName name="solver_est" localSheetId="1" hidden="1">1</definedName>
    <definedName name="solver_itr" localSheetId="2" hidden="1">10000</definedName>
    <definedName name="solver_itr" localSheetId="1" hidden="1">100</definedName>
    <definedName name="solver_lin" localSheetId="2" hidden="1">2</definedName>
    <definedName name="solver_lin" localSheetId="1" hidden="1">2</definedName>
    <definedName name="solver_neg" localSheetId="2" hidden="1">2</definedName>
    <definedName name="solver_neg" localSheetId="1" hidden="1">2</definedName>
    <definedName name="solver_num" localSheetId="2" hidden="1">0</definedName>
    <definedName name="solver_num" localSheetId="1" hidden="1">0</definedName>
    <definedName name="solver_nwt" localSheetId="2" hidden="1">1</definedName>
    <definedName name="solver_nwt" localSheetId="1" hidden="1">1</definedName>
    <definedName name="solver_opt" localSheetId="2" hidden="1">'EVA Calcs'!$C$18</definedName>
    <definedName name="solver_opt" localSheetId="1" hidden="1">Main!$E$3</definedName>
    <definedName name="solver_pre" localSheetId="2" hidden="1">0.000001</definedName>
    <definedName name="solver_pre" localSheetId="1" hidden="1">0.000001</definedName>
    <definedName name="solver_scl" localSheetId="2" hidden="1">1</definedName>
    <definedName name="solver_scl" localSheetId="1" hidden="1">2</definedName>
    <definedName name="solver_sho" localSheetId="2" hidden="1">2</definedName>
    <definedName name="solver_sho" localSheetId="1" hidden="1">2</definedName>
    <definedName name="solver_tim" localSheetId="2" hidden="1">6000</definedName>
    <definedName name="solver_tim" localSheetId="1" hidden="1">100</definedName>
    <definedName name="solver_tol" localSheetId="2" hidden="1">0.05</definedName>
    <definedName name="solver_tol" localSheetId="1" hidden="1">0.05</definedName>
    <definedName name="solver_typ" localSheetId="2" hidden="1">1</definedName>
    <definedName name="solver_typ" localSheetId="1" hidden="1">1</definedName>
    <definedName name="solver_val" localSheetId="2" hidden="1">0</definedName>
    <definedName name="solver_val" localSheetId="1" hidden="1">0</definedName>
    <definedName name="T_80">'EVA Calcs'!$C$22</definedName>
    <definedName name="T_90">'EVA Calcs'!$C$23</definedName>
    <definedName name="T_95">'EVA Calcs'!$C$24</definedName>
    <definedName name="T_99">'EVA Calcs'!$C$25</definedName>
    <definedName name="Teva">'EVA Calcs'!$C$21</definedName>
    <definedName name="Tmin">'Corrosion Rate &amp; End of Life'!$D$17</definedName>
    <definedName name="Torig">Main!$D$15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2" i="6" l="1"/>
  <c r="C24" i="6"/>
  <c r="C16" i="6"/>
  <c r="C8" i="6"/>
  <c r="C7" i="6"/>
  <c r="C5" i="6"/>
  <c r="C2" i="6"/>
  <c r="C35" i="1" s="1"/>
  <c r="C27" i="1"/>
  <c r="C29" i="1" s="1"/>
  <c r="C26" i="1"/>
  <c r="B4" i="10"/>
  <c r="C6" i="10"/>
  <c r="C52" i="10"/>
  <c r="D21" i="6" s="1"/>
  <c r="C5" i="1"/>
  <c r="C6" i="1"/>
  <c r="C7" i="1" s="1"/>
  <c r="C8" i="1" s="1"/>
  <c r="B35" i="1"/>
  <c r="N341" i="1"/>
  <c r="B304" i="13"/>
  <c r="C3" i="6"/>
  <c r="C4" i="6"/>
  <c r="C6" i="6"/>
  <c r="C9" i="6"/>
  <c r="C10" i="6"/>
  <c r="C11" i="6"/>
  <c r="C12" i="6"/>
  <c r="C13" i="6"/>
  <c r="C14" i="6"/>
  <c r="C15" i="6"/>
  <c r="C17" i="6"/>
  <c r="C18" i="6"/>
  <c r="C19" i="6"/>
  <c r="C20" i="6"/>
  <c r="C21" i="6"/>
  <c r="C22" i="6"/>
  <c r="C23" i="6"/>
  <c r="C25" i="6"/>
  <c r="C26" i="6"/>
  <c r="C27" i="6"/>
  <c r="C28" i="6"/>
  <c r="C29" i="6"/>
  <c r="C30" i="6"/>
  <c r="C31" i="6"/>
  <c r="C33" i="6"/>
  <c r="C34" i="6"/>
  <c r="C35" i="6"/>
  <c r="C36" i="6"/>
  <c r="C37" i="6"/>
  <c r="C38" i="6"/>
  <c r="C39" i="6"/>
  <c r="C40" i="6"/>
  <c r="C41" i="6"/>
  <c r="C42" i="6"/>
  <c r="C43" i="6"/>
  <c r="C44" i="6"/>
  <c r="C45" i="6"/>
  <c r="C46" i="6"/>
  <c r="C47" i="6"/>
  <c r="C48" i="6"/>
  <c r="C49" i="6"/>
  <c r="C50" i="6"/>
  <c r="C51" i="6"/>
  <c r="C52" i="6"/>
  <c r="C53" i="6"/>
  <c r="C54" i="6"/>
  <c r="C55" i="6"/>
  <c r="C56" i="6"/>
  <c r="C57" i="6"/>
  <c r="C58" i="6"/>
  <c r="C59" i="6"/>
  <c r="C60" i="6"/>
  <c r="C61" i="6"/>
  <c r="C62" i="6"/>
  <c r="C63" i="6"/>
  <c r="C64" i="6"/>
  <c r="C65" i="6"/>
  <c r="C66" i="6"/>
  <c r="C67" i="6"/>
  <c r="C68" i="6"/>
  <c r="C69" i="6"/>
  <c r="C70" i="6"/>
  <c r="C71" i="6"/>
  <c r="C72" i="6"/>
  <c r="C73" i="6"/>
  <c r="C74" i="6"/>
  <c r="C75" i="6"/>
  <c r="C76" i="6"/>
  <c r="C77" i="6"/>
  <c r="C78" i="6"/>
  <c r="C79" i="6"/>
  <c r="C80" i="6"/>
  <c r="C81" i="6"/>
  <c r="C82" i="6"/>
  <c r="C83" i="6"/>
  <c r="C84" i="6"/>
  <c r="C85" i="6"/>
  <c r="C86" i="6"/>
  <c r="C87" i="6"/>
  <c r="C88" i="6"/>
  <c r="C89" i="6"/>
  <c r="C90" i="6"/>
  <c r="C91" i="6"/>
  <c r="C92" i="6"/>
  <c r="C93" i="6"/>
  <c r="C94" i="6"/>
  <c r="C95" i="6"/>
  <c r="C96" i="6"/>
  <c r="C97" i="6"/>
  <c r="C98" i="6"/>
  <c r="C99" i="6"/>
  <c r="C100" i="6"/>
  <c r="C101" i="6"/>
  <c r="C102" i="6"/>
  <c r="C103" i="6"/>
  <c r="C104" i="6"/>
  <c r="C105" i="6"/>
  <c r="C106" i="6"/>
  <c r="C107" i="6"/>
  <c r="C108" i="6"/>
  <c r="C109" i="6"/>
  <c r="C110" i="6"/>
  <c r="C111" i="6"/>
  <c r="C112" i="6"/>
  <c r="C113" i="6"/>
  <c r="C114" i="6"/>
  <c r="C115" i="6"/>
  <c r="C116" i="6"/>
  <c r="C117" i="6"/>
  <c r="C118" i="6"/>
  <c r="C119" i="6"/>
  <c r="C120" i="6"/>
  <c r="C121" i="6"/>
  <c r="C122" i="6"/>
  <c r="C123" i="6"/>
  <c r="C124" i="6"/>
  <c r="C125" i="6"/>
  <c r="C126" i="6"/>
  <c r="C127" i="6"/>
  <c r="C128" i="6"/>
  <c r="C129" i="6"/>
  <c r="C130" i="6"/>
  <c r="C131" i="6"/>
  <c r="C132" i="6"/>
  <c r="C133" i="6"/>
  <c r="C134" i="6"/>
  <c r="C135" i="6"/>
  <c r="C136" i="6"/>
  <c r="C137" i="6"/>
  <c r="C138" i="6"/>
  <c r="C139" i="6"/>
  <c r="C140" i="6"/>
  <c r="C141" i="6"/>
  <c r="C142" i="6"/>
  <c r="C143" i="6"/>
  <c r="C144" i="6"/>
  <c r="C145" i="6"/>
  <c r="C146" i="6"/>
  <c r="C147" i="6"/>
  <c r="C148" i="6"/>
  <c r="C149" i="6"/>
  <c r="C150" i="6"/>
  <c r="C151" i="6"/>
  <c r="C152" i="6"/>
  <c r="C153" i="6"/>
  <c r="C154" i="6"/>
  <c r="C155" i="6"/>
  <c r="C156" i="6"/>
  <c r="C157" i="6"/>
  <c r="C158" i="6"/>
  <c r="C159" i="6"/>
  <c r="C160" i="6"/>
  <c r="C161" i="6"/>
  <c r="C162" i="6"/>
  <c r="C163" i="6"/>
  <c r="C164" i="6"/>
  <c r="C165" i="6"/>
  <c r="C166" i="6"/>
  <c r="C167" i="6"/>
  <c r="C168" i="6"/>
  <c r="C169" i="6"/>
  <c r="C170" i="6"/>
  <c r="C171" i="6"/>
  <c r="C172" i="6"/>
  <c r="C173" i="6"/>
  <c r="C174" i="6"/>
  <c r="C175" i="6"/>
  <c r="C176" i="6"/>
  <c r="C177" i="6"/>
  <c r="C178" i="6"/>
  <c r="C179" i="6"/>
  <c r="C180" i="6"/>
  <c r="C181" i="6"/>
  <c r="C182" i="6"/>
  <c r="C183" i="6"/>
  <c r="C184" i="6"/>
  <c r="C185" i="6"/>
  <c r="C186" i="6"/>
  <c r="C187" i="6"/>
  <c r="C188" i="6"/>
  <c r="C189" i="6"/>
  <c r="C190" i="6"/>
  <c r="C191" i="6"/>
  <c r="C192" i="6"/>
  <c r="C193" i="6"/>
  <c r="C194" i="6"/>
  <c r="C195" i="6"/>
  <c r="C196" i="6"/>
  <c r="C197" i="6"/>
  <c r="C198" i="6"/>
  <c r="C199" i="6"/>
  <c r="C200" i="6"/>
  <c r="C201" i="6"/>
  <c r="C202" i="6"/>
  <c r="C203" i="6"/>
  <c r="C204" i="6"/>
  <c r="C205" i="6"/>
  <c r="C206" i="6"/>
  <c r="C207" i="6"/>
  <c r="C208" i="6"/>
  <c r="C209" i="6"/>
  <c r="C210" i="6"/>
  <c r="C211" i="6"/>
  <c r="C212" i="6"/>
  <c r="C213" i="6"/>
  <c r="C214" i="6"/>
  <c r="C215" i="6"/>
  <c r="C216" i="6"/>
  <c r="C217" i="6"/>
  <c r="C218" i="6"/>
  <c r="C219" i="6"/>
  <c r="C220" i="6"/>
  <c r="C221" i="6"/>
  <c r="C222" i="6"/>
  <c r="C223" i="6"/>
  <c r="C224" i="6"/>
  <c r="C225" i="6"/>
  <c r="C226" i="6"/>
  <c r="C227" i="6"/>
  <c r="C228" i="6"/>
  <c r="C229" i="6"/>
  <c r="C230" i="6"/>
  <c r="C231" i="6"/>
  <c r="C232" i="6"/>
  <c r="C233" i="6"/>
  <c r="C234" i="6"/>
  <c r="C235" i="6"/>
  <c r="C236" i="6"/>
  <c r="C237" i="6"/>
  <c r="C238" i="6"/>
  <c r="C239" i="6"/>
  <c r="C240" i="6"/>
  <c r="C241" i="6"/>
  <c r="C242" i="6"/>
  <c r="C243" i="6"/>
  <c r="C244" i="6"/>
  <c r="C245" i="6"/>
  <c r="C246" i="6"/>
  <c r="C247" i="6"/>
  <c r="C248" i="6"/>
  <c r="C249" i="6"/>
  <c r="C250" i="6"/>
  <c r="C251" i="6"/>
  <c r="C252" i="6"/>
  <c r="C253" i="6"/>
  <c r="C254" i="6"/>
  <c r="C255" i="6"/>
  <c r="C256" i="6"/>
  <c r="C257" i="6"/>
  <c r="C258" i="6"/>
  <c r="C259" i="6"/>
  <c r="C260"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AB35" i="1"/>
  <c r="AA35" i="1"/>
  <c r="C28" i="1" l="1"/>
  <c r="X35" i="1" s="1"/>
  <c r="AC35" i="1"/>
  <c r="N339" i="1"/>
  <c r="V35" i="1"/>
  <c r="A3" i="13" s="1"/>
  <c r="C19" i="1"/>
  <c r="B159" i="8" s="1"/>
  <c r="D159" i="8" s="1"/>
  <c r="C9" i="1"/>
  <c r="C12" i="1" s="1"/>
  <c r="Q35" i="1"/>
  <c r="R35" i="1" s="1"/>
  <c r="F35" i="1"/>
  <c r="B61" i="8" l="1"/>
  <c r="D61" i="8" s="1"/>
  <c r="B80" i="8"/>
  <c r="D80" i="8" s="1"/>
  <c r="B89" i="8"/>
  <c r="C89" i="8" s="1"/>
  <c r="B183" i="8"/>
  <c r="E183" i="8" s="1"/>
  <c r="B21" i="8"/>
  <c r="E21" i="8" s="1"/>
  <c r="B148" i="8"/>
  <c r="C148" i="8" s="1"/>
  <c r="B62" i="8"/>
  <c r="E62" i="8" s="1"/>
  <c r="B192" i="8"/>
  <c r="E192" i="8" s="1"/>
  <c r="B186" i="8"/>
  <c r="D186" i="8" s="1"/>
  <c r="B67" i="8"/>
  <c r="C67" i="8" s="1"/>
  <c r="B182" i="8"/>
  <c r="E182" i="8" s="1"/>
  <c r="B38" i="8"/>
  <c r="C38" i="8" s="1"/>
  <c r="B11" i="8"/>
  <c r="D11" i="8" s="1"/>
  <c r="B201" i="8"/>
  <c r="E201" i="8" s="1"/>
  <c r="B48" i="8"/>
  <c r="E48" i="8" s="1"/>
  <c r="B145" i="8"/>
  <c r="C145" i="8" s="1"/>
  <c r="B54" i="8"/>
  <c r="E54" i="8" s="1"/>
  <c r="B7" i="8"/>
  <c r="E7" i="8" s="1"/>
  <c r="B119" i="8"/>
  <c r="D119" i="8" s="1"/>
  <c r="B65" i="8"/>
  <c r="E65" i="8" s="1"/>
  <c r="B178" i="8"/>
  <c r="C178" i="8" s="1"/>
  <c r="B14" i="8"/>
  <c r="E14" i="8" s="1"/>
  <c r="B8" i="8"/>
  <c r="E8" i="8" s="1"/>
  <c r="B174" i="8"/>
  <c r="E174" i="8" s="1"/>
  <c r="B153" i="8"/>
  <c r="C153" i="8" s="1"/>
  <c r="B161" i="8"/>
  <c r="E161" i="8" s="1"/>
  <c r="B155" i="8"/>
  <c r="C155" i="8" s="1"/>
  <c r="B40" i="8"/>
  <c r="E40" i="8" s="1"/>
  <c r="B133" i="8"/>
  <c r="C133" i="8" s="1"/>
  <c r="B176" i="8"/>
  <c r="D176" i="8" s="1"/>
  <c r="B34" i="8"/>
  <c r="C34" i="8" s="1"/>
  <c r="B94" i="8"/>
  <c r="E94" i="8" s="1"/>
  <c r="B160" i="8"/>
  <c r="D160" i="8" s="1"/>
  <c r="B198" i="8"/>
  <c r="D198" i="8" s="1"/>
  <c r="B83" i="8"/>
  <c r="D83" i="8" s="1"/>
  <c r="B71" i="8"/>
  <c r="C71" i="8" s="1"/>
  <c r="B100" i="8"/>
  <c r="D100" i="8" s="1"/>
  <c r="B106" i="8"/>
  <c r="D106" i="8" s="1"/>
  <c r="B20" i="8"/>
  <c r="B27" i="8"/>
  <c r="D27" i="8" s="1"/>
  <c r="B124" i="8"/>
  <c r="C124" i="8" s="1"/>
  <c r="B177" i="8"/>
  <c r="D177" i="8" s="1"/>
  <c r="B112" i="8"/>
  <c r="D112" i="8" s="1"/>
  <c r="B149" i="8"/>
  <c r="D149" i="8" s="1"/>
  <c r="B134" i="8"/>
  <c r="C134" i="8" s="1"/>
  <c r="B139" i="8"/>
  <c r="C139" i="8" s="1"/>
  <c r="B29" i="8"/>
  <c r="E29" i="8" s="1"/>
  <c r="B128" i="8"/>
  <c r="E128" i="8" s="1"/>
  <c r="B81" i="8"/>
  <c r="E81" i="8" s="1"/>
  <c r="B2" i="8"/>
  <c r="E2" i="8" s="1"/>
  <c r="B45" i="8"/>
  <c r="D45" i="8" s="1"/>
  <c r="B63" i="8"/>
  <c r="E63" i="8" s="1"/>
  <c r="B90" i="8"/>
  <c r="C90" i="8" s="1"/>
  <c r="B156" i="8"/>
  <c r="C156" i="8" s="1"/>
  <c r="B72" i="8"/>
  <c r="C72" i="8" s="1"/>
  <c r="B123" i="8"/>
  <c r="D123" i="8" s="1"/>
  <c r="B86" i="8"/>
  <c r="E86" i="8" s="1"/>
  <c r="B157" i="8"/>
  <c r="C157" i="8" s="1"/>
  <c r="B114" i="8"/>
  <c r="E114" i="8" s="1"/>
  <c r="B64" i="8"/>
  <c r="D64" i="8" s="1"/>
  <c r="B70" i="8"/>
  <c r="E70" i="8" s="1"/>
  <c r="B13" i="8"/>
  <c r="D13" i="8" s="1"/>
  <c r="B58" i="8"/>
  <c r="D58" i="8" s="1"/>
  <c r="B99" i="8"/>
  <c r="E99" i="8" s="1"/>
  <c r="B175" i="8"/>
  <c r="E175" i="8" s="1"/>
  <c r="B39" i="8"/>
  <c r="E39" i="8" s="1"/>
  <c r="B30" i="8"/>
  <c r="E30" i="8" s="1"/>
  <c r="B66" i="8"/>
  <c r="C66" i="8" s="1"/>
  <c r="B93" i="8"/>
  <c r="C93" i="8" s="1"/>
  <c r="B180" i="8"/>
  <c r="D180" i="8" s="1"/>
  <c r="B12" i="8"/>
  <c r="E12" i="8" s="1"/>
  <c r="B17" i="8"/>
  <c r="C17" i="8" s="1"/>
  <c r="B173" i="8"/>
  <c r="D173" i="8" s="1"/>
  <c r="B28" i="8"/>
  <c r="C28" i="8" s="1"/>
  <c r="B41" i="8"/>
  <c r="B9" i="8"/>
  <c r="B144" i="8"/>
  <c r="C144" i="8" s="1"/>
  <c r="B44" i="8"/>
  <c r="C44" i="8" s="1"/>
  <c r="B190" i="8"/>
  <c r="D35" i="1"/>
  <c r="E35" i="1" s="1"/>
  <c r="S35" i="1"/>
  <c r="B118" i="8"/>
  <c r="B197" i="8"/>
  <c r="B105" i="8"/>
  <c r="B103" i="8"/>
  <c r="B77" i="8"/>
  <c r="B127" i="8"/>
  <c r="B199" i="8"/>
  <c r="B137" i="8"/>
  <c r="B200" i="8"/>
  <c r="B189" i="8"/>
  <c r="B131" i="8"/>
  <c r="B138" i="8"/>
  <c r="B193" i="8"/>
  <c r="B132" i="8"/>
  <c r="B194" i="8"/>
  <c r="B97" i="8"/>
  <c r="B116" i="8"/>
  <c r="B115" i="8"/>
  <c r="B36" i="8"/>
  <c r="B162" i="8"/>
  <c r="B185" i="8"/>
  <c r="B55" i="8"/>
  <c r="B135" i="8"/>
  <c r="B154" i="8"/>
  <c r="B69" i="8"/>
  <c r="B88" i="8"/>
  <c r="B151" i="8"/>
  <c r="B42" i="8"/>
  <c r="B152" i="8"/>
  <c r="B85" i="8"/>
  <c r="B122" i="8"/>
  <c r="B110" i="8"/>
  <c r="B129" i="8"/>
  <c r="B87" i="8"/>
  <c r="B25" i="8"/>
  <c r="B165" i="8"/>
  <c r="B171" i="8"/>
  <c r="B150" i="8"/>
  <c r="B60" i="8"/>
  <c r="B140" i="8"/>
  <c r="B78" i="8"/>
  <c r="B102" i="8"/>
  <c r="B179" i="8"/>
  <c r="B15" i="8"/>
  <c r="B169" i="8"/>
  <c r="B158" i="8"/>
  <c r="B108" i="8"/>
  <c r="B130" i="8"/>
  <c r="B57" i="8"/>
  <c r="B141" i="8"/>
  <c r="B120" i="8"/>
  <c r="B104" i="8"/>
  <c r="B74" i="8"/>
  <c r="B170" i="8"/>
  <c r="B126" i="8"/>
  <c r="B32" i="8"/>
  <c r="B96" i="8"/>
  <c r="B24" i="8"/>
  <c r="B107" i="8"/>
  <c r="B195" i="8"/>
  <c r="B92" i="8"/>
  <c r="B181" i="8"/>
  <c r="C21" i="1"/>
  <c r="B43" i="8"/>
  <c r="B184" i="8"/>
  <c r="B49" i="8"/>
  <c r="B187" i="8"/>
  <c r="B172" i="8"/>
  <c r="B4" i="8"/>
  <c r="B10" i="8"/>
  <c r="B23" i="8"/>
  <c r="B82" i="8"/>
  <c r="B136" i="8"/>
  <c r="B35" i="8"/>
  <c r="B56" i="8"/>
  <c r="B166" i="8"/>
  <c r="B3" i="8"/>
  <c r="B163" i="8"/>
  <c r="B117" i="8"/>
  <c r="B46" i="8"/>
  <c r="B84" i="8"/>
  <c r="B142" i="8"/>
  <c r="B22" i="8"/>
  <c r="B31" i="8"/>
  <c r="B111" i="8"/>
  <c r="B101" i="8"/>
  <c r="B167" i="8"/>
  <c r="B51" i="8"/>
  <c r="B143" i="8"/>
  <c r="B26" i="8"/>
  <c r="B6" i="8"/>
  <c r="B50" i="8"/>
  <c r="B68" i="8"/>
  <c r="B98" i="8"/>
  <c r="B53" i="8"/>
  <c r="B59" i="8"/>
  <c r="B19" i="8"/>
  <c r="B37" i="8"/>
  <c r="B18" i="8"/>
  <c r="B47" i="8"/>
  <c r="B147" i="8"/>
  <c r="B95" i="8"/>
  <c r="B146" i="8"/>
  <c r="B125" i="8"/>
  <c r="B191" i="8"/>
  <c r="B91" i="8"/>
  <c r="B196" i="8"/>
  <c r="B73" i="8"/>
  <c r="B113" i="8"/>
  <c r="B79" i="8"/>
  <c r="B164" i="8"/>
  <c r="B109" i="8"/>
  <c r="B121" i="8"/>
  <c r="B168" i="8"/>
  <c r="B76" i="8"/>
  <c r="B33" i="8"/>
  <c r="B16" i="8"/>
  <c r="B5" i="8"/>
  <c r="B188" i="8"/>
  <c r="B75" i="8"/>
  <c r="B52" i="8"/>
  <c r="C159" i="8"/>
  <c r="E159" i="8"/>
  <c r="C20" i="1"/>
  <c r="C10" i="1"/>
  <c r="B36" i="1"/>
  <c r="C13" i="1"/>
  <c r="C11" i="1"/>
  <c r="E186" i="8"/>
  <c r="C186" i="8" l="1"/>
  <c r="C61" i="8"/>
  <c r="E61" i="8"/>
  <c r="C21" i="8"/>
  <c r="D153" i="8"/>
  <c r="E11" i="8"/>
  <c r="C54" i="8"/>
  <c r="D21" i="8"/>
  <c r="D14" i="8"/>
  <c r="E160" i="8"/>
  <c r="D93" i="8"/>
  <c r="E133" i="8"/>
  <c r="C86" i="8"/>
  <c r="D70" i="8"/>
  <c r="E145" i="8"/>
  <c r="E177" i="8"/>
  <c r="C39" i="8"/>
  <c r="D182" i="8"/>
  <c r="C198" i="8"/>
  <c r="C48" i="8"/>
  <c r="D139" i="8"/>
  <c r="C13" i="8"/>
  <c r="E67" i="8"/>
  <c r="D7" i="8"/>
  <c r="C180" i="8"/>
  <c r="D156" i="8"/>
  <c r="C201" i="8"/>
  <c r="D148" i="8"/>
  <c r="E106" i="8"/>
  <c r="C161" i="8"/>
  <c r="D2" i="8"/>
  <c r="B3" i="13"/>
  <c r="D99" i="8"/>
  <c r="D40" i="8"/>
  <c r="C192" i="8"/>
  <c r="C94" i="8"/>
  <c r="C27" i="8"/>
  <c r="D128" i="8"/>
  <c r="D71" i="8"/>
  <c r="D183" i="8"/>
  <c r="E64" i="8"/>
  <c r="E17" i="8"/>
  <c r="E89" i="8"/>
  <c r="D89" i="8"/>
  <c r="C62" i="8"/>
  <c r="E155" i="8"/>
  <c r="D62" i="8"/>
  <c r="D34" i="8"/>
  <c r="E176" i="8"/>
  <c r="E180" i="8"/>
  <c r="C177" i="8"/>
  <c r="E156" i="8"/>
  <c r="E139" i="8"/>
  <c r="E148" i="8"/>
  <c r="C176" i="8"/>
  <c r="C80" i="8"/>
  <c r="D39" i="8"/>
  <c r="E13" i="8"/>
  <c r="E157" i="8"/>
  <c r="D67" i="8"/>
  <c r="C14" i="8"/>
  <c r="D201" i="8"/>
  <c r="D161" i="8"/>
  <c r="E80" i="8"/>
  <c r="D157" i="8"/>
  <c r="C2" i="8"/>
  <c r="E198" i="8"/>
  <c r="C7" i="8"/>
  <c r="C106" i="8"/>
  <c r="E71" i="8"/>
  <c r="D94" i="8"/>
  <c r="C40" i="8"/>
  <c r="C183" i="8"/>
  <c r="E66" i="8"/>
  <c r="C99" i="8"/>
  <c r="C64" i="8"/>
  <c r="E27" i="8"/>
  <c r="C63" i="8"/>
  <c r="C128" i="8"/>
  <c r="E123" i="8"/>
  <c r="D65" i="8"/>
  <c r="D192" i="8"/>
  <c r="D145" i="8"/>
  <c r="E38" i="8"/>
  <c r="D66" i="8"/>
  <c r="D63" i="8"/>
  <c r="C123" i="8"/>
  <c r="C65" i="8"/>
  <c r="D17" i="8"/>
  <c r="D38" i="8"/>
  <c r="E149" i="8"/>
  <c r="C149" i="8"/>
  <c r="C174" i="8"/>
  <c r="D174" i="8"/>
  <c r="C160" i="8"/>
  <c r="E100" i="8"/>
  <c r="D124" i="8"/>
  <c r="C11" i="8"/>
  <c r="D54" i="8"/>
  <c r="E153" i="8"/>
  <c r="E93" i="8"/>
  <c r="C175" i="8"/>
  <c r="C70" i="8"/>
  <c r="E90" i="8"/>
  <c r="E178" i="8"/>
  <c r="C114" i="8"/>
  <c r="C112" i="8"/>
  <c r="E119" i="8"/>
  <c r="D48" i="8"/>
  <c r="D8" i="8"/>
  <c r="D12" i="8"/>
  <c r="C119" i="8"/>
  <c r="C8" i="8"/>
  <c r="C182" i="8"/>
  <c r="C83" i="8"/>
  <c r="D30" i="8"/>
  <c r="E58" i="8"/>
  <c r="C81" i="8"/>
  <c r="E134" i="8"/>
  <c r="D133" i="8"/>
  <c r="D175" i="8"/>
  <c r="D86" i="8"/>
  <c r="C100" i="8"/>
  <c r="E124" i="8"/>
  <c r="D90" i="8"/>
  <c r="D81" i="8"/>
  <c r="D178" i="8"/>
  <c r="D134" i="8"/>
  <c r="E34" i="8"/>
  <c r="E144" i="8"/>
  <c r="E112" i="8"/>
  <c r="D72" i="8"/>
  <c r="E45" i="8"/>
  <c r="D29" i="8"/>
  <c r="C20" i="8"/>
  <c r="D20" i="8"/>
  <c r="E20" i="8"/>
  <c r="D155" i="8"/>
  <c r="D144" i="8"/>
  <c r="C30" i="8"/>
  <c r="E72" i="8"/>
  <c r="C45" i="8"/>
  <c r="C29" i="8"/>
  <c r="E83" i="8"/>
  <c r="C12" i="8"/>
  <c r="C58" i="8"/>
  <c r="D114" i="8"/>
  <c r="C173" i="8"/>
  <c r="E173" i="8"/>
  <c r="D190" i="8"/>
  <c r="E190" i="8"/>
  <c r="C190" i="8"/>
  <c r="E9" i="8"/>
  <c r="D9" i="8"/>
  <c r="C9" i="8"/>
  <c r="D44" i="8"/>
  <c r="E44" i="8"/>
  <c r="D41" i="8"/>
  <c r="C41" i="8"/>
  <c r="E41" i="8"/>
  <c r="E28" i="8"/>
  <c r="D28" i="8"/>
  <c r="C24" i="1"/>
  <c r="D23" i="6" s="1"/>
  <c r="E5" i="8"/>
  <c r="C5" i="8"/>
  <c r="D5" i="8"/>
  <c r="E91" i="8"/>
  <c r="C91" i="8"/>
  <c r="D91" i="8"/>
  <c r="C37" i="8"/>
  <c r="E37" i="8"/>
  <c r="D37" i="8"/>
  <c r="C26" i="8"/>
  <c r="E26" i="8"/>
  <c r="D26" i="8"/>
  <c r="C142" i="8"/>
  <c r="D142" i="8"/>
  <c r="E142" i="8"/>
  <c r="D35" i="8"/>
  <c r="E35" i="8"/>
  <c r="C35" i="8"/>
  <c r="D181" i="8"/>
  <c r="E181" i="8"/>
  <c r="C181" i="8"/>
  <c r="D150" i="8"/>
  <c r="E150" i="8"/>
  <c r="C150" i="8"/>
  <c r="C188" i="8"/>
  <c r="E188" i="8"/>
  <c r="D188" i="8"/>
  <c r="E76" i="8"/>
  <c r="D76" i="8"/>
  <c r="C76" i="8"/>
  <c r="C164" i="8"/>
  <c r="D164" i="8"/>
  <c r="E164" i="8"/>
  <c r="E196" i="8"/>
  <c r="D196" i="8"/>
  <c r="C196" i="8"/>
  <c r="D146" i="8"/>
  <c r="C146" i="8"/>
  <c r="E146" i="8"/>
  <c r="C18" i="8"/>
  <c r="E18" i="8"/>
  <c r="D18" i="8"/>
  <c r="C53" i="8"/>
  <c r="E53" i="8"/>
  <c r="D53" i="8"/>
  <c r="D6" i="8"/>
  <c r="E6" i="8"/>
  <c r="C6" i="8"/>
  <c r="D167" i="8"/>
  <c r="E167" i="8"/>
  <c r="C167" i="8"/>
  <c r="C22" i="8"/>
  <c r="E22" i="8"/>
  <c r="D22" i="8"/>
  <c r="D117" i="8"/>
  <c r="E117" i="8"/>
  <c r="C117" i="8"/>
  <c r="D56" i="8"/>
  <c r="E56" i="8"/>
  <c r="C56" i="8"/>
  <c r="C23" i="8"/>
  <c r="D23" i="8"/>
  <c r="E23" i="8"/>
  <c r="C187" i="8"/>
  <c r="D187" i="8"/>
  <c r="E187" i="8"/>
  <c r="C107" i="8"/>
  <c r="E107" i="8"/>
  <c r="D107" i="8"/>
  <c r="D126" i="8"/>
  <c r="C126" i="8"/>
  <c r="E126" i="8"/>
  <c r="E120" i="8"/>
  <c r="C120" i="8"/>
  <c r="D120" i="8"/>
  <c r="D108" i="8"/>
  <c r="C108" i="8"/>
  <c r="E108" i="8"/>
  <c r="E179" i="8"/>
  <c r="D179" i="8"/>
  <c r="C179" i="8"/>
  <c r="C60" i="8"/>
  <c r="D60" i="8"/>
  <c r="E60" i="8"/>
  <c r="D25" i="8"/>
  <c r="E25" i="8"/>
  <c r="C25" i="8"/>
  <c r="C122" i="8"/>
  <c r="D122" i="8"/>
  <c r="E122" i="8"/>
  <c r="C151" i="8"/>
  <c r="E151" i="8"/>
  <c r="D151" i="8"/>
  <c r="D135" i="8"/>
  <c r="C135" i="8"/>
  <c r="E135" i="8"/>
  <c r="C36" i="8"/>
  <c r="E36" i="8"/>
  <c r="D36" i="8"/>
  <c r="C194" i="8"/>
  <c r="D194" i="8"/>
  <c r="E194" i="8"/>
  <c r="C131" i="8"/>
  <c r="E131" i="8"/>
  <c r="D131" i="8"/>
  <c r="E199" i="8"/>
  <c r="C199" i="8"/>
  <c r="D199" i="8"/>
  <c r="D105" i="8"/>
  <c r="C105" i="8"/>
  <c r="E105" i="8"/>
  <c r="C197" i="8"/>
  <c r="E197" i="8"/>
  <c r="D197" i="8"/>
  <c r="E13" i="10"/>
  <c r="F13" i="10" s="1"/>
  <c r="C52" i="8"/>
  <c r="D52" i="8"/>
  <c r="E52" i="8"/>
  <c r="D16" i="8"/>
  <c r="E16" i="8"/>
  <c r="C16" i="8"/>
  <c r="D121" i="8"/>
  <c r="C121" i="8"/>
  <c r="E121" i="8"/>
  <c r="C113" i="8"/>
  <c r="E113" i="8"/>
  <c r="D113" i="8"/>
  <c r="D191" i="8"/>
  <c r="C191" i="8"/>
  <c r="E191" i="8"/>
  <c r="C147" i="8"/>
  <c r="D147" i="8"/>
  <c r="E147" i="8"/>
  <c r="C19" i="8"/>
  <c r="E19" i="8"/>
  <c r="D19" i="8"/>
  <c r="D68" i="8"/>
  <c r="C68" i="8"/>
  <c r="E68" i="8"/>
  <c r="E143" i="8"/>
  <c r="C143" i="8"/>
  <c r="D143" i="8"/>
  <c r="D111" i="8"/>
  <c r="C111" i="8"/>
  <c r="E111" i="8"/>
  <c r="E84" i="8"/>
  <c r="C84" i="8"/>
  <c r="D84" i="8"/>
  <c r="D3" i="8"/>
  <c r="E3" i="8"/>
  <c r="C3" i="8"/>
  <c r="C136" i="8"/>
  <c r="D136" i="8"/>
  <c r="E136" i="8"/>
  <c r="E4" i="8"/>
  <c r="C4" i="8"/>
  <c r="D4" i="8"/>
  <c r="E184" i="8"/>
  <c r="C184" i="8"/>
  <c r="D184" i="8"/>
  <c r="E92" i="8"/>
  <c r="D92" i="8"/>
  <c r="C92" i="8"/>
  <c r="E96" i="8"/>
  <c r="D96" i="8"/>
  <c r="C96" i="8"/>
  <c r="D74" i="8"/>
  <c r="C74" i="8"/>
  <c r="E74" i="8"/>
  <c r="C57" i="8"/>
  <c r="D57" i="8"/>
  <c r="E57" i="8"/>
  <c r="E169" i="8"/>
  <c r="C169" i="8"/>
  <c r="D169" i="8"/>
  <c r="E78" i="8"/>
  <c r="C78" i="8"/>
  <c r="D78" i="8"/>
  <c r="E171" i="8"/>
  <c r="D171" i="8"/>
  <c r="C171" i="8"/>
  <c r="E129" i="8"/>
  <c r="D129" i="8"/>
  <c r="C129" i="8"/>
  <c r="C152" i="8"/>
  <c r="E152" i="8"/>
  <c r="D152" i="8"/>
  <c r="C69" i="8"/>
  <c r="E69" i="8"/>
  <c r="D69" i="8"/>
  <c r="D185" i="8"/>
  <c r="E185" i="8"/>
  <c r="C185" i="8"/>
  <c r="C116" i="8"/>
  <c r="E116" i="8"/>
  <c r="D116" i="8"/>
  <c r="D193" i="8"/>
  <c r="C193" i="8"/>
  <c r="E193" i="8"/>
  <c r="E200" i="8"/>
  <c r="C200" i="8"/>
  <c r="D200" i="8"/>
  <c r="E77" i="8"/>
  <c r="D77" i="8"/>
  <c r="C77" i="8"/>
  <c r="E118" i="8"/>
  <c r="D118" i="8"/>
  <c r="C118" i="8"/>
  <c r="E168" i="8"/>
  <c r="C168" i="8"/>
  <c r="D168" i="8"/>
  <c r="C79" i="8"/>
  <c r="D79" i="8"/>
  <c r="E79" i="8"/>
  <c r="C95" i="8"/>
  <c r="E95" i="8"/>
  <c r="D95" i="8"/>
  <c r="E98" i="8"/>
  <c r="C98" i="8"/>
  <c r="D98" i="8"/>
  <c r="E101" i="8"/>
  <c r="C101" i="8"/>
  <c r="D101" i="8"/>
  <c r="D163" i="8"/>
  <c r="E163" i="8"/>
  <c r="C163" i="8"/>
  <c r="E10" i="8"/>
  <c r="D10" i="8"/>
  <c r="C10" i="8"/>
  <c r="E49" i="8"/>
  <c r="C49" i="8"/>
  <c r="D49" i="8"/>
  <c r="C24" i="8"/>
  <c r="E24" i="8"/>
  <c r="D24" i="8"/>
  <c r="D170" i="8"/>
  <c r="E170" i="8"/>
  <c r="C170" i="8"/>
  <c r="D141" i="8"/>
  <c r="E141" i="8"/>
  <c r="C141" i="8"/>
  <c r="D158" i="8"/>
  <c r="C158" i="8"/>
  <c r="E158" i="8"/>
  <c r="C102" i="8"/>
  <c r="D102" i="8"/>
  <c r="E102" i="8"/>
  <c r="E87" i="8"/>
  <c r="C87" i="8"/>
  <c r="D87" i="8"/>
  <c r="C85" i="8"/>
  <c r="D85" i="8"/>
  <c r="E85" i="8"/>
  <c r="D88" i="8"/>
  <c r="C88" i="8"/>
  <c r="E88" i="8"/>
  <c r="E55" i="8"/>
  <c r="C55" i="8"/>
  <c r="D55" i="8"/>
  <c r="E115" i="8"/>
  <c r="C115" i="8"/>
  <c r="D115" i="8"/>
  <c r="E132" i="8"/>
  <c r="D132" i="8"/>
  <c r="C132" i="8"/>
  <c r="D189" i="8"/>
  <c r="C189" i="8"/>
  <c r="E189" i="8"/>
  <c r="C127" i="8"/>
  <c r="E127" i="8"/>
  <c r="D127" i="8"/>
  <c r="D75" i="8"/>
  <c r="C75" i="8"/>
  <c r="E75" i="8"/>
  <c r="C33" i="8"/>
  <c r="E33" i="8"/>
  <c r="D33" i="8"/>
  <c r="D109" i="8"/>
  <c r="C109" i="8"/>
  <c r="E109" i="8"/>
  <c r="D73" i="8"/>
  <c r="C73" i="8"/>
  <c r="E73" i="8"/>
  <c r="E125" i="8"/>
  <c r="C125" i="8"/>
  <c r="D125" i="8"/>
  <c r="D47" i="8"/>
  <c r="E47" i="8"/>
  <c r="C47" i="8"/>
  <c r="C59" i="8"/>
  <c r="E59" i="8"/>
  <c r="D59" i="8"/>
  <c r="E50" i="8"/>
  <c r="C50" i="8"/>
  <c r="D50" i="8"/>
  <c r="D51" i="8"/>
  <c r="E51" i="8"/>
  <c r="C51" i="8"/>
  <c r="E31" i="8"/>
  <c r="C31" i="8"/>
  <c r="D31" i="8"/>
  <c r="E46" i="8"/>
  <c r="C46" i="8"/>
  <c r="D46" i="8"/>
  <c r="D166" i="8"/>
  <c r="C166" i="8"/>
  <c r="E166" i="8"/>
  <c r="E82" i="8"/>
  <c r="C82" i="8"/>
  <c r="D82" i="8"/>
  <c r="C172" i="8"/>
  <c r="E172" i="8"/>
  <c r="D172" i="8"/>
  <c r="E43" i="8"/>
  <c r="D43" i="8"/>
  <c r="C43" i="8"/>
  <c r="E195" i="8"/>
  <c r="D195" i="8"/>
  <c r="C195" i="8"/>
  <c r="E32" i="8"/>
  <c r="D32" i="8"/>
  <c r="C32" i="8"/>
  <c r="D104" i="8"/>
  <c r="C104" i="8"/>
  <c r="E104" i="8"/>
  <c r="C130" i="8"/>
  <c r="D130" i="8"/>
  <c r="E130" i="8"/>
  <c r="D15" i="8"/>
  <c r="E15" i="8"/>
  <c r="C15" i="8"/>
  <c r="C140" i="8"/>
  <c r="D140" i="8"/>
  <c r="E140" i="8"/>
  <c r="C165" i="8"/>
  <c r="E165" i="8"/>
  <c r="D165" i="8"/>
  <c r="E110" i="8"/>
  <c r="D110" i="8"/>
  <c r="C110" i="8"/>
  <c r="E42" i="8"/>
  <c r="C42" i="8"/>
  <c r="D42" i="8"/>
  <c r="E154" i="8"/>
  <c r="D154" i="8"/>
  <c r="C154" i="8"/>
  <c r="C162" i="8"/>
  <c r="D162" i="8"/>
  <c r="E162" i="8"/>
  <c r="D97" i="8"/>
  <c r="E97" i="8"/>
  <c r="C97" i="8"/>
  <c r="D138" i="8"/>
  <c r="C138" i="8"/>
  <c r="E138" i="8"/>
  <c r="D137" i="8"/>
  <c r="C137" i="8"/>
  <c r="E137" i="8"/>
  <c r="D103" i="8"/>
  <c r="E103" i="8"/>
  <c r="C103" i="8"/>
  <c r="E12" i="10"/>
  <c r="F12" i="10" s="1"/>
  <c r="C25" i="1"/>
  <c r="E15" i="10"/>
  <c r="F15" i="10" s="1"/>
  <c r="C22" i="1"/>
  <c r="A36" i="1"/>
  <c r="V36" i="1"/>
  <c r="B37" i="1"/>
  <c r="AA36" i="1"/>
  <c r="X36" i="1"/>
  <c r="AB36" i="1"/>
  <c r="D36" i="1"/>
  <c r="E36" i="1" s="1"/>
  <c r="H36" i="1" s="1"/>
  <c r="C36" i="1"/>
  <c r="Q36" i="1" s="1"/>
  <c r="R36" i="1" s="1"/>
  <c r="S36" i="1" s="1"/>
  <c r="C23" i="1"/>
  <c r="E14" i="10"/>
  <c r="F14" i="10" s="1"/>
  <c r="D13" i="10"/>
  <c r="G35" i="1"/>
  <c r="H35" i="1"/>
  <c r="C3" i="13"/>
  <c r="G36" i="1" l="1"/>
  <c r="M36" i="1" s="1"/>
  <c r="AC36" i="1"/>
  <c r="F36" i="1"/>
  <c r="B38" i="1"/>
  <c r="AB37" i="1"/>
  <c r="AA37" i="1"/>
  <c r="A37" i="1"/>
  <c r="D37" i="1"/>
  <c r="E37" i="1" s="1"/>
  <c r="X37" i="1"/>
  <c r="C37" i="1"/>
  <c r="Q37" i="1" s="1"/>
  <c r="R37" i="1" s="1"/>
  <c r="S37" i="1" s="1"/>
  <c r="D24" i="6"/>
  <c r="D14" i="10"/>
  <c r="D12" i="10"/>
  <c r="D22" i="6"/>
  <c r="V37" i="1"/>
  <c r="B4" i="13"/>
  <c r="A4" i="13"/>
  <c r="C4" i="13"/>
  <c r="D25" i="6"/>
  <c r="D15" i="10"/>
  <c r="M35" i="1"/>
  <c r="I35" i="1"/>
  <c r="T35" i="1"/>
  <c r="L35" i="1"/>
  <c r="P35" i="1"/>
  <c r="N35" i="1"/>
  <c r="U35" i="1"/>
  <c r="K35" i="1"/>
  <c r="O35" i="1"/>
  <c r="J35" i="1"/>
  <c r="N36" i="1" l="1"/>
  <c r="L36" i="1"/>
  <c r="O36" i="1"/>
  <c r="G37" i="1"/>
  <c r="T37" i="1" s="1"/>
  <c r="H37" i="1"/>
  <c r="J36" i="1"/>
  <c r="I36" i="1"/>
  <c r="U36" i="1"/>
  <c r="T36" i="1"/>
  <c r="P36" i="1"/>
  <c r="K36" i="1"/>
  <c r="AC37" i="1"/>
  <c r="F37" i="1"/>
  <c r="C5" i="13"/>
  <c r="V38" i="1"/>
  <c r="B5" i="13"/>
  <c r="A5" i="13"/>
  <c r="A38" i="1"/>
  <c r="C38" i="1"/>
  <c r="Q38" i="1" s="1"/>
  <c r="R38" i="1" s="1"/>
  <c r="S38" i="1" s="1"/>
  <c r="D38" i="1"/>
  <c r="E38" i="1" s="1"/>
  <c r="B39" i="1"/>
  <c r="AB38" i="1"/>
  <c r="X38" i="1"/>
  <c r="AA38" i="1"/>
  <c r="O37" i="1" l="1"/>
  <c r="L37" i="1"/>
  <c r="K37" i="1"/>
  <c r="P37" i="1"/>
  <c r="J37" i="1"/>
  <c r="M37" i="1"/>
  <c r="I37" i="1"/>
  <c r="N37" i="1"/>
  <c r="U37" i="1"/>
  <c r="F38" i="1"/>
  <c r="H38" i="1"/>
  <c r="G38" i="1"/>
  <c r="C6" i="13"/>
  <c r="A6" i="13"/>
  <c r="V39" i="1"/>
  <c r="B6" i="13"/>
  <c r="AC38" i="1"/>
  <c r="AA39" i="1"/>
  <c r="C39" i="1"/>
  <c r="Q39" i="1" s="1"/>
  <c r="R39" i="1" s="1"/>
  <c r="S39" i="1" s="1"/>
  <c r="D39" i="1"/>
  <c r="AB39" i="1"/>
  <c r="X39" i="1"/>
  <c r="B40" i="1"/>
  <c r="A39" i="1"/>
  <c r="B7" i="13" l="1"/>
  <c r="AC39" i="1"/>
  <c r="F39" i="1"/>
  <c r="D40" i="1"/>
  <c r="E40" i="1" s="1"/>
  <c r="H40" i="1" s="1"/>
  <c r="AB40" i="1"/>
  <c r="AA40" i="1"/>
  <c r="A40" i="1"/>
  <c r="B41" i="1"/>
  <c r="C40" i="1"/>
  <c r="F40" i="1" s="1"/>
  <c r="X40" i="1"/>
  <c r="P38" i="1"/>
  <c r="L38" i="1"/>
  <c r="M38" i="1"/>
  <c r="U38" i="1"/>
  <c r="K38" i="1"/>
  <c r="I38" i="1"/>
  <c r="T38" i="1"/>
  <c r="J38" i="1"/>
  <c r="O38" i="1"/>
  <c r="N38" i="1"/>
  <c r="E39" i="1"/>
  <c r="A7" i="13"/>
  <c r="V40" i="1"/>
  <c r="G40" i="1" l="1"/>
  <c r="I40" i="1" s="1"/>
  <c r="AC40" i="1"/>
  <c r="G39" i="1"/>
  <c r="H39" i="1"/>
  <c r="C7" i="13"/>
  <c r="Q40" i="1"/>
  <c r="R40" i="1" s="1"/>
  <c r="S40" i="1" s="1"/>
  <c r="A8" i="13"/>
  <c r="V41" i="1"/>
  <c r="B8" i="13"/>
  <c r="C8" i="13"/>
  <c r="X41" i="1"/>
  <c r="AB41" i="1"/>
  <c r="AA41" i="1"/>
  <c r="B42" i="1"/>
  <c r="C41" i="1"/>
  <c r="Q41" i="1" s="1"/>
  <c r="R41" i="1" s="1"/>
  <c r="S41" i="1" s="1"/>
  <c r="D41" i="1"/>
  <c r="E41" i="1" s="1"/>
  <c r="H41" i="1" s="1"/>
  <c r="A41" i="1"/>
  <c r="P40" i="1" l="1"/>
  <c r="M40" i="1"/>
  <c r="J40" i="1"/>
  <c r="N40" i="1"/>
  <c r="T40" i="1"/>
  <c r="K40" i="1"/>
  <c r="L40" i="1"/>
  <c r="O40" i="1"/>
  <c r="AC41" i="1"/>
  <c r="F41" i="1"/>
  <c r="G41" i="1"/>
  <c r="L41" i="1" s="1"/>
  <c r="U40" i="1"/>
  <c r="AA42" i="1"/>
  <c r="C42" i="1"/>
  <c r="F42" i="1" s="1"/>
  <c r="X42" i="1"/>
  <c r="D42" i="1"/>
  <c r="E42" i="1" s="1"/>
  <c r="H42" i="1" s="1"/>
  <c r="B43" i="1"/>
  <c r="A42" i="1"/>
  <c r="AB42" i="1"/>
  <c r="K39" i="1"/>
  <c r="T39" i="1"/>
  <c r="U39" i="1"/>
  <c r="J39" i="1"/>
  <c r="I39" i="1"/>
  <c r="N39" i="1"/>
  <c r="M39" i="1"/>
  <c r="L39" i="1"/>
  <c r="P39" i="1"/>
  <c r="O39" i="1"/>
  <c r="B9" i="13"/>
  <c r="A9" i="13"/>
  <c r="C9" i="13"/>
  <c r="V42" i="1"/>
  <c r="P41" i="1" l="1"/>
  <c r="G42" i="1"/>
  <c r="P42" i="1" s="1"/>
  <c r="I41" i="1"/>
  <c r="T41" i="1"/>
  <c r="O41" i="1"/>
  <c r="K41" i="1"/>
  <c r="N41" i="1"/>
  <c r="J41" i="1"/>
  <c r="M41" i="1"/>
  <c r="U41" i="1"/>
  <c r="C10" i="13"/>
  <c r="A10" i="13"/>
  <c r="V43" i="1"/>
  <c r="B10" i="13"/>
  <c r="AC42" i="1"/>
  <c r="C43" i="1"/>
  <c r="Q43" i="1" s="1"/>
  <c r="R43" i="1" s="1"/>
  <c r="S43" i="1" s="1"/>
  <c r="D43" i="1"/>
  <c r="E43" i="1" s="1"/>
  <c r="B44" i="1"/>
  <c r="AB43" i="1"/>
  <c r="A43" i="1"/>
  <c r="X43" i="1"/>
  <c r="AA43" i="1"/>
  <c r="Q42" i="1"/>
  <c r="R42" i="1" s="1"/>
  <c r="S42" i="1" s="1"/>
  <c r="U42" i="1" l="1"/>
  <c r="I42" i="1"/>
  <c r="K42" i="1"/>
  <c r="M42" i="1"/>
  <c r="O42" i="1"/>
  <c r="L42" i="1"/>
  <c r="J42" i="1"/>
  <c r="N42" i="1"/>
  <c r="AC43" i="1"/>
  <c r="F43" i="1"/>
  <c r="H43" i="1"/>
  <c r="G43" i="1"/>
  <c r="T42" i="1"/>
  <c r="C44" i="1"/>
  <c r="F44" i="1" s="1"/>
  <c r="B45" i="1"/>
  <c r="D44" i="1"/>
  <c r="E44" i="1" s="1"/>
  <c r="H44" i="1" s="1"/>
  <c r="AB44" i="1"/>
  <c r="A44" i="1"/>
  <c r="AA44" i="1"/>
  <c r="X44" i="1"/>
  <c r="C11" i="13"/>
  <c r="B11" i="13"/>
  <c r="A11" i="13"/>
  <c r="V44" i="1"/>
  <c r="AC44" i="1" l="1"/>
  <c r="V45" i="1"/>
  <c r="B12" i="13"/>
  <c r="C12" i="13"/>
  <c r="A12" i="13"/>
  <c r="G44" i="1"/>
  <c r="M43" i="1"/>
  <c r="T43" i="1"/>
  <c r="P43" i="1"/>
  <c r="I43" i="1"/>
  <c r="U43" i="1"/>
  <c r="L43" i="1"/>
  <c r="O43" i="1"/>
  <c r="N43" i="1"/>
  <c r="K43" i="1"/>
  <c r="J43" i="1"/>
  <c r="Q44" i="1"/>
  <c r="R44" i="1" s="1"/>
  <c r="S44" i="1" s="1"/>
  <c r="AA45" i="1"/>
  <c r="D45" i="1"/>
  <c r="E45" i="1" s="1"/>
  <c r="G45" i="1" s="1"/>
  <c r="AB45" i="1"/>
  <c r="C45" i="1"/>
  <c r="Q45" i="1" s="1"/>
  <c r="R45" i="1" s="1"/>
  <c r="S45" i="1" s="1"/>
  <c r="A45" i="1"/>
  <c r="B46" i="1"/>
  <c r="X45" i="1"/>
  <c r="F45" i="1" l="1"/>
  <c r="T45" i="1"/>
  <c r="H45" i="1"/>
  <c r="M45" i="1" s="1"/>
  <c r="U45" i="1"/>
  <c r="AA46" i="1"/>
  <c r="A46" i="1"/>
  <c r="C46" i="1"/>
  <c r="F46" i="1" s="1"/>
  <c r="AB46" i="1"/>
  <c r="X46" i="1"/>
  <c r="B47" i="1"/>
  <c r="D46" i="1"/>
  <c r="E46" i="1" s="1"/>
  <c r="G46" i="1" s="1"/>
  <c r="AC45" i="1"/>
  <c r="I44" i="1"/>
  <c r="K44" i="1"/>
  <c r="L44" i="1"/>
  <c r="N44" i="1"/>
  <c r="U44" i="1"/>
  <c r="T44" i="1"/>
  <c r="O44" i="1"/>
  <c r="M44" i="1"/>
  <c r="P44" i="1"/>
  <c r="J44" i="1"/>
  <c r="A13" i="13"/>
  <c r="B13" i="13"/>
  <c r="C13" i="13"/>
  <c r="V46" i="1"/>
  <c r="I45" i="1" l="1"/>
  <c r="K45" i="1"/>
  <c r="N45" i="1"/>
  <c r="P45" i="1"/>
  <c r="O45" i="1"/>
  <c r="AC46" i="1"/>
  <c r="L45" i="1"/>
  <c r="J45" i="1"/>
  <c r="C14" i="13"/>
  <c r="A14" i="13"/>
  <c r="B14" i="13"/>
  <c r="V47" i="1"/>
  <c r="H46" i="1"/>
  <c r="O46" i="1" s="1"/>
  <c r="D47" i="1"/>
  <c r="E47" i="1" s="1"/>
  <c r="H47" i="1" s="1"/>
  <c r="B48" i="1"/>
  <c r="C47" i="1"/>
  <c r="F47" i="1" s="1"/>
  <c r="AB47" i="1"/>
  <c r="X47" i="1"/>
  <c r="AA47" i="1"/>
  <c r="A47" i="1"/>
  <c r="Q46" i="1"/>
  <c r="R46" i="1" s="1"/>
  <c r="S46" i="1" s="1"/>
  <c r="T46" i="1" s="1"/>
  <c r="Q47" i="1" l="1"/>
  <c r="R47" i="1" s="1"/>
  <c r="S47" i="1" s="1"/>
  <c r="U46" i="1"/>
  <c r="AC47" i="1"/>
  <c r="I46" i="1"/>
  <c r="N46" i="1"/>
  <c r="L46" i="1"/>
  <c r="G47" i="1"/>
  <c r="A15" i="13"/>
  <c r="V48" i="1"/>
  <c r="C15" i="13"/>
  <c r="B15" i="13"/>
  <c r="K46" i="1"/>
  <c r="J46" i="1"/>
  <c r="P46" i="1"/>
  <c r="B49" i="1"/>
  <c r="AA48" i="1"/>
  <c r="X48" i="1"/>
  <c r="A48" i="1"/>
  <c r="D48" i="1"/>
  <c r="E48" i="1" s="1"/>
  <c r="H48" i="1" s="1"/>
  <c r="AB48" i="1"/>
  <c r="C48" i="1"/>
  <c r="F48" i="1" s="1"/>
  <c r="M46" i="1"/>
  <c r="Q48" i="1" l="1"/>
  <c r="R48" i="1" s="1"/>
  <c r="S48" i="1" s="1"/>
  <c r="B50" i="1"/>
  <c r="A49" i="1"/>
  <c r="D49" i="1"/>
  <c r="E49" i="1" s="1"/>
  <c r="G49" i="1" s="1"/>
  <c r="X49" i="1"/>
  <c r="AA49" i="1"/>
  <c r="C49" i="1"/>
  <c r="F49" i="1" s="1"/>
  <c r="AB49" i="1"/>
  <c r="N47" i="1"/>
  <c r="T47" i="1"/>
  <c r="P47" i="1"/>
  <c r="J47" i="1"/>
  <c r="K47" i="1"/>
  <c r="I47" i="1"/>
  <c r="O47" i="1"/>
  <c r="M47" i="1"/>
  <c r="L47" i="1"/>
  <c r="U47" i="1"/>
  <c r="A16" i="13"/>
  <c r="B16" i="13"/>
  <c r="C16" i="13"/>
  <c r="V49" i="1"/>
  <c r="G48" i="1"/>
  <c r="AC48" i="1"/>
  <c r="H49" i="1" l="1"/>
  <c r="I49" i="1" s="1"/>
  <c r="Q49" i="1"/>
  <c r="R49" i="1" s="1"/>
  <c r="S49" i="1" s="1"/>
  <c r="T49" i="1" s="1"/>
  <c r="N48" i="1"/>
  <c r="I48" i="1"/>
  <c r="P48" i="1"/>
  <c r="M48" i="1"/>
  <c r="O48" i="1"/>
  <c r="T48" i="1"/>
  <c r="K48" i="1"/>
  <c r="L48" i="1"/>
  <c r="J48" i="1"/>
  <c r="U48" i="1"/>
  <c r="AC49" i="1"/>
  <c r="C50" i="1"/>
  <c r="Q50" i="1" s="1"/>
  <c r="R50" i="1" s="1"/>
  <c r="S50" i="1" s="1"/>
  <c r="X50" i="1"/>
  <c r="A50" i="1"/>
  <c r="AA50" i="1"/>
  <c r="AB50" i="1"/>
  <c r="B51" i="1"/>
  <c r="D50" i="1"/>
  <c r="E50" i="1" s="1"/>
  <c r="H50" i="1" s="1"/>
  <c r="C17" i="13"/>
  <c r="A17" i="13"/>
  <c r="B17" i="13"/>
  <c r="V50" i="1"/>
  <c r="N49" i="1" l="1"/>
  <c r="J49" i="1"/>
  <c r="L49" i="1"/>
  <c r="O49" i="1"/>
  <c r="K49" i="1"/>
  <c r="F50" i="1"/>
  <c r="P49" i="1"/>
  <c r="M49" i="1"/>
  <c r="G50" i="1"/>
  <c r="T50" i="1" s="1"/>
  <c r="AC50" i="1"/>
  <c r="C18" i="13"/>
  <c r="B18" i="13"/>
  <c r="A18" i="13"/>
  <c r="V51" i="1"/>
  <c r="B52" i="1"/>
  <c r="AA51" i="1"/>
  <c r="X51" i="1"/>
  <c r="D51" i="1"/>
  <c r="E51" i="1" s="1"/>
  <c r="H51" i="1" s="1"/>
  <c r="A51" i="1"/>
  <c r="AB51" i="1"/>
  <c r="C51" i="1"/>
  <c r="Q51" i="1" s="1"/>
  <c r="R51" i="1" s="1"/>
  <c r="S51" i="1" s="1"/>
  <c r="U49" i="1"/>
  <c r="AC51" i="1" l="1"/>
  <c r="K50" i="1"/>
  <c r="N50" i="1"/>
  <c r="L50" i="1"/>
  <c r="M50" i="1"/>
  <c r="O50" i="1"/>
  <c r="U50" i="1"/>
  <c r="J50" i="1"/>
  <c r="P50" i="1"/>
  <c r="I50" i="1"/>
  <c r="G51" i="1"/>
  <c r="P51" i="1" s="1"/>
  <c r="B19" i="13"/>
  <c r="A19" i="13"/>
  <c r="C19" i="13"/>
  <c r="V52" i="1"/>
  <c r="F51" i="1"/>
  <c r="D52" i="1"/>
  <c r="E52" i="1" s="1"/>
  <c r="H52" i="1" s="1"/>
  <c r="X52" i="1"/>
  <c r="C52" i="1"/>
  <c r="Q52" i="1" s="1"/>
  <c r="R52" i="1" s="1"/>
  <c r="S52" i="1" s="1"/>
  <c r="B53" i="1"/>
  <c r="AB52" i="1"/>
  <c r="AA52" i="1"/>
  <c r="A52" i="1"/>
  <c r="N51" i="1" l="1"/>
  <c r="M51" i="1"/>
  <c r="U51" i="1"/>
  <c r="O51" i="1"/>
  <c r="J51" i="1"/>
  <c r="I51" i="1"/>
  <c r="T51" i="1"/>
  <c r="L51" i="1"/>
  <c r="K51" i="1"/>
  <c r="G52" i="1"/>
  <c r="U52" i="1" s="1"/>
  <c r="AC52" i="1"/>
  <c r="F52" i="1"/>
  <c r="B20" i="13"/>
  <c r="V53" i="1"/>
  <c r="A20" i="13"/>
  <c r="C20" i="13"/>
  <c r="A53" i="1"/>
  <c r="B54" i="1"/>
  <c r="C53" i="1"/>
  <c r="Q53" i="1" s="1"/>
  <c r="R53" i="1" s="1"/>
  <c r="S53" i="1" s="1"/>
  <c r="X53" i="1"/>
  <c r="AB53" i="1"/>
  <c r="D53" i="1"/>
  <c r="E53" i="1" s="1"/>
  <c r="G53" i="1" s="1"/>
  <c r="AA53" i="1"/>
  <c r="AC53" i="1" l="1"/>
  <c r="I52" i="1"/>
  <c r="M52" i="1"/>
  <c r="L52" i="1"/>
  <c r="J52" i="1"/>
  <c r="N52" i="1"/>
  <c r="O52" i="1"/>
  <c r="P52" i="1"/>
  <c r="K52" i="1"/>
  <c r="T52" i="1"/>
  <c r="T53" i="1"/>
  <c r="U53" i="1"/>
  <c r="F53" i="1"/>
  <c r="D54" i="1"/>
  <c r="E54" i="1" s="1"/>
  <c r="G54" i="1" s="1"/>
  <c r="X54" i="1"/>
  <c r="AA54" i="1"/>
  <c r="C54" i="1"/>
  <c r="Q54" i="1" s="1"/>
  <c r="R54" i="1" s="1"/>
  <c r="S54" i="1" s="1"/>
  <c r="AB54" i="1"/>
  <c r="A54" i="1"/>
  <c r="B55" i="1"/>
  <c r="H53" i="1"/>
  <c r="L53" i="1" s="1"/>
  <c r="B21" i="13"/>
  <c r="A21" i="13"/>
  <c r="V54" i="1"/>
  <c r="C21" i="13"/>
  <c r="F54" i="1" l="1"/>
  <c r="K53" i="1"/>
  <c r="AC54" i="1"/>
  <c r="O53" i="1"/>
  <c r="U54" i="1"/>
  <c r="T54" i="1"/>
  <c r="P53" i="1"/>
  <c r="B22" i="13"/>
  <c r="C22" i="13"/>
  <c r="V55" i="1"/>
  <c r="A22" i="13"/>
  <c r="H54" i="1"/>
  <c r="K54" i="1" s="1"/>
  <c r="A55" i="1"/>
  <c r="C55" i="1"/>
  <c r="Q55" i="1" s="1"/>
  <c r="R55" i="1" s="1"/>
  <c r="S55" i="1" s="1"/>
  <c r="B56" i="1"/>
  <c r="D55" i="1"/>
  <c r="E55" i="1" s="1"/>
  <c r="AB55" i="1"/>
  <c r="AA55" i="1"/>
  <c r="X55" i="1"/>
  <c r="N53" i="1"/>
  <c r="J53" i="1"/>
  <c r="M53" i="1"/>
  <c r="I53" i="1"/>
  <c r="F55" i="1" l="1"/>
  <c r="G55" i="1"/>
  <c r="H55" i="1"/>
  <c r="AB56" i="1"/>
  <c r="B57" i="1"/>
  <c r="C56" i="1"/>
  <c r="F56" i="1" s="1"/>
  <c r="A56" i="1"/>
  <c r="AA56" i="1"/>
  <c r="X56" i="1"/>
  <c r="D56" i="1"/>
  <c r="E56" i="1" s="1"/>
  <c r="H56" i="1" s="1"/>
  <c r="M54" i="1"/>
  <c r="P54" i="1"/>
  <c r="AC55" i="1"/>
  <c r="L54" i="1"/>
  <c r="A23" i="13"/>
  <c r="B23" i="13"/>
  <c r="V56" i="1"/>
  <c r="C23" i="13"/>
  <c r="J54" i="1"/>
  <c r="I54" i="1"/>
  <c r="N54" i="1"/>
  <c r="O54" i="1"/>
  <c r="G56" i="1" l="1"/>
  <c r="M56" i="1" s="1"/>
  <c r="Q56" i="1"/>
  <c r="R56" i="1" s="1"/>
  <c r="S56" i="1" s="1"/>
  <c r="V57" i="1"/>
  <c r="B24" i="13"/>
  <c r="A24" i="13"/>
  <c r="C24" i="13"/>
  <c r="D57" i="1"/>
  <c r="E57" i="1" s="1"/>
  <c r="G57" i="1" s="1"/>
  <c r="A57" i="1"/>
  <c r="AA57" i="1"/>
  <c r="B58" i="1"/>
  <c r="X57" i="1"/>
  <c r="C57" i="1"/>
  <c r="F57" i="1" s="1"/>
  <c r="AB57" i="1"/>
  <c r="AC56" i="1"/>
  <c r="P55" i="1"/>
  <c r="L55" i="1"/>
  <c r="J55" i="1"/>
  <c r="T55" i="1"/>
  <c r="N55" i="1"/>
  <c r="U55" i="1"/>
  <c r="O55" i="1"/>
  <c r="M55" i="1"/>
  <c r="I55" i="1"/>
  <c r="K55" i="1"/>
  <c r="U56" i="1" l="1"/>
  <c r="K56" i="1"/>
  <c r="L56" i="1"/>
  <c r="N56" i="1"/>
  <c r="P56" i="1"/>
  <c r="O56" i="1"/>
  <c r="J56" i="1"/>
  <c r="I56" i="1"/>
  <c r="T56" i="1"/>
  <c r="Q57" i="1"/>
  <c r="R57" i="1" s="1"/>
  <c r="S57" i="1" s="1"/>
  <c r="U57" i="1" s="1"/>
  <c r="H57" i="1"/>
  <c r="N57" i="1" s="1"/>
  <c r="V58" i="1"/>
  <c r="A25" i="13"/>
  <c r="B25" i="13"/>
  <c r="C25" i="13"/>
  <c r="AA58" i="1"/>
  <c r="A58" i="1"/>
  <c r="D58" i="1"/>
  <c r="E58" i="1" s="1"/>
  <c r="G58" i="1" s="1"/>
  <c r="C58" i="1"/>
  <c r="F58" i="1" s="1"/>
  <c r="B59" i="1"/>
  <c r="AB58" i="1"/>
  <c r="X58" i="1"/>
  <c r="AC57" i="1"/>
  <c r="AC58" i="1" l="1"/>
  <c r="J57" i="1"/>
  <c r="T57" i="1"/>
  <c r="O57" i="1"/>
  <c r="M57" i="1"/>
  <c r="L57" i="1"/>
  <c r="H58" i="1"/>
  <c r="I58" i="1" s="1"/>
  <c r="K57" i="1"/>
  <c r="I57" i="1"/>
  <c r="P57" i="1"/>
  <c r="AB59" i="1"/>
  <c r="X59" i="1"/>
  <c r="D59" i="1"/>
  <c r="E59" i="1" s="1"/>
  <c r="G59" i="1" s="1"/>
  <c r="A59" i="1"/>
  <c r="C59" i="1"/>
  <c r="F59" i="1" s="1"/>
  <c r="AA59" i="1"/>
  <c r="B60" i="1"/>
  <c r="C26" i="13"/>
  <c r="A26" i="13"/>
  <c r="B26" i="13"/>
  <c r="V59" i="1"/>
  <c r="Q58" i="1"/>
  <c r="R58" i="1" s="1"/>
  <c r="S58" i="1" s="1"/>
  <c r="N58" i="1" l="1"/>
  <c r="L58" i="1"/>
  <c r="H59" i="1"/>
  <c r="N59" i="1" s="1"/>
  <c r="J58" i="1"/>
  <c r="K58" i="1"/>
  <c r="M58" i="1"/>
  <c r="AC59" i="1"/>
  <c r="O58" i="1"/>
  <c r="P58" i="1"/>
  <c r="U58" i="1"/>
  <c r="T58" i="1"/>
  <c r="C60" i="1"/>
  <c r="F60" i="1" s="1"/>
  <c r="A60" i="1"/>
  <c r="X60" i="1"/>
  <c r="AB60" i="1"/>
  <c r="B61" i="1"/>
  <c r="D60" i="1"/>
  <c r="E60" i="1" s="1"/>
  <c r="H60" i="1" s="1"/>
  <c r="AA60" i="1"/>
  <c r="C27" i="13"/>
  <c r="B27" i="13"/>
  <c r="A27" i="13"/>
  <c r="V60" i="1"/>
  <c r="Q59" i="1"/>
  <c r="R59" i="1" s="1"/>
  <c r="S59" i="1" s="1"/>
  <c r="T59" i="1" s="1"/>
  <c r="M59" i="1" l="1"/>
  <c r="I59" i="1"/>
  <c r="O59" i="1"/>
  <c r="J59" i="1"/>
  <c r="L59" i="1"/>
  <c r="P59" i="1"/>
  <c r="K59" i="1"/>
  <c r="Q60" i="1"/>
  <c r="R60" i="1" s="1"/>
  <c r="S60" i="1" s="1"/>
  <c r="G60" i="1"/>
  <c r="B28" i="13"/>
  <c r="V61" i="1"/>
  <c r="A28" i="13"/>
  <c r="C28" i="13"/>
  <c r="AC60" i="1"/>
  <c r="AA61" i="1"/>
  <c r="C61" i="1"/>
  <c r="F61" i="1" s="1"/>
  <c r="X61" i="1"/>
  <c r="D61" i="1"/>
  <c r="E61" i="1" s="1"/>
  <c r="H61" i="1" s="1"/>
  <c r="B62" i="1"/>
  <c r="A61" i="1"/>
  <c r="AB61" i="1"/>
  <c r="U59" i="1"/>
  <c r="U60" i="1" l="1"/>
  <c r="K60" i="1"/>
  <c r="L60" i="1"/>
  <c r="M60" i="1"/>
  <c r="O60" i="1"/>
  <c r="J60" i="1"/>
  <c r="T60" i="1"/>
  <c r="AC61" i="1"/>
  <c r="N60" i="1"/>
  <c r="P60" i="1"/>
  <c r="I60" i="1"/>
  <c r="G61" i="1"/>
  <c r="M61" i="1" s="1"/>
  <c r="V62" i="1"/>
  <c r="B29" i="13"/>
  <c r="A29" i="13"/>
  <c r="C29" i="13"/>
  <c r="C62" i="1"/>
  <c r="Q62" i="1" s="1"/>
  <c r="R62" i="1" s="1"/>
  <c r="S62" i="1" s="1"/>
  <c r="AB62" i="1"/>
  <c r="AA62" i="1"/>
  <c r="X62" i="1"/>
  <c r="B63" i="1"/>
  <c r="D62" i="1"/>
  <c r="E62" i="1" s="1"/>
  <c r="H62" i="1" s="1"/>
  <c r="A62" i="1"/>
  <c r="Q61" i="1"/>
  <c r="R61" i="1" s="1"/>
  <c r="S61" i="1" s="1"/>
  <c r="N61" i="1" l="1"/>
  <c r="U61" i="1"/>
  <c r="P61" i="1"/>
  <c r="K61" i="1"/>
  <c r="I61" i="1"/>
  <c r="O61" i="1"/>
  <c r="J61" i="1"/>
  <c r="L61" i="1"/>
  <c r="F62" i="1"/>
  <c r="AC62" i="1"/>
  <c r="T61" i="1"/>
  <c r="G62" i="1"/>
  <c r="C30" i="13"/>
  <c r="A30" i="13"/>
  <c r="V63" i="1"/>
  <c r="B30" i="13"/>
  <c r="D63" i="1"/>
  <c r="E63" i="1" s="1"/>
  <c r="G63" i="1" s="1"/>
  <c r="X63" i="1"/>
  <c r="B64" i="1"/>
  <c r="A63" i="1"/>
  <c r="AB63" i="1"/>
  <c r="AA63" i="1"/>
  <c r="C63" i="1"/>
  <c r="Q63" i="1" s="1"/>
  <c r="R63" i="1" s="1"/>
  <c r="S63" i="1" s="1"/>
  <c r="H63" i="1" l="1"/>
  <c r="J63" i="1" s="1"/>
  <c r="T63" i="1"/>
  <c r="A64" i="1"/>
  <c r="D64" i="1"/>
  <c r="E64" i="1" s="1"/>
  <c r="G64" i="1" s="1"/>
  <c r="X64" i="1"/>
  <c r="B65" i="1"/>
  <c r="AB64" i="1"/>
  <c r="C64" i="1"/>
  <c r="Q64" i="1" s="1"/>
  <c r="R64" i="1" s="1"/>
  <c r="S64" i="1" s="1"/>
  <c r="AA64" i="1"/>
  <c r="C31" i="13"/>
  <c r="V64" i="1"/>
  <c r="A31" i="13"/>
  <c r="B31" i="13"/>
  <c r="AC63" i="1"/>
  <c r="U63" i="1"/>
  <c r="F63" i="1"/>
  <c r="P62" i="1"/>
  <c r="L62" i="1"/>
  <c r="T62" i="1"/>
  <c r="N62" i="1"/>
  <c r="I62" i="1"/>
  <c r="O62" i="1"/>
  <c r="M62" i="1"/>
  <c r="U62" i="1"/>
  <c r="K62" i="1"/>
  <c r="J62" i="1"/>
  <c r="I63" i="1" l="1"/>
  <c r="M63" i="1"/>
  <c r="K63" i="1"/>
  <c r="N63" i="1"/>
  <c r="O63" i="1"/>
  <c r="L63" i="1"/>
  <c r="P63" i="1"/>
  <c r="AC64" i="1"/>
  <c r="H64" i="1"/>
  <c r="K64" i="1" s="1"/>
  <c r="U64" i="1"/>
  <c r="T64" i="1"/>
  <c r="V65" i="1"/>
  <c r="C32" i="13"/>
  <c r="A32" i="13"/>
  <c r="B32" i="13"/>
  <c r="D65" i="1"/>
  <c r="E65" i="1" s="1"/>
  <c r="A65" i="1"/>
  <c r="B66" i="1"/>
  <c r="AB65" i="1"/>
  <c r="C65" i="1"/>
  <c r="Q65" i="1" s="1"/>
  <c r="R65" i="1" s="1"/>
  <c r="S65" i="1" s="1"/>
  <c r="AA65" i="1"/>
  <c r="X65" i="1"/>
  <c r="F64" i="1"/>
  <c r="AC65" i="1" l="1"/>
  <c r="N64" i="1"/>
  <c r="I64" i="1"/>
  <c r="M64" i="1"/>
  <c r="L64" i="1"/>
  <c r="J64" i="1"/>
  <c r="O64" i="1"/>
  <c r="P64" i="1"/>
  <c r="G65" i="1"/>
  <c r="H65" i="1"/>
  <c r="A66" i="1"/>
  <c r="B67" i="1"/>
  <c r="AA66" i="1"/>
  <c r="D66" i="1"/>
  <c r="E66" i="1" s="1"/>
  <c r="AB66" i="1"/>
  <c r="C66" i="1"/>
  <c r="Q66" i="1" s="1"/>
  <c r="R66" i="1" s="1"/>
  <c r="S66" i="1" s="1"/>
  <c r="X66" i="1"/>
  <c r="F65" i="1"/>
  <c r="A33" i="13"/>
  <c r="B33" i="13"/>
  <c r="V66" i="1"/>
  <c r="C33" i="13"/>
  <c r="AC66" i="1" l="1"/>
  <c r="H66" i="1"/>
  <c r="G66" i="1"/>
  <c r="F66" i="1"/>
  <c r="B34" i="13"/>
  <c r="V67" i="1"/>
  <c r="A34" i="13"/>
  <c r="C34" i="13"/>
  <c r="C67" i="1"/>
  <c r="Q67" i="1" s="1"/>
  <c r="R67" i="1" s="1"/>
  <c r="S67" i="1" s="1"/>
  <c r="B68" i="1"/>
  <c r="D67" i="1"/>
  <c r="E67" i="1" s="1"/>
  <c r="AA67" i="1"/>
  <c r="X67" i="1"/>
  <c r="AB67" i="1"/>
  <c r="A67" i="1"/>
  <c r="J65" i="1"/>
  <c r="I65" i="1"/>
  <c r="U65" i="1"/>
  <c r="M65" i="1"/>
  <c r="L65" i="1"/>
  <c r="T65" i="1"/>
  <c r="N65" i="1"/>
  <c r="K65" i="1"/>
  <c r="P65" i="1"/>
  <c r="O65" i="1"/>
  <c r="AC67" i="1" l="1"/>
  <c r="F67" i="1"/>
  <c r="G67" i="1"/>
  <c r="H67" i="1"/>
  <c r="J66" i="1"/>
  <c r="N66" i="1"/>
  <c r="P66" i="1"/>
  <c r="O66" i="1"/>
  <c r="U66" i="1"/>
  <c r="M66" i="1"/>
  <c r="L66" i="1"/>
  <c r="T66" i="1"/>
  <c r="K66" i="1"/>
  <c r="I66" i="1"/>
  <c r="A68" i="1"/>
  <c r="X68" i="1"/>
  <c r="B69" i="1"/>
  <c r="AA68" i="1"/>
  <c r="D68" i="1"/>
  <c r="E68" i="1" s="1"/>
  <c r="C68" i="1"/>
  <c r="F68" i="1" s="1"/>
  <c r="AB68" i="1"/>
  <c r="V68" i="1"/>
  <c r="B35" i="13"/>
  <c r="C35" i="13"/>
  <c r="A35" i="13"/>
  <c r="AC68" i="1" l="1"/>
  <c r="H68" i="1"/>
  <c r="G68" i="1"/>
  <c r="Q68" i="1"/>
  <c r="R68" i="1" s="1"/>
  <c r="S68" i="1" s="1"/>
  <c r="L67" i="1"/>
  <c r="K67" i="1"/>
  <c r="P67" i="1"/>
  <c r="O67" i="1"/>
  <c r="T67" i="1"/>
  <c r="I67" i="1"/>
  <c r="U67" i="1"/>
  <c r="J67" i="1"/>
  <c r="N67" i="1"/>
  <c r="M67" i="1"/>
  <c r="A69" i="1"/>
  <c r="B70" i="1"/>
  <c r="D69" i="1"/>
  <c r="E69" i="1" s="1"/>
  <c r="G69" i="1" s="1"/>
  <c r="AB69" i="1"/>
  <c r="AA69" i="1"/>
  <c r="C69" i="1"/>
  <c r="F69" i="1" s="1"/>
  <c r="X69" i="1"/>
  <c r="V69" i="1"/>
  <c r="B36" i="13"/>
  <c r="A36" i="13"/>
  <c r="C36" i="13"/>
  <c r="AC69" i="1" l="1"/>
  <c r="H69" i="1"/>
  <c r="P69" i="1" s="1"/>
  <c r="Q69" i="1"/>
  <c r="R69" i="1" s="1"/>
  <c r="S69" i="1" s="1"/>
  <c r="T69" i="1" s="1"/>
  <c r="L68" i="1"/>
  <c r="N68" i="1"/>
  <c r="O68" i="1"/>
  <c r="M68" i="1"/>
  <c r="I68" i="1"/>
  <c r="U68" i="1"/>
  <c r="T68" i="1"/>
  <c r="J68" i="1"/>
  <c r="K68" i="1"/>
  <c r="P68" i="1"/>
  <c r="V70" i="1"/>
  <c r="B37" i="13"/>
  <c r="C37" i="13"/>
  <c r="A37" i="13"/>
  <c r="AA70" i="1"/>
  <c r="AB70" i="1"/>
  <c r="X70" i="1"/>
  <c r="D70" i="1"/>
  <c r="E70" i="1" s="1"/>
  <c r="C70" i="1"/>
  <c r="F70" i="1" s="1"/>
  <c r="B71" i="1"/>
  <c r="A70" i="1"/>
  <c r="AC70" i="1" l="1"/>
  <c r="Q70" i="1"/>
  <c r="R70" i="1" s="1"/>
  <c r="S70" i="1" s="1"/>
  <c r="G70" i="1"/>
  <c r="H70" i="1"/>
  <c r="N69" i="1"/>
  <c r="J69" i="1"/>
  <c r="I69" i="1"/>
  <c r="O69" i="1"/>
  <c r="L69" i="1"/>
  <c r="M69" i="1"/>
  <c r="K69" i="1"/>
  <c r="U69" i="1"/>
  <c r="X71" i="1"/>
  <c r="AA71" i="1"/>
  <c r="C71" i="1"/>
  <c r="F71" i="1" s="1"/>
  <c r="B72" i="1"/>
  <c r="D71" i="1"/>
  <c r="E71" i="1" s="1"/>
  <c r="G71" i="1" s="1"/>
  <c r="AB71" i="1"/>
  <c r="A71" i="1"/>
  <c r="B38" i="13"/>
  <c r="C38" i="13"/>
  <c r="A38" i="13"/>
  <c r="V71" i="1"/>
  <c r="AC71" i="1" l="1"/>
  <c r="H71" i="1"/>
  <c r="M71" i="1" s="1"/>
  <c r="Q71" i="1"/>
  <c r="R71" i="1" s="1"/>
  <c r="S71" i="1" s="1"/>
  <c r="U71" i="1" s="1"/>
  <c r="I70" i="1"/>
  <c r="K70" i="1"/>
  <c r="M70" i="1"/>
  <c r="U70" i="1"/>
  <c r="T70" i="1"/>
  <c r="L70" i="1"/>
  <c r="J70" i="1"/>
  <c r="N70" i="1"/>
  <c r="P70" i="1"/>
  <c r="O70" i="1"/>
  <c r="A72" i="1"/>
  <c r="B73" i="1"/>
  <c r="C72" i="1"/>
  <c r="F72" i="1" s="1"/>
  <c r="AB72" i="1"/>
  <c r="X72" i="1"/>
  <c r="D72" i="1"/>
  <c r="E72" i="1" s="1"/>
  <c r="AA72" i="1"/>
  <c r="C39" i="13"/>
  <c r="B39" i="13"/>
  <c r="A39" i="13"/>
  <c r="V72" i="1"/>
  <c r="AC72" i="1" l="1"/>
  <c r="Q72" i="1"/>
  <c r="R72" i="1" s="1"/>
  <c r="S72" i="1" s="1"/>
  <c r="G72" i="1"/>
  <c r="H72" i="1"/>
  <c r="J71" i="1"/>
  <c r="L71" i="1"/>
  <c r="N71" i="1"/>
  <c r="I71" i="1"/>
  <c r="P71" i="1"/>
  <c r="T71" i="1"/>
  <c r="O71" i="1"/>
  <c r="K71" i="1"/>
  <c r="A40" i="13"/>
  <c r="B40" i="13"/>
  <c r="C40" i="13"/>
  <c r="V73" i="1"/>
  <c r="AB73" i="1"/>
  <c r="A73" i="1"/>
  <c r="B74" i="1"/>
  <c r="D73" i="1"/>
  <c r="E73" i="1" s="1"/>
  <c r="X73" i="1"/>
  <c r="AA73" i="1"/>
  <c r="C73" i="1"/>
  <c r="F73" i="1" s="1"/>
  <c r="AC73" i="1" l="1"/>
  <c r="H73" i="1"/>
  <c r="G73" i="1"/>
  <c r="Q73" i="1"/>
  <c r="R73" i="1" s="1"/>
  <c r="S73" i="1" s="1"/>
  <c r="M72" i="1"/>
  <c r="O72" i="1"/>
  <c r="L72" i="1"/>
  <c r="P72" i="1"/>
  <c r="K72" i="1"/>
  <c r="J72" i="1"/>
  <c r="U72" i="1"/>
  <c r="N72" i="1"/>
  <c r="I72" i="1"/>
  <c r="T72" i="1"/>
  <c r="A74" i="1"/>
  <c r="X74" i="1"/>
  <c r="AA74" i="1"/>
  <c r="B75" i="1"/>
  <c r="AB74" i="1"/>
  <c r="C74" i="1"/>
  <c r="Q74" i="1" s="1"/>
  <c r="R74" i="1" s="1"/>
  <c r="S74" i="1" s="1"/>
  <c r="D74" i="1"/>
  <c r="E74" i="1" s="1"/>
  <c r="A41" i="13"/>
  <c r="V74" i="1"/>
  <c r="B41" i="13"/>
  <c r="C41" i="13"/>
  <c r="AC74" i="1" l="1"/>
  <c r="H74" i="1"/>
  <c r="G74" i="1"/>
  <c r="F74" i="1"/>
  <c r="P73" i="1"/>
  <c r="L73" i="1"/>
  <c r="J73" i="1"/>
  <c r="U73" i="1"/>
  <c r="N73" i="1"/>
  <c r="O73" i="1"/>
  <c r="K73" i="1"/>
  <c r="M73" i="1"/>
  <c r="I73" i="1"/>
  <c r="T73" i="1"/>
  <c r="B42" i="13"/>
  <c r="A42" i="13"/>
  <c r="C42" i="13"/>
  <c r="V75" i="1"/>
  <c r="AA75" i="1"/>
  <c r="D75" i="1"/>
  <c r="E75" i="1" s="1"/>
  <c r="G75" i="1" s="1"/>
  <c r="X75" i="1"/>
  <c r="AB75" i="1"/>
  <c r="C75" i="1"/>
  <c r="F75" i="1" s="1"/>
  <c r="A75" i="1"/>
  <c r="B76" i="1"/>
  <c r="AC75" i="1" l="1"/>
  <c r="H75" i="1"/>
  <c r="L75" i="1" s="1"/>
  <c r="Q75" i="1"/>
  <c r="R75" i="1" s="1"/>
  <c r="S75" i="1" s="1"/>
  <c r="T75" i="1" s="1"/>
  <c r="L74" i="1"/>
  <c r="I74" i="1"/>
  <c r="T74" i="1"/>
  <c r="K74" i="1"/>
  <c r="N74" i="1"/>
  <c r="P74" i="1"/>
  <c r="U74" i="1"/>
  <c r="M74" i="1"/>
  <c r="O74" i="1"/>
  <c r="J74" i="1"/>
  <c r="B43" i="13"/>
  <c r="A43" i="13"/>
  <c r="V76" i="1"/>
  <c r="C43" i="13"/>
  <c r="B77" i="1"/>
  <c r="D76" i="1"/>
  <c r="E76" i="1" s="1"/>
  <c r="H76" i="1" s="1"/>
  <c r="X76" i="1"/>
  <c r="AB76" i="1"/>
  <c r="A76" i="1"/>
  <c r="C76" i="1"/>
  <c r="Q76" i="1" s="1"/>
  <c r="R76" i="1" s="1"/>
  <c r="S76" i="1" s="1"/>
  <c r="AA76" i="1"/>
  <c r="I75" i="1" l="1"/>
  <c r="P75" i="1"/>
  <c r="K75" i="1"/>
  <c r="AC76" i="1"/>
  <c r="N75" i="1"/>
  <c r="O75" i="1"/>
  <c r="J75" i="1"/>
  <c r="M75" i="1"/>
  <c r="F76" i="1"/>
  <c r="G76" i="1"/>
  <c r="U75" i="1"/>
  <c r="AA77" i="1"/>
  <c r="A77" i="1"/>
  <c r="AB77" i="1"/>
  <c r="D77" i="1"/>
  <c r="E77" i="1" s="1"/>
  <c r="G77" i="1" s="1"/>
  <c r="X77" i="1"/>
  <c r="B78" i="1"/>
  <c r="C77" i="1"/>
  <c r="F77" i="1" s="1"/>
  <c r="V77" i="1"/>
  <c r="C44" i="13"/>
  <c r="A44" i="13"/>
  <c r="B44" i="13"/>
  <c r="AC77" i="1" l="1"/>
  <c r="Q77" i="1"/>
  <c r="R77" i="1" s="1"/>
  <c r="S77" i="1" s="1"/>
  <c r="U77" i="1" s="1"/>
  <c r="H77" i="1"/>
  <c r="J77" i="1" s="1"/>
  <c r="M76" i="1"/>
  <c r="J76" i="1"/>
  <c r="U76" i="1"/>
  <c r="I76" i="1"/>
  <c r="O76" i="1"/>
  <c r="L76" i="1"/>
  <c r="K76" i="1"/>
  <c r="N76" i="1"/>
  <c r="P76" i="1"/>
  <c r="T76" i="1"/>
  <c r="X78" i="1"/>
  <c r="AA78" i="1"/>
  <c r="AB78" i="1"/>
  <c r="C78" i="1"/>
  <c r="F78" i="1" s="1"/>
  <c r="B79" i="1"/>
  <c r="A78" i="1"/>
  <c r="D78" i="1"/>
  <c r="E78" i="1" s="1"/>
  <c r="B45" i="13"/>
  <c r="V78" i="1"/>
  <c r="A45" i="13"/>
  <c r="C45" i="13"/>
  <c r="AC78" i="1" l="1"/>
  <c r="H78" i="1"/>
  <c r="G78" i="1"/>
  <c r="Q78" i="1"/>
  <c r="R78" i="1" s="1"/>
  <c r="S78" i="1" s="1"/>
  <c r="O77" i="1"/>
  <c r="L77" i="1"/>
  <c r="M77" i="1"/>
  <c r="P77" i="1"/>
  <c r="T77" i="1"/>
  <c r="I77" i="1"/>
  <c r="K77" i="1"/>
  <c r="N77" i="1"/>
  <c r="V79" i="1"/>
  <c r="A46" i="13"/>
  <c r="B46" i="13"/>
  <c r="C46" i="13"/>
  <c r="D79" i="1"/>
  <c r="E79" i="1" s="1"/>
  <c r="B80" i="1"/>
  <c r="AA79" i="1"/>
  <c r="A79" i="1"/>
  <c r="C79" i="1"/>
  <c r="F79" i="1" s="1"/>
  <c r="AB79" i="1"/>
  <c r="X79" i="1"/>
  <c r="T78" i="1" l="1"/>
  <c r="K78" i="1"/>
  <c r="AC79" i="1"/>
  <c r="N78" i="1"/>
  <c r="I78" i="1"/>
  <c r="O78" i="1"/>
  <c r="Q79" i="1"/>
  <c r="R79" i="1" s="1"/>
  <c r="S79" i="1" s="1"/>
  <c r="J78" i="1"/>
  <c r="H79" i="1"/>
  <c r="G79" i="1"/>
  <c r="L78" i="1"/>
  <c r="U78" i="1"/>
  <c r="P78" i="1"/>
  <c r="M78" i="1"/>
  <c r="A80" i="1"/>
  <c r="D80" i="1"/>
  <c r="E80" i="1" s="1"/>
  <c r="AB80" i="1"/>
  <c r="AA80" i="1"/>
  <c r="B81" i="1"/>
  <c r="X80" i="1"/>
  <c r="C80" i="1"/>
  <c r="F80" i="1" s="1"/>
  <c r="B47" i="13"/>
  <c r="A47" i="13"/>
  <c r="V80" i="1"/>
  <c r="C47" i="13"/>
  <c r="AC80" i="1" l="1"/>
  <c r="H80" i="1"/>
  <c r="G80" i="1"/>
  <c r="Q80" i="1"/>
  <c r="R80" i="1" s="1"/>
  <c r="S80" i="1" s="1"/>
  <c r="L79" i="1"/>
  <c r="M79" i="1"/>
  <c r="P79" i="1"/>
  <c r="J79" i="1"/>
  <c r="I79" i="1"/>
  <c r="O79" i="1"/>
  <c r="T79" i="1"/>
  <c r="K79" i="1"/>
  <c r="N79" i="1"/>
  <c r="U79" i="1"/>
  <c r="V81" i="1"/>
  <c r="B48" i="13"/>
  <c r="C48" i="13"/>
  <c r="A48" i="13"/>
  <c r="C81" i="1"/>
  <c r="Q81" i="1" s="1"/>
  <c r="R81" i="1" s="1"/>
  <c r="S81" i="1" s="1"/>
  <c r="D81" i="1"/>
  <c r="E81" i="1" s="1"/>
  <c r="AB81" i="1"/>
  <c r="B82" i="1"/>
  <c r="A81" i="1"/>
  <c r="AA81" i="1"/>
  <c r="X81" i="1"/>
  <c r="AC81" i="1" l="1"/>
  <c r="O80" i="1"/>
  <c r="I80" i="1"/>
  <c r="J80" i="1"/>
  <c r="N80" i="1"/>
  <c r="M80" i="1"/>
  <c r="K80" i="1"/>
  <c r="T80" i="1"/>
  <c r="F81" i="1"/>
  <c r="H81" i="1"/>
  <c r="G81" i="1"/>
  <c r="P80" i="1"/>
  <c r="L80" i="1"/>
  <c r="U80" i="1"/>
  <c r="B83" i="1"/>
  <c r="A82" i="1"/>
  <c r="AB82" i="1"/>
  <c r="D82" i="1"/>
  <c r="E82" i="1" s="1"/>
  <c r="AA82" i="1"/>
  <c r="X82" i="1"/>
  <c r="C82" i="1"/>
  <c r="Q82" i="1" s="1"/>
  <c r="R82" i="1" s="1"/>
  <c r="S82" i="1" s="1"/>
  <c r="V82" i="1"/>
  <c r="B49" i="13"/>
  <c r="A49" i="13"/>
  <c r="C49" i="13"/>
  <c r="AC82" i="1" l="1"/>
  <c r="P81" i="1"/>
  <c r="I81" i="1"/>
  <c r="L81" i="1"/>
  <c r="J81" i="1"/>
  <c r="K81" i="1"/>
  <c r="N81" i="1"/>
  <c r="O81" i="1"/>
  <c r="U81" i="1"/>
  <c r="H82" i="1"/>
  <c r="G82" i="1"/>
  <c r="T81" i="1"/>
  <c r="M81" i="1"/>
  <c r="F82" i="1"/>
  <c r="B50" i="13"/>
  <c r="V83" i="1"/>
  <c r="A50" i="13"/>
  <c r="C50" i="13"/>
  <c r="AB83" i="1"/>
  <c r="B84" i="1"/>
  <c r="C83" i="1"/>
  <c r="F83" i="1" s="1"/>
  <c r="AA83" i="1"/>
  <c r="A83" i="1"/>
  <c r="D83" i="1"/>
  <c r="E83" i="1" s="1"/>
  <c r="X83" i="1"/>
  <c r="AC83" i="1" l="1"/>
  <c r="P82" i="1"/>
  <c r="U82" i="1"/>
  <c r="T82" i="1"/>
  <c r="H83" i="1"/>
  <c r="G83" i="1"/>
  <c r="Q83" i="1"/>
  <c r="R83" i="1" s="1"/>
  <c r="S83" i="1" s="1"/>
  <c r="K82" i="1"/>
  <c r="J82" i="1"/>
  <c r="N82" i="1"/>
  <c r="L82" i="1"/>
  <c r="O82" i="1"/>
  <c r="I82" i="1"/>
  <c r="M82" i="1"/>
  <c r="V84" i="1"/>
  <c r="C51" i="13"/>
  <c r="A51" i="13"/>
  <c r="B51" i="13"/>
  <c r="A84" i="1"/>
  <c r="AA84" i="1"/>
  <c r="B85" i="1"/>
  <c r="X84" i="1"/>
  <c r="AB84" i="1"/>
  <c r="C84" i="1"/>
  <c r="Q84" i="1" s="1"/>
  <c r="R84" i="1" s="1"/>
  <c r="S84" i="1" s="1"/>
  <c r="D84" i="1"/>
  <c r="E84" i="1" s="1"/>
  <c r="AC84" i="1" l="1"/>
  <c r="F84" i="1"/>
  <c r="G84" i="1"/>
  <c r="H84" i="1"/>
  <c r="I83" i="1"/>
  <c r="U83" i="1"/>
  <c r="O83" i="1"/>
  <c r="M83" i="1"/>
  <c r="L83" i="1"/>
  <c r="J83" i="1"/>
  <c r="P83" i="1"/>
  <c r="T83" i="1"/>
  <c r="K83" i="1"/>
  <c r="N83" i="1"/>
  <c r="D85" i="1"/>
  <c r="E85" i="1" s="1"/>
  <c r="B86" i="1"/>
  <c r="AB85" i="1"/>
  <c r="C85" i="1"/>
  <c r="F85" i="1" s="1"/>
  <c r="X85" i="1"/>
  <c r="A85" i="1"/>
  <c r="AA85" i="1"/>
  <c r="A52" i="13"/>
  <c r="V85" i="1"/>
  <c r="C52" i="13"/>
  <c r="B52" i="13"/>
  <c r="AC85" i="1" l="1"/>
  <c r="H85" i="1"/>
  <c r="G85" i="1"/>
  <c r="Q85" i="1"/>
  <c r="R85" i="1" s="1"/>
  <c r="S85" i="1" s="1"/>
  <c r="I84" i="1"/>
  <c r="P84" i="1"/>
  <c r="O84" i="1"/>
  <c r="K84" i="1"/>
  <c r="U84" i="1"/>
  <c r="M84" i="1"/>
  <c r="T84" i="1"/>
  <c r="J84" i="1"/>
  <c r="N84" i="1"/>
  <c r="L84" i="1"/>
  <c r="B53" i="13"/>
  <c r="A53" i="13"/>
  <c r="V86" i="1"/>
  <c r="C53" i="13"/>
  <c r="A86" i="1"/>
  <c r="C86" i="1"/>
  <c r="Q86" i="1" s="1"/>
  <c r="R86" i="1" s="1"/>
  <c r="S86" i="1" s="1"/>
  <c r="X86" i="1"/>
  <c r="D86" i="1"/>
  <c r="E86" i="1" s="1"/>
  <c r="G86" i="1" s="1"/>
  <c r="AA86" i="1"/>
  <c r="AB86" i="1"/>
  <c r="B87" i="1"/>
  <c r="H86" i="1" l="1"/>
  <c r="K86" i="1" s="1"/>
  <c r="AC86" i="1"/>
  <c r="U86" i="1"/>
  <c r="T86" i="1"/>
  <c r="F86" i="1"/>
  <c r="L85" i="1"/>
  <c r="J85" i="1"/>
  <c r="T85" i="1"/>
  <c r="U85" i="1"/>
  <c r="I85" i="1"/>
  <c r="M85" i="1"/>
  <c r="P85" i="1"/>
  <c r="O85" i="1"/>
  <c r="K85" i="1"/>
  <c r="N85" i="1"/>
  <c r="V87" i="1"/>
  <c r="B54" i="13"/>
  <c r="C54" i="13"/>
  <c r="A54" i="13"/>
  <c r="AB87" i="1"/>
  <c r="AA87" i="1"/>
  <c r="D87" i="1"/>
  <c r="E87" i="1" s="1"/>
  <c r="A87" i="1"/>
  <c r="X87" i="1"/>
  <c r="B88" i="1"/>
  <c r="C87" i="1"/>
  <c r="F87" i="1" s="1"/>
  <c r="P86" i="1" l="1"/>
  <c r="J86" i="1"/>
  <c r="M86" i="1"/>
  <c r="I86" i="1"/>
  <c r="N86" i="1"/>
  <c r="O86" i="1"/>
  <c r="L86" i="1"/>
  <c r="AC87" i="1"/>
  <c r="H87" i="1"/>
  <c r="G87" i="1"/>
  <c r="Q87" i="1"/>
  <c r="R87" i="1" s="1"/>
  <c r="S87" i="1" s="1"/>
  <c r="A88" i="1"/>
  <c r="AB88" i="1"/>
  <c r="D88" i="1"/>
  <c r="E88" i="1" s="1"/>
  <c r="G88" i="1" s="1"/>
  <c r="C88" i="1"/>
  <c r="Q88" i="1" s="1"/>
  <c r="R88" i="1" s="1"/>
  <c r="S88" i="1" s="1"/>
  <c r="AA88" i="1"/>
  <c r="B89" i="1"/>
  <c r="X88" i="1"/>
  <c r="B55" i="13"/>
  <c r="V88" i="1"/>
  <c r="A55" i="13"/>
  <c r="C55" i="13"/>
  <c r="AC88" i="1" l="1"/>
  <c r="U87" i="1"/>
  <c r="K87" i="1"/>
  <c r="L87" i="1"/>
  <c r="J87" i="1"/>
  <c r="N87" i="1"/>
  <c r="M87" i="1"/>
  <c r="I87" i="1"/>
  <c r="F88" i="1"/>
  <c r="T88" i="1"/>
  <c r="U88" i="1"/>
  <c r="H88" i="1"/>
  <c r="M88" i="1" s="1"/>
  <c r="T87" i="1"/>
  <c r="P87" i="1"/>
  <c r="O87" i="1"/>
  <c r="B56" i="13"/>
  <c r="C56" i="13"/>
  <c r="V89" i="1"/>
  <c r="A56" i="13"/>
  <c r="B90" i="1"/>
  <c r="AB89" i="1"/>
  <c r="X89" i="1"/>
  <c r="D89" i="1"/>
  <c r="E89" i="1" s="1"/>
  <c r="C89" i="1"/>
  <c r="Q89" i="1" s="1"/>
  <c r="R89" i="1" s="1"/>
  <c r="S89" i="1" s="1"/>
  <c r="AA89" i="1"/>
  <c r="A89" i="1"/>
  <c r="AC89" i="1" l="1"/>
  <c r="L88" i="1"/>
  <c r="G89" i="1"/>
  <c r="H89" i="1"/>
  <c r="F89" i="1"/>
  <c r="P88" i="1"/>
  <c r="J88" i="1"/>
  <c r="O88" i="1"/>
  <c r="N88" i="1"/>
  <c r="I88" i="1"/>
  <c r="K88" i="1"/>
  <c r="V90" i="1"/>
  <c r="C57" i="13"/>
  <c r="A57" i="13"/>
  <c r="B57" i="13"/>
  <c r="AB90" i="1"/>
  <c r="B91" i="1"/>
  <c r="D90" i="1"/>
  <c r="E90" i="1" s="1"/>
  <c r="C90" i="1"/>
  <c r="F90" i="1" s="1"/>
  <c r="AA90" i="1"/>
  <c r="X90" i="1"/>
  <c r="A90" i="1"/>
  <c r="AC90" i="1" l="1"/>
  <c r="Q90" i="1"/>
  <c r="R90" i="1" s="1"/>
  <c r="S90" i="1" s="1"/>
  <c r="G90" i="1"/>
  <c r="H90" i="1"/>
  <c r="P89" i="1"/>
  <c r="U89" i="1"/>
  <c r="N89" i="1"/>
  <c r="I89" i="1"/>
  <c r="T89" i="1"/>
  <c r="O89" i="1"/>
  <c r="J89" i="1"/>
  <c r="L89" i="1"/>
  <c r="K89" i="1"/>
  <c r="M89" i="1"/>
  <c r="B92" i="1"/>
  <c r="X91" i="1"/>
  <c r="D91" i="1"/>
  <c r="E91" i="1" s="1"/>
  <c r="A91" i="1"/>
  <c r="AA91" i="1"/>
  <c r="C91" i="1"/>
  <c r="F91" i="1" s="1"/>
  <c r="AB91" i="1"/>
  <c r="B58" i="13"/>
  <c r="C58" i="13"/>
  <c r="A58" i="13"/>
  <c r="V91" i="1"/>
  <c r="AC91" i="1" l="1"/>
  <c r="Q91" i="1"/>
  <c r="R91" i="1" s="1"/>
  <c r="S91" i="1" s="1"/>
  <c r="H91" i="1"/>
  <c r="G91" i="1"/>
  <c r="T90" i="1"/>
  <c r="O90" i="1"/>
  <c r="P90" i="1"/>
  <c r="M90" i="1"/>
  <c r="J90" i="1"/>
  <c r="N90" i="1"/>
  <c r="I90" i="1"/>
  <c r="U90" i="1"/>
  <c r="K90" i="1"/>
  <c r="L90" i="1"/>
  <c r="AB92" i="1"/>
  <c r="AA92" i="1"/>
  <c r="AC92" i="1" s="1"/>
  <c r="D92" i="1"/>
  <c r="E92" i="1" s="1"/>
  <c r="G92" i="1" s="1"/>
  <c r="X92" i="1"/>
  <c r="B93" i="1"/>
  <c r="C92" i="1"/>
  <c r="F92" i="1" s="1"/>
  <c r="A92" i="1"/>
  <c r="C59" i="13"/>
  <c r="V92" i="1"/>
  <c r="A59" i="13"/>
  <c r="B59" i="13"/>
  <c r="Q92" i="1" l="1"/>
  <c r="R92" i="1" s="1"/>
  <c r="S92" i="1" s="1"/>
  <c r="T92" i="1" s="1"/>
  <c r="H92" i="1"/>
  <c r="O92" i="1" s="1"/>
  <c r="P91" i="1"/>
  <c r="I91" i="1"/>
  <c r="M91" i="1"/>
  <c r="L91" i="1"/>
  <c r="N91" i="1"/>
  <c r="U91" i="1"/>
  <c r="T91" i="1"/>
  <c r="O91" i="1"/>
  <c r="K91" i="1"/>
  <c r="J91" i="1"/>
  <c r="C93" i="1"/>
  <c r="Q93" i="1" s="1"/>
  <c r="R93" i="1" s="1"/>
  <c r="S93" i="1" s="1"/>
  <c r="AB93" i="1"/>
  <c r="AA93" i="1"/>
  <c r="AC93" i="1" s="1"/>
  <c r="X93" i="1"/>
  <c r="D93" i="1"/>
  <c r="E93" i="1" s="1"/>
  <c r="H93" i="1" s="1"/>
  <c r="B94" i="1"/>
  <c r="A93" i="1"/>
  <c r="V93" i="1"/>
  <c r="C60" i="13"/>
  <c r="B60" i="13"/>
  <c r="A60" i="13"/>
  <c r="U92" i="1" l="1"/>
  <c r="K92" i="1"/>
  <c r="P92" i="1"/>
  <c r="F93" i="1"/>
  <c r="N92" i="1"/>
  <c r="J92" i="1"/>
  <c r="L92" i="1"/>
  <c r="M92" i="1"/>
  <c r="I92" i="1"/>
  <c r="G93" i="1"/>
  <c r="AB94" i="1"/>
  <c r="C94" i="1"/>
  <c r="F94" i="1" s="1"/>
  <c r="AA94" i="1"/>
  <c r="X94" i="1"/>
  <c r="B95" i="1"/>
  <c r="D94" i="1"/>
  <c r="E94" i="1" s="1"/>
  <c r="A94" i="1"/>
  <c r="C61" i="13"/>
  <c r="A61" i="13"/>
  <c r="V94" i="1"/>
  <c r="B61" i="13"/>
  <c r="AC94" i="1" l="1"/>
  <c r="Q94" i="1"/>
  <c r="R94" i="1" s="1"/>
  <c r="S94" i="1" s="1"/>
  <c r="G94" i="1"/>
  <c r="H94" i="1"/>
  <c r="P93" i="1"/>
  <c r="I93" i="1"/>
  <c r="O93" i="1"/>
  <c r="N93" i="1"/>
  <c r="M93" i="1"/>
  <c r="L93" i="1"/>
  <c r="J93" i="1"/>
  <c r="T93" i="1"/>
  <c r="K93" i="1"/>
  <c r="U93" i="1"/>
  <c r="V95" i="1"/>
  <c r="A62" i="13"/>
  <c r="B62" i="13"/>
  <c r="C62" i="13"/>
  <c r="AA95" i="1"/>
  <c r="D95" i="1"/>
  <c r="E95" i="1" s="1"/>
  <c r="AB95" i="1"/>
  <c r="X95" i="1"/>
  <c r="B96" i="1"/>
  <c r="C95" i="1"/>
  <c r="F95" i="1" s="1"/>
  <c r="A95" i="1"/>
  <c r="AC95" i="1" l="1"/>
  <c r="H95" i="1"/>
  <c r="G95" i="1"/>
  <c r="Q95" i="1"/>
  <c r="R95" i="1" s="1"/>
  <c r="S95" i="1" s="1"/>
  <c r="L94" i="1"/>
  <c r="P94" i="1"/>
  <c r="M94" i="1"/>
  <c r="T94" i="1"/>
  <c r="K94" i="1"/>
  <c r="I94" i="1"/>
  <c r="N94" i="1"/>
  <c r="U94" i="1"/>
  <c r="O94" i="1"/>
  <c r="J94" i="1"/>
  <c r="AA96" i="1"/>
  <c r="X96" i="1"/>
  <c r="A96" i="1"/>
  <c r="D96" i="1"/>
  <c r="E96" i="1" s="1"/>
  <c r="H96" i="1" s="1"/>
  <c r="C96" i="1"/>
  <c r="Q96" i="1" s="1"/>
  <c r="R96" i="1" s="1"/>
  <c r="S96" i="1" s="1"/>
  <c r="AB96" i="1"/>
  <c r="B97" i="1"/>
  <c r="C63" i="13"/>
  <c r="A63" i="13"/>
  <c r="B63" i="13"/>
  <c r="V96" i="1"/>
  <c r="AC96" i="1" l="1"/>
  <c r="G96" i="1"/>
  <c r="U96" i="1" s="1"/>
  <c r="F96" i="1"/>
  <c r="T95" i="1"/>
  <c r="J95" i="1"/>
  <c r="P95" i="1"/>
  <c r="U95" i="1"/>
  <c r="I95" i="1"/>
  <c r="N95" i="1"/>
  <c r="L95" i="1"/>
  <c r="O95" i="1"/>
  <c r="M95" i="1"/>
  <c r="K95" i="1"/>
  <c r="A64" i="13"/>
  <c r="B64" i="13"/>
  <c r="V97" i="1"/>
  <c r="C64" i="13"/>
  <c r="AA97" i="1"/>
  <c r="B98" i="1"/>
  <c r="C97" i="1"/>
  <c r="Q97" i="1" s="1"/>
  <c r="R97" i="1" s="1"/>
  <c r="S97" i="1" s="1"/>
  <c r="A97" i="1"/>
  <c r="X97" i="1"/>
  <c r="D97" i="1"/>
  <c r="E97" i="1" s="1"/>
  <c r="AB97" i="1"/>
  <c r="I96" i="1" l="1"/>
  <c r="T96" i="1"/>
  <c r="N96" i="1"/>
  <c r="O96" i="1"/>
  <c r="J96" i="1"/>
  <c r="K96" i="1"/>
  <c r="P96" i="1"/>
  <c r="L96" i="1"/>
  <c r="M96" i="1"/>
  <c r="F97" i="1"/>
  <c r="AC97" i="1"/>
  <c r="H97" i="1"/>
  <c r="G97" i="1"/>
  <c r="A65" i="13"/>
  <c r="V98" i="1"/>
  <c r="B65" i="13"/>
  <c r="C65" i="13"/>
  <c r="A98" i="1"/>
  <c r="B99" i="1"/>
  <c r="AB98" i="1"/>
  <c r="X98" i="1"/>
  <c r="D98" i="1"/>
  <c r="E98" i="1" s="1"/>
  <c r="AA98" i="1"/>
  <c r="C98" i="1"/>
  <c r="Q98" i="1" s="1"/>
  <c r="R98" i="1" s="1"/>
  <c r="S98" i="1" s="1"/>
  <c r="AC98" i="1" l="1"/>
  <c r="H98" i="1"/>
  <c r="G98" i="1"/>
  <c r="F98" i="1"/>
  <c r="O97" i="1"/>
  <c r="L97" i="1"/>
  <c r="P97" i="1"/>
  <c r="N97" i="1"/>
  <c r="J97" i="1"/>
  <c r="T97" i="1"/>
  <c r="I97" i="1"/>
  <c r="M97" i="1"/>
  <c r="K97" i="1"/>
  <c r="U97" i="1"/>
  <c r="AB99" i="1"/>
  <c r="X99" i="1"/>
  <c r="D99" i="1"/>
  <c r="E99" i="1" s="1"/>
  <c r="G99" i="1" s="1"/>
  <c r="A99" i="1"/>
  <c r="AA99" i="1"/>
  <c r="C99" i="1"/>
  <c r="Q99" i="1" s="1"/>
  <c r="R99" i="1" s="1"/>
  <c r="S99" i="1" s="1"/>
  <c r="B100" i="1"/>
  <c r="C66" i="13"/>
  <c r="V99" i="1"/>
  <c r="B66" i="13"/>
  <c r="A66" i="13"/>
  <c r="AC99" i="1" l="1"/>
  <c r="H99" i="1"/>
  <c r="J99" i="1" s="1"/>
  <c r="F99" i="1"/>
  <c r="U99" i="1"/>
  <c r="T99" i="1"/>
  <c r="J98" i="1"/>
  <c r="U98" i="1"/>
  <c r="L98" i="1"/>
  <c r="P98" i="1"/>
  <c r="I98" i="1"/>
  <c r="K98" i="1"/>
  <c r="T98" i="1"/>
  <c r="N98" i="1"/>
  <c r="M98" i="1"/>
  <c r="O98" i="1"/>
  <c r="V100" i="1"/>
  <c r="A67" i="13"/>
  <c r="C67" i="13"/>
  <c r="B67" i="13"/>
  <c r="AB100" i="1"/>
  <c r="C100" i="1"/>
  <c r="Q100" i="1" s="1"/>
  <c r="R100" i="1" s="1"/>
  <c r="S100" i="1" s="1"/>
  <c r="B101" i="1"/>
  <c r="D100" i="1"/>
  <c r="E100" i="1" s="1"/>
  <c r="X100" i="1"/>
  <c r="A100" i="1"/>
  <c r="AA100" i="1"/>
  <c r="K99" i="1" l="1"/>
  <c r="P99" i="1"/>
  <c r="L99" i="1"/>
  <c r="O99" i="1"/>
  <c r="N99" i="1"/>
  <c r="AC100" i="1"/>
  <c r="M99" i="1"/>
  <c r="I99" i="1"/>
  <c r="G100" i="1"/>
  <c r="H100" i="1"/>
  <c r="F100" i="1"/>
  <c r="AA101" i="1"/>
  <c r="A101" i="1"/>
  <c r="AB101" i="1"/>
  <c r="B102" i="1"/>
  <c r="X101" i="1"/>
  <c r="D101" i="1"/>
  <c r="E101" i="1" s="1"/>
  <c r="C101" i="1"/>
  <c r="F101" i="1" s="1"/>
  <c r="B68" i="13"/>
  <c r="V101" i="1"/>
  <c r="A68" i="13"/>
  <c r="C68" i="13"/>
  <c r="AC101" i="1" l="1"/>
  <c r="Q101" i="1"/>
  <c r="R101" i="1" s="1"/>
  <c r="S101" i="1" s="1"/>
  <c r="G101" i="1"/>
  <c r="H101" i="1"/>
  <c r="M100" i="1"/>
  <c r="K100" i="1"/>
  <c r="U100" i="1"/>
  <c r="I100" i="1"/>
  <c r="N100" i="1"/>
  <c r="J100" i="1"/>
  <c r="L100" i="1"/>
  <c r="P100" i="1"/>
  <c r="T100" i="1"/>
  <c r="O100" i="1"/>
  <c r="X102" i="1"/>
  <c r="D102" i="1"/>
  <c r="E102" i="1" s="1"/>
  <c r="G102" i="1" s="1"/>
  <c r="B103" i="1"/>
  <c r="AA102" i="1"/>
  <c r="AB102" i="1"/>
  <c r="C102" i="1"/>
  <c r="F102" i="1" s="1"/>
  <c r="A102" i="1"/>
  <c r="A69" i="13"/>
  <c r="V102" i="1"/>
  <c r="B69" i="13"/>
  <c r="C69" i="13"/>
  <c r="AC102" i="1" l="1"/>
  <c r="Q102" i="1"/>
  <c r="R102" i="1" s="1"/>
  <c r="S102" i="1" s="1"/>
  <c r="T102" i="1" s="1"/>
  <c r="H102" i="1"/>
  <c r="M102" i="1" s="1"/>
  <c r="N101" i="1"/>
  <c r="U101" i="1"/>
  <c r="T101" i="1"/>
  <c r="I101" i="1"/>
  <c r="O101" i="1"/>
  <c r="J101" i="1"/>
  <c r="M101" i="1"/>
  <c r="K101" i="1"/>
  <c r="P101" i="1"/>
  <c r="L101" i="1"/>
  <c r="V103" i="1"/>
  <c r="A70" i="13"/>
  <c r="C70" i="13"/>
  <c r="B70" i="13"/>
  <c r="D103" i="1"/>
  <c r="E103" i="1" s="1"/>
  <c r="X103" i="1"/>
  <c r="B104" i="1"/>
  <c r="AB103" i="1"/>
  <c r="C103" i="1"/>
  <c r="Q103" i="1" s="1"/>
  <c r="R103" i="1" s="1"/>
  <c r="S103" i="1" s="1"/>
  <c r="A103" i="1"/>
  <c r="AA103" i="1"/>
  <c r="AC103" i="1" s="1"/>
  <c r="F103" i="1" l="1"/>
  <c r="U102" i="1"/>
  <c r="H103" i="1"/>
  <c r="G103" i="1"/>
  <c r="O102" i="1"/>
  <c r="K102" i="1"/>
  <c r="I102" i="1"/>
  <c r="N102" i="1"/>
  <c r="J102" i="1"/>
  <c r="P102" i="1"/>
  <c r="L102" i="1"/>
  <c r="X104" i="1"/>
  <c r="C104" i="1"/>
  <c r="F104" i="1" s="1"/>
  <c r="AA104" i="1"/>
  <c r="B105" i="1"/>
  <c r="A104" i="1"/>
  <c r="D104" i="1"/>
  <c r="E104" i="1" s="1"/>
  <c r="G104" i="1" s="1"/>
  <c r="AB104" i="1"/>
  <c r="C71" i="13"/>
  <c r="V104" i="1"/>
  <c r="B71" i="13"/>
  <c r="A71" i="13"/>
  <c r="AC104" i="1" l="1"/>
  <c r="Q104" i="1"/>
  <c r="R104" i="1" s="1"/>
  <c r="S104" i="1" s="1"/>
  <c r="T104" i="1" s="1"/>
  <c r="H104" i="1"/>
  <c r="J104" i="1" s="1"/>
  <c r="L103" i="1"/>
  <c r="N103" i="1"/>
  <c r="M103" i="1"/>
  <c r="K103" i="1"/>
  <c r="P103" i="1"/>
  <c r="I103" i="1"/>
  <c r="U103" i="1"/>
  <c r="T103" i="1"/>
  <c r="J103" i="1"/>
  <c r="O103" i="1"/>
  <c r="D105" i="1"/>
  <c r="E105" i="1" s="1"/>
  <c r="AB105" i="1"/>
  <c r="X105" i="1"/>
  <c r="C105" i="1"/>
  <c r="Q105" i="1" s="1"/>
  <c r="R105" i="1" s="1"/>
  <c r="S105" i="1" s="1"/>
  <c r="AA105" i="1"/>
  <c r="B106" i="1"/>
  <c r="A105" i="1"/>
  <c r="V105" i="1"/>
  <c r="C72" i="13"/>
  <c r="A72" i="13"/>
  <c r="B72" i="13"/>
  <c r="AC105" i="1" l="1"/>
  <c r="N104" i="1"/>
  <c r="U104" i="1"/>
  <c r="F105" i="1"/>
  <c r="O104" i="1"/>
  <c r="I104" i="1"/>
  <c r="M104" i="1"/>
  <c r="H105" i="1"/>
  <c r="G105" i="1"/>
  <c r="P104" i="1"/>
  <c r="K104" i="1"/>
  <c r="L104" i="1"/>
  <c r="V106" i="1"/>
  <c r="C73" i="13"/>
  <c r="A73" i="13"/>
  <c r="B73" i="13"/>
  <c r="D106" i="1"/>
  <c r="E106" i="1" s="1"/>
  <c r="AB106" i="1"/>
  <c r="B107" i="1"/>
  <c r="C106" i="1"/>
  <c r="Q106" i="1" s="1"/>
  <c r="R106" i="1" s="1"/>
  <c r="S106" i="1" s="1"/>
  <c r="X106" i="1"/>
  <c r="AA106" i="1"/>
  <c r="A106" i="1"/>
  <c r="AC106" i="1" l="1"/>
  <c r="H106" i="1"/>
  <c r="G106" i="1"/>
  <c r="F106" i="1"/>
  <c r="T105" i="1"/>
  <c r="I105" i="1"/>
  <c r="L105" i="1"/>
  <c r="U105" i="1"/>
  <c r="J105" i="1"/>
  <c r="K105" i="1"/>
  <c r="M105" i="1"/>
  <c r="P105" i="1"/>
  <c r="O105" i="1"/>
  <c r="N105" i="1"/>
  <c r="A107" i="1"/>
  <c r="AA107" i="1"/>
  <c r="C107" i="1"/>
  <c r="F107" i="1" s="1"/>
  <c r="AB107" i="1"/>
  <c r="D107" i="1"/>
  <c r="E107" i="1" s="1"/>
  <c r="B108" i="1"/>
  <c r="X107" i="1"/>
  <c r="B74" i="13"/>
  <c r="A74" i="13"/>
  <c r="C74" i="13"/>
  <c r="V107" i="1"/>
  <c r="AC107" i="1" l="1"/>
  <c r="O106" i="1"/>
  <c r="M106" i="1"/>
  <c r="P106" i="1"/>
  <c r="I106" i="1"/>
  <c r="U106" i="1"/>
  <c r="N106" i="1"/>
  <c r="L106" i="1"/>
  <c r="T106" i="1"/>
  <c r="J106" i="1"/>
  <c r="K106" i="1"/>
  <c r="H107" i="1"/>
  <c r="G107" i="1"/>
  <c r="Q107" i="1"/>
  <c r="R107" i="1" s="1"/>
  <c r="S107" i="1" s="1"/>
  <c r="B75" i="13"/>
  <c r="C75" i="13"/>
  <c r="A75" i="13"/>
  <c r="V108" i="1"/>
  <c r="AB108" i="1"/>
  <c r="C108" i="1"/>
  <c r="Q108" i="1" s="1"/>
  <c r="R108" i="1" s="1"/>
  <c r="S108" i="1" s="1"/>
  <c r="D108" i="1"/>
  <c r="E108" i="1" s="1"/>
  <c r="B109" i="1"/>
  <c r="X108" i="1"/>
  <c r="A108" i="1"/>
  <c r="AA108" i="1"/>
  <c r="AC108" i="1" l="1"/>
  <c r="H108" i="1"/>
  <c r="G108" i="1"/>
  <c r="F108" i="1"/>
  <c r="U107" i="1"/>
  <c r="N107" i="1"/>
  <c r="O107" i="1"/>
  <c r="L107" i="1"/>
  <c r="J107" i="1"/>
  <c r="K107" i="1"/>
  <c r="T107" i="1"/>
  <c r="M107" i="1"/>
  <c r="P107" i="1"/>
  <c r="I107" i="1"/>
  <c r="V109" i="1"/>
  <c r="A76" i="13"/>
  <c r="B76" i="13"/>
  <c r="C76" i="13"/>
  <c r="C109" i="1"/>
  <c r="Q109" i="1" s="1"/>
  <c r="R109" i="1" s="1"/>
  <c r="S109" i="1" s="1"/>
  <c r="AB109" i="1"/>
  <c r="D109" i="1"/>
  <c r="E109" i="1" s="1"/>
  <c r="B110" i="1"/>
  <c r="X109" i="1"/>
  <c r="A109" i="1"/>
  <c r="AA109" i="1"/>
  <c r="AC109" i="1" l="1"/>
  <c r="F109" i="1"/>
  <c r="H109" i="1"/>
  <c r="G109" i="1"/>
  <c r="P108" i="1"/>
  <c r="J108" i="1"/>
  <c r="M108" i="1"/>
  <c r="L108" i="1"/>
  <c r="U108" i="1"/>
  <c r="I108" i="1"/>
  <c r="K108" i="1"/>
  <c r="N108" i="1"/>
  <c r="T108" i="1"/>
  <c r="O108" i="1"/>
  <c r="AB110" i="1"/>
  <c r="A110" i="1"/>
  <c r="C110" i="1"/>
  <c r="Q110" i="1" s="1"/>
  <c r="R110" i="1" s="1"/>
  <c r="S110" i="1" s="1"/>
  <c r="B111" i="1"/>
  <c r="D110" i="1"/>
  <c r="E110" i="1" s="1"/>
  <c r="AA110" i="1"/>
  <c r="X110" i="1"/>
  <c r="B77" i="13"/>
  <c r="A77" i="13"/>
  <c r="C77" i="13"/>
  <c r="V110" i="1"/>
  <c r="AC110" i="1" l="1"/>
  <c r="F110" i="1"/>
  <c r="H110" i="1"/>
  <c r="G110" i="1"/>
  <c r="K109" i="1"/>
  <c r="U109" i="1"/>
  <c r="L109" i="1"/>
  <c r="J109" i="1"/>
  <c r="N109" i="1"/>
  <c r="M109" i="1"/>
  <c r="T109" i="1"/>
  <c r="I109" i="1"/>
  <c r="P109" i="1"/>
  <c r="O109" i="1"/>
  <c r="B112" i="1"/>
  <c r="AB111" i="1"/>
  <c r="AA111" i="1"/>
  <c r="A111" i="1"/>
  <c r="D111" i="1"/>
  <c r="E111" i="1" s="1"/>
  <c r="C111" i="1"/>
  <c r="Q111" i="1" s="1"/>
  <c r="R111" i="1" s="1"/>
  <c r="S111" i="1" s="1"/>
  <c r="X111" i="1"/>
  <c r="B78" i="13"/>
  <c r="C78" i="13"/>
  <c r="A78" i="13"/>
  <c r="V111" i="1"/>
  <c r="AC111" i="1" l="1"/>
  <c r="G111" i="1"/>
  <c r="H111" i="1"/>
  <c r="F111" i="1"/>
  <c r="P110" i="1"/>
  <c r="L110" i="1"/>
  <c r="J110" i="1"/>
  <c r="U110" i="1"/>
  <c r="I110" i="1"/>
  <c r="T110" i="1"/>
  <c r="M110" i="1"/>
  <c r="K110" i="1"/>
  <c r="O110" i="1"/>
  <c r="N110" i="1"/>
  <c r="B113" i="1"/>
  <c r="AB112" i="1"/>
  <c r="C112" i="1"/>
  <c r="Q112" i="1" s="1"/>
  <c r="R112" i="1" s="1"/>
  <c r="S112" i="1" s="1"/>
  <c r="A112" i="1"/>
  <c r="X112" i="1"/>
  <c r="D112" i="1"/>
  <c r="E112" i="1" s="1"/>
  <c r="G112" i="1" s="1"/>
  <c r="AA112" i="1"/>
  <c r="A79" i="13"/>
  <c r="B79" i="13"/>
  <c r="V112" i="1"/>
  <c r="C79" i="13"/>
  <c r="AC112" i="1" l="1"/>
  <c r="F112" i="1"/>
  <c r="H112" i="1"/>
  <c r="O112" i="1" s="1"/>
  <c r="T112" i="1"/>
  <c r="U112" i="1"/>
  <c r="I111" i="1"/>
  <c r="O111" i="1"/>
  <c r="M111" i="1"/>
  <c r="N111" i="1"/>
  <c r="K111" i="1"/>
  <c r="J111" i="1"/>
  <c r="P111" i="1"/>
  <c r="L111" i="1"/>
  <c r="T111" i="1"/>
  <c r="U111" i="1"/>
  <c r="AB113" i="1"/>
  <c r="B114" i="1"/>
  <c r="X113" i="1"/>
  <c r="C113" i="1"/>
  <c r="Q113" i="1" s="1"/>
  <c r="R113" i="1" s="1"/>
  <c r="S113" i="1" s="1"/>
  <c r="A113" i="1"/>
  <c r="D113" i="1"/>
  <c r="E113" i="1" s="1"/>
  <c r="AA113" i="1"/>
  <c r="A80" i="13"/>
  <c r="V113" i="1"/>
  <c r="B80" i="13"/>
  <c r="C80" i="13"/>
  <c r="AC113" i="1" l="1"/>
  <c r="K112" i="1"/>
  <c r="P112" i="1"/>
  <c r="J112" i="1"/>
  <c r="I112" i="1"/>
  <c r="N112" i="1"/>
  <c r="L112" i="1"/>
  <c r="M112" i="1"/>
  <c r="F113" i="1"/>
  <c r="H113" i="1"/>
  <c r="G113" i="1"/>
  <c r="C114" i="1"/>
  <c r="Q114" i="1" s="1"/>
  <c r="R114" i="1" s="1"/>
  <c r="S114" i="1" s="1"/>
  <c r="AA114" i="1"/>
  <c r="B115" i="1"/>
  <c r="D114" i="1"/>
  <c r="E114" i="1" s="1"/>
  <c r="A114" i="1"/>
  <c r="AB114" i="1"/>
  <c r="X114" i="1"/>
  <c r="B81" i="13"/>
  <c r="C81" i="13"/>
  <c r="V114" i="1"/>
  <c r="A81" i="13"/>
  <c r="AC114" i="1" l="1"/>
  <c r="H114" i="1"/>
  <c r="G114" i="1"/>
  <c r="P113" i="1"/>
  <c r="M113" i="1"/>
  <c r="O113" i="1"/>
  <c r="K113" i="1"/>
  <c r="I113" i="1"/>
  <c r="J113" i="1"/>
  <c r="N113" i="1"/>
  <c r="L113" i="1"/>
  <c r="T113" i="1"/>
  <c r="U113" i="1"/>
  <c r="F114" i="1"/>
  <c r="A82" i="13"/>
  <c r="B82" i="13"/>
  <c r="V115" i="1"/>
  <c r="C82" i="13"/>
  <c r="X115" i="1"/>
  <c r="B116" i="1"/>
  <c r="AA115" i="1"/>
  <c r="D115" i="1"/>
  <c r="E115" i="1" s="1"/>
  <c r="G115" i="1" s="1"/>
  <c r="C115" i="1"/>
  <c r="F115" i="1" s="1"/>
  <c r="A115" i="1"/>
  <c r="AB115" i="1"/>
  <c r="AC115" i="1" l="1"/>
  <c r="Q115" i="1"/>
  <c r="R115" i="1" s="1"/>
  <c r="S115" i="1" s="1"/>
  <c r="T115" i="1" s="1"/>
  <c r="H115" i="1"/>
  <c r="O115" i="1" s="1"/>
  <c r="T114" i="1"/>
  <c r="L114" i="1"/>
  <c r="K114" i="1"/>
  <c r="J114" i="1"/>
  <c r="U114" i="1"/>
  <c r="I114" i="1"/>
  <c r="M114" i="1"/>
  <c r="P114" i="1"/>
  <c r="O114" i="1"/>
  <c r="N114" i="1"/>
  <c r="B83" i="13"/>
  <c r="V116" i="1"/>
  <c r="A83" i="13"/>
  <c r="C83" i="13"/>
  <c r="X116" i="1"/>
  <c r="C116" i="1"/>
  <c r="Q116" i="1" s="1"/>
  <c r="R116" i="1" s="1"/>
  <c r="S116" i="1" s="1"/>
  <c r="AA116" i="1"/>
  <c r="AB116" i="1"/>
  <c r="B117" i="1"/>
  <c r="A116" i="1"/>
  <c r="D116" i="1"/>
  <c r="E116" i="1" s="1"/>
  <c r="AC116" i="1" l="1"/>
  <c r="U115" i="1"/>
  <c r="M115" i="1"/>
  <c r="N115" i="1"/>
  <c r="H116" i="1"/>
  <c r="G116" i="1"/>
  <c r="L115" i="1"/>
  <c r="F116" i="1"/>
  <c r="J115" i="1"/>
  <c r="K115" i="1"/>
  <c r="I115" i="1"/>
  <c r="P115" i="1"/>
  <c r="C117" i="1"/>
  <c r="Q117" i="1" s="1"/>
  <c r="R117" i="1" s="1"/>
  <c r="S117" i="1" s="1"/>
  <c r="D117" i="1"/>
  <c r="E117" i="1" s="1"/>
  <c r="A117" i="1"/>
  <c r="X117" i="1"/>
  <c r="AA117" i="1"/>
  <c r="B118" i="1"/>
  <c r="AB117" i="1"/>
  <c r="A84" i="13"/>
  <c r="C84" i="13"/>
  <c r="V117" i="1"/>
  <c r="B84" i="13"/>
  <c r="AC117" i="1" l="1"/>
  <c r="F117" i="1"/>
  <c r="G117" i="1"/>
  <c r="H117" i="1"/>
  <c r="K116" i="1"/>
  <c r="O116" i="1"/>
  <c r="P116" i="1"/>
  <c r="M116" i="1"/>
  <c r="T116" i="1"/>
  <c r="N116" i="1"/>
  <c r="I116" i="1"/>
  <c r="U116" i="1"/>
  <c r="J116" i="1"/>
  <c r="L116" i="1"/>
  <c r="AB118" i="1"/>
  <c r="D118" i="1"/>
  <c r="E118" i="1" s="1"/>
  <c r="A118" i="1"/>
  <c r="X118" i="1"/>
  <c r="B119" i="1"/>
  <c r="AA118" i="1"/>
  <c r="C118" i="1"/>
  <c r="F118" i="1" s="1"/>
  <c r="B85" i="13"/>
  <c r="C85" i="13"/>
  <c r="V118" i="1"/>
  <c r="A85" i="13"/>
  <c r="AC118" i="1" l="1"/>
  <c r="G118" i="1"/>
  <c r="H118" i="1"/>
  <c r="Q118" i="1"/>
  <c r="R118" i="1" s="1"/>
  <c r="S118" i="1" s="1"/>
  <c r="I117" i="1"/>
  <c r="T117" i="1"/>
  <c r="M117" i="1"/>
  <c r="K117" i="1"/>
  <c r="U117" i="1"/>
  <c r="L117" i="1"/>
  <c r="N117" i="1"/>
  <c r="J117" i="1"/>
  <c r="P117" i="1"/>
  <c r="O117" i="1"/>
  <c r="C86" i="13"/>
  <c r="V119" i="1"/>
  <c r="A86" i="13"/>
  <c r="B86" i="13"/>
  <c r="C119" i="1"/>
  <c r="F119" i="1" s="1"/>
  <c r="A119" i="1"/>
  <c r="B120" i="1"/>
  <c r="X119" i="1"/>
  <c r="AB119" i="1"/>
  <c r="D119" i="1"/>
  <c r="E119" i="1" s="1"/>
  <c r="AA119" i="1"/>
  <c r="AC119" i="1" l="1"/>
  <c r="U118" i="1"/>
  <c r="P118" i="1"/>
  <c r="I118" i="1"/>
  <c r="K118" i="1"/>
  <c r="O118" i="1"/>
  <c r="M118" i="1"/>
  <c r="N118" i="1"/>
  <c r="J118" i="1"/>
  <c r="L118" i="1"/>
  <c r="H119" i="1"/>
  <c r="G119" i="1"/>
  <c r="Q119" i="1"/>
  <c r="R119" i="1" s="1"/>
  <c r="S119" i="1" s="1"/>
  <c r="T118" i="1"/>
  <c r="C87" i="13"/>
  <c r="A87" i="13"/>
  <c r="V120" i="1"/>
  <c r="B87" i="13"/>
  <c r="X120" i="1"/>
  <c r="B121" i="1"/>
  <c r="AB120" i="1"/>
  <c r="C120" i="1"/>
  <c r="F120" i="1" s="1"/>
  <c r="A120" i="1"/>
  <c r="AA120" i="1"/>
  <c r="D120" i="1"/>
  <c r="E120" i="1" s="1"/>
  <c r="AC120" i="1" l="1"/>
  <c r="Q120" i="1"/>
  <c r="R120" i="1" s="1"/>
  <c r="S120" i="1" s="1"/>
  <c r="H120" i="1"/>
  <c r="G120" i="1"/>
  <c r="N119" i="1"/>
  <c r="T119" i="1"/>
  <c r="P119" i="1"/>
  <c r="K119" i="1"/>
  <c r="L119" i="1"/>
  <c r="I119" i="1"/>
  <c r="O119" i="1"/>
  <c r="U119" i="1"/>
  <c r="M119" i="1"/>
  <c r="J119" i="1"/>
  <c r="A121" i="1"/>
  <c r="AA121" i="1"/>
  <c r="D121" i="1"/>
  <c r="E121" i="1" s="1"/>
  <c r="G121" i="1" s="1"/>
  <c r="AB121" i="1"/>
  <c r="C121" i="1"/>
  <c r="F121" i="1" s="1"/>
  <c r="B122" i="1"/>
  <c r="X121" i="1"/>
  <c r="V121" i="1"/>
  <c r="A88" i="13"/>
  <c r="B88" i="13"/>
  <c r="C88" i="13"/>
  <c r="AC121" i="1" l="1"/>
  <c r="Q121" i="1"/>
  <c r="R121" i="1" s="1"/>
  <c r="S121" i="1" s="1"/>
  <c r="T121" i="1" s="1"/>
  <c r="H121" i="1"/>
  <c r="J121" i="1" s="1"/>
  <c r="N120" i="1"/>
  <c r="K120" i="1"/>
  <c r="O120" i="1"/>
  <c r="L120" i="1"/>
  <c r="P120" i="1"/>
  <c r="U120" i="1"/>
  <c r="M120" i="1"/>
  <c r="I120" i="1"/>
  <c r="T120" i="1"/>
  <c r="J120" i="1"/>
  <c r="A122" i="1"/>
  <c r="D122" i="1"/>
  <c r="E122" i="1" s="1"/>
  <c r="H122" i="1" s="1"/>
  <c r="C122" i="1"/>
  <c r="F122" i="1" s="1"/>
  <c r="B123" i="1"/>
  <c r="X122" i="1"/>
  <c r="AB122" i="1"/>
  <c r="AA122" i="1"/>
  <c r="C89" i="13"/>
  <c r="B89" i="13"/>
  <c r="A89" i="13"/>
  <c r="V122" i="1"/>
  <c r="AC122" i="1" l="1"/>
  <c r="U121" i="1"/>
  <c r="K121" i="1"/>
  <c r="L121" i="1"/>
  <c r="Q122" i="1"/>
  <c r="R122" i="1" s="1"/>
  <c r="S122" i="1" s="1"/>
  <c r="P121" i="1"/>
  <c r="I121" i="1"/>
  <c r="G122" i="1"/>
  <c r="N121" i="1"/>
  <c r="O121" i="1"/>
  <c r="M121" i="1"/>
  <c r="C123" i="1"/>
  <c r="F123" i="1" s="1"/>
  <c r="D123" i="1"/>
  <c r="E123" i="1" s="1"/>
  <c r="AA123" i="1"/>
  <c r="AB123" i="1"/>
  <c r="AC123" i="1" s="1"/>
  <c r="B124" i="1"/>
  <c r="X123" i="1"/>
  <c r="A123" i="1"/>
  <c r="B90" i="13"/>
  <c r="V123" i="1"/>
  <c r="C90" i="13"/>
  <c r="A90" i="13"/>
  <c r="H123" i="1" l="1"/>
  <c r="G123" i="1"/>
  <c r="Q123" i="1"/>
  <c r="R123" i="1" s="1"/>
  <c r="S123" i="1" s="1"/>
  <c r="T122" i="1"/>
  <c r="M122" i="1"/>
  <c r="I122" i="1"/>
  <c r="J122" i="1"/>
  <c r="N122" i="1"/>
  <c r="U122" i="1"/>
  <c r="P122" i="1"/>
  <c r="L122" i="1"/>
  <c r="O122" i="1"/>
  <c r="K122" i="1"/>
  <c r="X124" i="1"/>
  <c r="A124" i="1"/>
  <c r="B125" i="1"/>
  <c r="AB124" i="1"/>
  <c r="AA124" i="1"/>
  <c r="D124" i="1"/>
  <c r="E124" i="1" s="1"/>
  <c r="C124" i="1"/>
  <c r="Q124" i="1" s="1"/>
  <c r="R124" i="1" s="1"/>
  <c r="S124" i="1" s="1"/>
  <c r="A91" i="13"/>
  <c r="B91" i="13"/>
  <c r="C91" i="13"/>
  <c r="V124" i="1"/>
  <c r="F124" i="1" l="1"/>
  <c r="AC124" i="1"/>
  <c r="H124" i="1"/>
  <c r="G124" i="1"/>
  <c r="N123" i="1"/>
  <c r="O123" i="1"/>
  <c r="I123" i="1"/>
  <c r="J123" i="1"/>
  <c r="K123" i="1"/>
  <c r="L123" i="1"/>
  <c r="M123" i="1"/>
  <c r="U123" i="1"/>
  <c r="P123" i="1"/>
  <c r="T123" i="1"/>
  <c r="X125" i="1"/>
  <c r="D125" i="1"/>
  <c r="E125" i="1" s="1"/>
  <c r="H125" i="1" s="1"/>
  <c r="B126" i="1"/>
  <c r="AA125" i="1"/>
  <c r="AB125" i="1"/>
  <c r="A125" i="1"/>
  <c r="C125" i="1"/>
  <c r="Q125" i="1" s="1"/>
  <c r="R125" i="1" s="1"/>
  <c r="S125" i="1" s="1"/>
  <c r="C92" i="13"/>
  <c r="V125" i="1"/>
  <c r="A92" i="13"/>
  <c r="B92" i="13"/>
  <c r="AC125" i="1" l="1"/>
  <c r="G125" i="1"/>
  <c r="L125" i="1" s="1"/>
  <c r="F125" i="1"/>
  <c r="U124" i="1"/>
  <c r="N124" i="1"/>
  <c r="K124" i="1"/>
  <c r="M124" i="1"/>
  <c r="J124" i="1"/>
  <c r="I124" i="1"/>
  <c r="T124" i="1"/>
  <c r="P124" i="1"/>
  <c r="O124" i="1"/>
  <c r="L124" i="1"/>
  <c r="A93" i="13"/>
  <c r="C93" i="13"/>
  <c r="V126" i="1"/>
  <c r="B93" i="13"/>
  <c r="AA126" i="1"/>
  <c r="B127" i="1"/>
  <c r="D126" i="1"/>
  <c r="E126" i="1" s="1"/>
  <c r="H126" i="1" s="1"/>
  <c r="A126" i="1"/>
  <c r="C126" i="1"/>
  <c r="F126" i="1" s="1"/>
  <c r="X126" i="1"/>
  <c r="AB126" i="1"/>
  <c r="N125" i="1" l="1"/>
  <c r="T125" i="1"/>
  <c r="K125" i="1"/>
  <c r="P125" i="1"/>
  <c r="J125" i="1"/>
  <c r="AC126" i="1"/>
  <c r="M125" i="1"/>
  <c r="U125" i="1"/>
  <c r="O125" i="1"/>
  <c r="Q126" i="1"/>
  <c r="R126" i="1" s="1"/>
  <c r="S126" i="1" s="1"/>
  <c r="I125" i="1"/>
  <c r="G126" i="1"/>
  <c r="AB127" i="1"/>
  <c r="X127" i="1"/>
  <c r="A127" i="1"/>
  <c r="C127" i="1"/>
  <c r="Q127" i="1" s="1"/>
  <c r="R127" i="1" s="1"/>
  <c r="S127" i="1" s="1"/>
  <c r="AA127" i="1"/>
  <c r="B128" i="1"/>
  <c r="D127" i="1"/>
  <c r="E127" i="1" s="1"/>
  <c r="A94" i="13"/>
  <c r="V127" i="1"/>
  <c r="C94" i="13"/>
  <c r="B94" i="13"/>
  <c r="AC127" i="1" l="1"/>
  <c r="G127" i="1"/>
  <c r="T127" i="1" s="1"/>
  <c r="H127" i="1"/>
  <c r="F127" i="1"/>
  <c r="P126" i="1"/>
  <c r="I126" i="1"/>
  <c r="U126" i="1"/>
  <c r="K126" i="1"/>
  <c r="N126" i="1"/>
  <c r="L126" i="1"/>
  <c r="O126" i="1"/>
  <c r="T126" i="1"/>
  <c r="M126" i="1"/>
  <c r="J126" i="1"/>
  <c r="B95" i="13"/>
  <c r="C95" i="13"/>
  <c r="V128" i="1"/>
  <c r="A95" i="13"/>
  <c r="X128" i="1"/>
  <c r="D128" i="1"/>
  <c r="E128" i="1" s="1"/>
  <c r="H128" i="1" s="1"/>
  <c r="AA128" i="1"/>
  <c r="A128" i="1"/>
  <c r="B129" i="1"/>
  <c r="C128" i="1"/>
  <c r="F128" i="1" s="1"/>
  <c r="AB128" i="1"/>
  <c r="U127" i="1" l="1"/>
  <c r="M127" i="1"/>
  <c r="J127" i="1"/>
  <c r="P127" i="1"/>
  <c r="AC128" i="1"/>
  <c r="K127" i="1"/>
  <c r="O127" i="1"/>
  <c r="N127" i="1"/>
  <c r="L127" i="1"/>
  <c r="I127" i="1"/>
  <c r="Q128" i="1"/>
  <c r="R128" i="1" s="1"/>
  <c r="S128" i="1" s="1"/>
  <c r="G128" i="1"/>
  <c r="AB129" i="1"/>
  <c r="D129" i="1"/>
  <c r="E129" i="1" s="1"/>
  <c r="A129" i="1"/>
  <c r="X129" i="1"/>
  <c r="AA129" i="1"/>
  <c r="C129" i="1"/>
  <c r="F129" i="1" s="1"/>
  <c r="B130" i="1"/>
  <c r="A96" i="13"/>
  <c r="B96" i="13"/>
  <c r="C96" i="13"/>
  <c r="V129" i="1"/>
  <c r="AC129" i="1" l="1"/>
  <c r="G129" i="1"/>
  <c r="H129" i="1"/>
  <c r="Q129" i="1"/>
  <c r="R129" i="1" s="1"/>
  <c r="S129" i="1" s="1"/>
  <c r="U128" i="1"/>
  <c r="O128" i="1"/>
  <c r="T128" i="1"/>
  <c r="P128" i="1"/>
  <c r="J128" i="1"/>
  <c r="N128" i="1"/>
  <c r="K128" i="1"/>
  <c r="M128" i="1"/>
  <c r="I128" i="1"/>
  <c r="L128" i="1"/>
  <c r="B97" i="13"/>
  <c r="A97" i="13"/>
  <c r="C97" i="13"/>
  <c r="V130" i="1"/>
  <c r="D130" i="1"/>
  <c r="E130" i="1" s="1"/>
  <c r="H130" i="1" s="1"/>
  <c r="AB130" i="1"/>
  <c r="A130" i="1"/>
  <c r="AA130" i="1"/>
  <c r="B131" i="1"/>
  <c r="C130" i="1"/>
  <c r="Q130" i="1" s="1"/>
  <c r="R130" i="1" s="1"/>
  <c r="S130" i="1" s="1"/>
  <c r="X130" i="1"/>
  <c r="AC130" i="1" l="1"/>
  <c r="F130" i="1"/>
  <c r="G130" i="1"/>
  <c r="M129" i="1"/>
  <c r="N129" i="1"/>
  <c r="U129" i="1"/>
  <c r="K129" i="1"/>
  <c r="O129" i="1"/>
  <c r="P129" i="1"/>
  <c r="J129" i="1"/>
  <c r="I129" i="1"/>
  <c r="L129" i="1"/>
  <c r="T129" i="1"/>
  <c r="V131" i="1"/>
  <c r="B98" i="13"/>
  <c r="A98" i="13"/>
  <c r="C98" i="13"/>
  <c r="AA131" i="1"/>
  <c r="B132" i="1"/>
  <c r="X131" i="1"/>
  <c r="D131" i="1"/>
  <c r="E131" i="1" s="1"/>
  <c r="H131" i="1" s="1"/>
  <c r="A131" i="1"/>
  <c r="C131" i="1"/>
  <c r="F131" i="1" s="1"/>
  <c r="AB131" i="1"/>
  <c r="AC131" i="1" l="1"/>
  <c r="G131" i="1"/>
  <c r="Q131" i="1"/>
  <c r="R131" i="1" s="1"/>
  <c r="S131" i="1" s="1"/>
  <c r="M130" i="1"/>
  <c r="K130" i="1"/>
  <c r="U130" i="1"/>
  <c r="P130" i="1"/>
  <c r="I130" i="1"/>
  <c r="J130" i="1"/>
  <c r="N130" i="1"/>
  <c r="O130" i="1"/>
  <c r="L130" i="1"/>
  <c r="T130" i="1"/>
  <c r="C132" i="1"/>
  <c r="Q132" i="1" s="1"/>
  <c r="R132" i="1" s="1"/>
  <c r="S132" i="1" s="1"/>
  <c r="D132" i="1"/>
  <c r="E132" i="1" s="1"/>
  <c r="AA132" i="1"/>
  <c r="B133" i="1"/>
  <c r="X132" i="1"/>
  <c r="A132" i="1"/>
  <c r="AB132" i="1"/>
  <c r="C99" i="13"/>
  <c r="B99" i="13"/>
  <c r="A99" i="13"/>
  <c r="V132" i="1"/>
  <c r="AC132" i="1" l="1"/>
  <c r="H132" i="1"/>
  <c r="G132" i="1"/>
  <c r="F132" i="1"/>
  <c r="L131" i="1"/>
  <c r="O131" i="1"/>
  <c r="M131" i="1"/>
  <c r="P131" i="1"/>
  <c r="J131" i="1"/>
  <c r="U131" i="1"/>
  <c r="N131" i="1"/>
  <c r="K131" i="1"/>
  <c r="I131" i="1"/>
  <c r="T131" i="1"/>
  <c r="C100" i="13"/>
  <c r="A100" i="13"/>
  <c r="B100" i="13"/>
  <c r="V133" i="1"/>
  <c r="AA133" i="1"/>
  <c r="X133" i="1"/>
  <c r="B134" i="1"/>
  <c r="C133" i="1"/>
  <c r="F133" i="1" s="1"/>
  <c r="A133" i="1"/>
  <c r="AB133" i="1"/>
  <c r="D133" i="1"/>
  <c r="E133" i="1" s="1"/>
  <c r="L132" i="1" l="1"/>
  <c r="AC133" i="1"/>
  <c r="I132" i="1"/>
  <c r="T132" i="1"/>
  <c r="Q133" i="1"/>
  <c r="R133" i="1" s="1"/>
  <c r="S133" i="1" s="1"/>
  <c r="J132" i="1"/>
  <c r="N132" i="1"/>
  <c r="M132" i="1"/>
  <c r="P132" i="1"/>
  <c r="O132" i="1"/>
  <c r="K132" i="1"/>
  <c r="U132" i="1"/>
  <c r="G133" i="1"/>
  <c r="H133" i="1"/>
  <c r="C134" i="1"/>
  <c r="Q134" i="1" s="1"/>
  <c r="R134" i="1" s="1"/>
  <c r="S134" i="1" s="1"/>
  <c r="X134" i="1"/>
  <c r="AB134" i="1"/>
  <c r="A134" i="1"/>
  <c r="D134" i="1"/>
  <c r="E134" i="1" s="1"/>
  <c r="B135" i="1"/>
  <c r="AA134" i="1"/>
  <c r="C101" i="13"/>
  <c r="A101" i="13"/>
  <c r="V134" i="1"/>
  <c r="B101" i="13"/>
  <c r="AC134" i="1" l="1"/>
  <c r="F134" i="1"/>
  <c r="G134" i="1"/>
  <c r="H134" i="1"/>
  <c r="M133" i="1"/>
  <c r="T133" i="1"/>
  <c r="N133" i="1"/>
  <c r="L133" i="1"/>
  <c r="U133" i="1"/>
  <c r="K133" i="1"/>
  <c r="J133" i="1"/>
  <c r="O133" i="1"/>
  <c r="P133" i="1"/>
  <c r="I133" i="1"/>
  <c r="A135" i="1"/>
  <c r="X135" i="1"/>
  <c r="C135" i="1"/>
  <c r="F135" i="1" s="1"/>
  <c r="AA135" i="1"/>
  <c r="B136" i="1"/>
  <c r="AB135" i="1"/>
  <c r="D135" i="1"/>
  <c r="E135" i="1" s="1"/>
  <c r="A102" i="13"/>
  <c r="C102" i="13"/>
  <c r="B102" i="13"/>
  <c r="V135" i="1"/>
  <c r="AC135" i="1" l="1"/>
  <c r="Q135" i="1"/>
  <c r="R135" i="1" s="1"/>
  <c r="S135" i="1" s="1"/>
  <c r="H135" i="1"/>
  <c r="G135" i="1"/>
  <c r="L134" i="1"/>
  <c r="T134" i="1"/>
  <c r="I134" i="1"/>
  <c r="M134" i="1"/>
  <c r="O134" i="1"/>
  <c r="J134" i="1"/>
  <c r="N134" i="1"/>
  <c r="U134" i="1"/>
  <c r="P134" i="1"/>
  <c r="K134" i="1"/>
  <c r="B103" i="13"/>
  <c r="A103" i="13"/>
  <c r="V136" i="1"/>
  <c r="C103" i="13"/>
  <c r="X136" i="1"/>
  <c r="AA136" i="1"/>
  <c r="AB136" i="1"/>
  <c r="B137" i="1"/>
  <c r="A136" i="1"/>
  <c r="D136" i="1"/>
  <c r="E136" i="1" s="1"/>
  <c r="C136" i="1"/>
  <c r="F136" i="1" s="1"/>
  <c r="AC136" i="1" l="1"/>
  <c r="Q136" i="1"/>
  <c r="R136" i="1" s="1"/>
  <c r="S136" i="1" s="1"/>
  <c r="G136" i="1"/>
  <c r="H136" i="1"/>
  <c r="T135" i="1"/>
  <c r="J135" i="1"/>
  <c r="N135" i="1"/>
  <c r="O135" i="1"/>
  <c r="I135" i="1"/>
  <c r="K135" i="1"/>
  <c r="M135" i="1"/>
  <c r="U135" i="1"/>
  <c r="P135" i="1"/>
  <c r="L135" i="1"/>
  <c r="A104" i="13"/>
  <c r="C104" i="13"/>
  <c r="B104" i="13"/>
  <c r="V137" i="1"/>
  <c r="C137" i="1"/>
  <c r="F137" i="1" s="1"/>
  <c r="D137" i="1"/>
  <c r="E137" i="1" s="1"/>
  <c r="G137" i="1" s="1"/>
  <c r="AB137" i="1"/>
  <c r="A137" i="1"/>
  <c r="X137" i="1"/>
  <c r="AA137" i="1"/>
  <c r="B138" i="1"/>
  <c r="AC137" i="1" l="1"/>
  <c r="H137" i="1"/>
  <c r="M137" i="1" s="1"/>
  <c r="Q137" i="1"/>
  <c r="R137" i="1" s="1"/>
  <c r="S137" i="1" s="1"/>
  <c r="U137" i="1" s="1"/>
  <c r="I136" i="1"/>
  <c r="P136" i="1"/>
  <c r="T136" i="1"/>
  <c r="U136" i="1"/>
  <c r="N136" i="1"/>
  <c r="O136" i="1"/>
  <c r="L136" i="1"/>
  <c r="M136" i="1"/>
  <c r="J136" i="1"/>
  <c r="K136" i="1"/>
  <c r="V138" i="1"/>
  <c r="A105" i="13"/>
  <c r="C105" i="13"/>
  <c r="B105" i="13"/>
  <c r="C138" i="1"/>
  <c r="F138" i="1" s="1"/>
  <c r="X138" i="1"/>
  <c r="AB138" i="1"/>
  <c r="B139" i="1"/>
  <c r="AA138" i="1"/>
  <c r="A138" i="1"/>
  <c r="D138" i="1"/>
  <c r="E138" i="1" s="1"/>
  <c r="H138" i="1" s="1"/>
  <c r="Q138" i="1" l="1"/>
  <c r="R138" i="1" s="1"/>
  <c r="S138" i="1" s="1"/>
  <c r="AC138" i="1"/>
  <c r="O137" i="1"/>
  <c r="T137" i="1"/>
  <c r="I137" i="1"/>
  <c r="J137" i="1"/>
  <c r="G138" i="1"/>
  <c r="K137" i="1"/>
  <c r="P137" i="1"/>
  <c r="L137" i="1"/>
  <c r="N137" i="1"/>
  <c r="X139" i="1"/>
  <c r="B140" i="1"/>
  <c r="A139" i="1"/>
  <c r="AA139" i="1"/>
  <c r="C139" i="1"/>
  <c r="F139" i="1" s="1"/>
  <c r="AB139" i="1"/>
  <c r="D139" i="1"/>
  <c r="E139" i="1" s="1"/>
  <c r="V139" i="1"/>
  <c r="B106" i="13"/>
  <c r="A106" i="13"/>
  <c r="C106" i="13"/>
  <c r="AC139" i="1" l="1"/>
  <c r="Q139" i="1"/>
  <c r="R139" i="1" s="1"/>
  <c r="S139" i="1" s="1"/>
  <c r="H139" i="1"/>
  <c r="G139" i="1"/>
  <c r="K138" i="1"/>
  <c r="U138" i="1"/>
  <c r="N138" i="1"/>
  <c r="P138" i="1"/>
  <c r="J138" i="1"/>
  <c r="L138" i="1"/>
  <c r="M138" i="1"/>
  <c r="T138" i="1"/>
  <c r="I138" i="1"/>
  <c r="O138" i="1"/>
  <c r="X140" i="1"/>
  <c r="A140" i="1"/>
  <c r="C140" i="1"/>
  <c r="F140" i="1" s="1"/>
  <c r="B141" i="1"/>
  <c r="D140" i="1"/>
  <c r="E140" i="1" s="1"/>
  <c r="AA140" i="1"/>
  <c r="AB140" i="1"/>
  <c r="B107" i="13"/>
  <c r="V140" i="1"/>
  <c r="C107" i="13"/>
  <c r="A107" i="13"/>
  <c r="AC140" i="1" l="1"/>
  <c r="Q140" i="1"/>
  <c r="R140" i="1" s="1"/>
  <c r="S140" i="1" s="1"/>
  <c r="G140" i="1"/>
  <c r="H140" i="1"/>
  <c r="P139" i="1"/>
  <c r="M139" i="1"/>
  <c r="L139" i="1"/>
  <c r="N139" i="1"/>
  <c r="J139" i="1"/>
  <c r="T139" i="1"/>
  <c r="O139" i="1"/>
  <c r="U139" i="1"/>
  <c r="I139" i="1"/>
  <c r="K139" i="1"/>
  <c r="C108" i="13"/>
  <c r="A108" i="13"/>
  <c r="B108" i="13"/>
  <c r="V141" i="1"/>
  <c r="B142" i="1"/>
  <c r="C141" i="1"/>
  <c r="Q141" i="1" s="1"/>
  <c r="R141" i="1" s="1"/>
  <c r="S141" i="1" s="1"/>
  <c r="X141" i="1"/>
  <c r="D141" i="1"/>
  <c r="E141" i="1" s="1"/>
  <c r="A141" i="1"/>
  <c r="AB141" i="1"/>
  <c r="AA141" i="1"/>
  <c r="K140" i="1" l="1"/>
  <c r="AC141" i="1"/>
  <c r="U140" i="1"/>
  <c r="O140" i="1"/>
  <c r="M140" i="1"/>
  <c r="T140" i="1"/>
  <c r="J140" i="1"/>
  <c r="N140" i="1"/>
  <c r="L140" i="1"/>
  <c r="I140" i="1"/>
  <c r="P140" i="1"/>
  <c r="G141" i="1"/>
  <c r="H141" i="1"/>
  <c r="F141" i="1"/>
  <c r="V142" i="1"/>
  <c r="B109" i="13"/>
  <c r="A109" i="13"/>
  <c r="C109" i="13"/>
  <c r="C142" i="1"/>
  <c r="Q142" i="1" s="1"/>
  <c r="R142" i="1" s="1"/>
  <c r="S142" i="1" s="1"/>
  <c r="B143" i="1"/>
  <c r="AB142" i="1"/>
  <c r="D142" i="1"/>
  <c r="E142" i="1" s="1"/>
  <c r="G142" i="1" s="1"/>
  <c r="A142" i="1"/>
  <c r="AA142" i="1"/>
  <c r="X142" i="1"/>
  <c r="AC142" i="1" l="1"/>
  <c r="U142" i="1"/>
  <c r="T142" i="1"/>
  <c r="H142" i="1"/>
  <c r="K142" i="1" s="1"/>
  <c r="F142" i="1"/>
  <c r="U141" i="1"/>
  <c r="K141" i="1"/>
  <c r="L141" i="1"/>
  <c r="I141" i="1"/>
  <c r="P141" i="1"/>
  <c r="N141" i="1"/>
  <c r="J141" i="1"/>
  <c r="T141" i="1"/>
  <c r="O141" i="1"/>
  <c r="M141" i="1"/>
  <c r="C143" i="1"/>
  <c r="Q143" i="1" s="1"/>
  <c r="R143" i="1" s="1"/>
  <c r="S143" i="1" s="1"/>
  <c r="B144" i="1"/>
  <c r="AB143" i="1"/>
  <c r="X143" i="1"/>
  <c r="AA143" i="1"/>
  <c r="A143" i="1"/>
  <c r="D143" i="1"/>
  <c r="E143" i="1" s="1"/>
  <c r="H143" i="1" s="1"/>
  <c r="B110" i="13"/>
  <c r="V143" i="1"/>
  <c r="A110" i="13"/>
  <c r="C110" i="13"/>
  <c r="AC143" i="1" l="1"/>
  <c r="F143" i="1"/>
  <c r="M142" i="1"/>
  <c r="L142" i="1"/>
  <c r="O142" i="1"/>
  <c r="J142" i="1"/>
  <c r="G143" i="1"/>
  <c r="P142" i="1"/>
  <c r="I142" i="1"/>
  <c r="N142" i="1"/>
  <c r="D144" i="1"/>
  <c r="E144" i="1" s="1"/>
  <c r="X144" i="1"/>
  <c r="B145" i="1"/>
  <c r="AA144" i="1"/>
  <c r="A144" i="1"/>
  <c r="C144" i="1"/>
  <c r="Q144" i="1" s="1"/>
  <c r="R144" i="1" s="1"/>
  <c r="S144" i="1" s="1"/>
  <c r="AB144" i="1"/>
  <c r="B111" i="13"/>
  <c r="C111" i="13"/>
  <c r="V144" i="1"/>
  <c r="A111" i="13"/>
  <c r="AC144" i="1" l="1"/>
  <c r="G144" i="1"/>
  <c r="U144" i="1" s="1"/>
  <c r="H144" i="1"/>
  <c r="F144" i="1"/>
  <c r="J143" i="1"/>
  <c r="O143" i="1"/>
  <c r="P143" i="1"/>
  <c r="U143" i="1"/>
  <c r="K143" i="1"/>
  <c r="N143" i="1"/>
  <c r="L143" i="1"/>
  <c r="T143" i="1"/>
  <c r="I143" i="1"/>
  <c r="M143" i="1"/>
  <c r="X145" i="1"/>
  <c r="C145" i="1"/>
  <c r="F145" i="1" s="1"/>
  <c r="AA145" i="1"/>
  <c r="A145" i="1"/>
  <c r="B146" i="1"/>
  <c r="AB145" i="1"/>
  <c r="D145" i="1"/>
  <c r="E145" i="1" s="1"/>
  <c r="A112" i="13"/>
  <c r="V145" i="1"/>
  <c r="C112" i="13"/>
  <c r="B112" i="13"/>
  <c r="AC145" i="1" l="1"/>
  <c r="I144" i="1"/>
  <c r="P144" i="1"/>
  <c r="Q145" i="1"/>
  <c r="R145" i="1" s="1"/>
  <c r="S145" i="1" s="1"/>
  <c r="O144" i="1"/>
  <c r="L144" i="1"/>
  <c r="N144" i="1"/>
  <c r="J144" i="1"/>
  <c r="K144" i="1"/>
  <c r="T144" i="1"/>
  <c r="M144" i="1"/>
  <c r="G145" i="1"/>
  <c r="H145" i="1"/>
  <c r="C113" i="13"/>
  <c r="B113" i="13"/>
  <c r="A113" i="13"/>
  <c r="V146" i="1"/>
  <c r="B147" i="1"/>
  <c r="A146" i="1"/>
  <c r="AB146" i="1"/>
  <c r="X146" i="1"/>
  <c r="AA146" i="1"/>
  <c r="D146" i="1"/>
  <c r="E146" i="1" s="1"/>
  <c r="C146" i="1"/>
  <c r="F146" i="1" s="1"/>
  <c r="AC146" i="1" l="1"/>
  <c r="Q146" i="1"/>
  <c r="R146" i="1" s="1"/>
  <c r="S146" i="1" s="1"/>
  <c r="G146" i="1"/>
  <c r="H146" i="1"/>
  <c r="I145" i="1"/>
  <c r="T145" i="1"/>
  <c r="M145" i="1"/>
  <c r="L145" i="1"/>
  <c r="U145" i="1"/>
  <c r="J145" i="1"/>
  <c r="K145" i="1"/>
  <c r="P145" i="1"/>
  <c r="O145" i="1"/>
  <c r="N145" i="1"/>
  <c r="A114" i="13"/>
  <c r="C114" i="13"/>
  <c r="B114" i="13"/>
  <c r="V147" i="1"/>
  <c r="X147" i="1"/>
  <c r="AA147" i="1"/>
  <c r="A147" i="1"/>
  <c r="D147" i="1"/>
  <c r="E147" i="1" s="1"/>
  <c r="AB147" i="1"/>
  <c r="C147" i="1"/>
  <c r="F147" i="1" s="1"/>
  <c r="B148" i="1"/>
  <c r="AC147" i="1" l="1"/>
  <c r="H147" i="1"/>
  <c r="G147" i="1"/>
  <c r="Q147" i="1"/>
  <c r="R147" i="1" s="1"/>
  <c r="S147" i="1" s="1"/>
  <c r="U146" i="1"/>
  <c r="P146" i="1"/>
  <c r="N146" i="1"/>
  <c r="M146" i="1"/>
  <c r="I146" i="1"/>
  <c r="K146" i="1"/>
  <c r="L146" i="1"/>
  <c r="O146" i="1"/>
  <c r="J146" i="1"/>
  <c r="T146" i="1"/>
  <c r="B115" i="13"/>
  <c r="C115" i="13"/>
  <c r="V148" i="1"/>
  <c r="A115" i="13"/>
  <c r="AB148" i="1"/>
  <c r="B149" i="1"/>
  <c r="C148" i="1"/>
  <c r="F148" i="1" s="1"/>
  <c r="D148" i="1"/>
  <c r="E148" i="1" s="1"/>
  <c r="H148" i="1" s="1"/>
  <c r="AA148" i="1"/>
  <c r="X148" i="1"/>
  <c r="A148" i="1"/>
  <c r="AC148" i="1" l="1"/>
  <c r="Q148" i="1"/>
  <c r="R148" i="1" s="1"/>
  <c r="S148" i="1" s="1"/>
  <c r="G148" i="1"/>
  <c r="K147" i="1"/>
  <c r="J147" i="1"/>
  <c r="P147" i="1"/>
  <c r="N147" i="1"/>
  <c r="O147" i="1"/>
  <c r="I147" i="1"/>
  <c r="L147" i="1"/>
  <c r="U147" i="1"/>
  <c r="T147" i="1"/>
  <c r="M147" i="1"/>
  <c r="C116" i="13"/>
  <c r="B116" i="13"/>
  <c r="V149" i="1"/>
  <c r="A116" i="13"/>
  <c r="D149" i="1"/>
  <c r="E149" i="1" s="1"/>
  <c r="X149" i="1"/>
  <c r="AB149" i="1"/>
  <c r="AA149" i="1"/>
  <c r="C149" i="1"/>
  <c r="Q149" i="1" s="1"/>
  <c r="R149" i="1" s="1"/>
  <c r="S149" i="1" s="1"/>
  <c r="A149" i="1"/>
  <c r="B150" i="1"/>
  <c r="AC149" i="1" l="1"/>
  <c r="F149" i="1"/>
  <c r="H149" i="1"/>
  <c r="G149" i="1"/>
  <c r="L148" i="1"/>
  <c r="T148" i="1"/>
  <c r="N148" i="1"/>
  <c r="J148" i="1"/>
  <c r="K148" i="1"/>
  <c r="I148" i="1"/>
  <c r="O148" i="1"/>
  <c r="M148" i="1"/>
  <c r="P148" i="1"/>
  <c r="U148" i="1"/>
  <c r="C150" i="1"/>
  <c r="Q150" i="1" s="1"/>
  <c r="R150" i="1" s="1"/>
  <c r="S150" i="1" s="1"/>
  <c r="A150" i="1"/>
  <c r="B151" i="1"/>
  <c r="AB150" i="1"/>
  <c r="AA150" i="1"/>
  <c r="D150" i="1"/>
  <c r="E150" i="1" s="1"/>
  <c r="X150" i="1"/>
  <c r="B117" i="13"/>
  <c r="A117" i="13"/>
  <c r="C117" i="13"/>
  <c r="V150" i="1"/>
  <c r="AC150" i="1" l="1"/>
  <c r="F150" i="1"/>
  <c r="G150" i="1"/>
  <c r="H150" i="1"/>
  <c r="U149" i="1"/>
  <c r="I149" i="1"/>
  <c r="N149" i="1"/>
  <c r="O149" i="1"/>
  <c r="K149" i="1"/>
  <c r="L149" i="1"/>
  <c r="P149" i="1"/>
  <c r="M149" i="1"/>
  <c r="T149" i="1"/>
  <c r="J149" i="1"/>
  <c r="B118" i="13"/>
  <c r="C118" i="13"/>
  <c r="V151" i="1"/>
  <c r="A118" i="13"/>
  <c r="X151" i="1"/>
  <c r="B152" i="1"/>
  <c r="A151" i="1"/>
  <c r="AA151" i="1"/>
  <c r="D151" i="1"/>
  <c r="E151" i="1" s="1"/>
  <c r="AB151" i="1"/>
  <c r="C151" i="1"/>
  <c r="F151" i="1" s="1"/>
  <c r="AC151" i="1" l="1"/>
  <c r="Q151" i="1"/>
  <c r="R151" i="1" s="1"/>
  <c r="S151" i="1" s="1"/>
  <c r="G151" i="1"/>
  <c r="H151" i="1"/>
  <c r="U150" i="1"/>
  <c r="K150" i="1"/>
  <c r="P150" i="1"/>
  <c r="M150" i="1"/>
  <c r="T150" i="1"/>
  <c r="L150" i="1"/>
  <c r="J150" i="1"/>
  <c r="N150" i="1"/>
  <c r="O150" i="1"/>
  <c r="I150" i="1"/>
  <c r="D152" i="1"/>
  <c r="E152" i="1" s="1"/>
  <c r="G152" i="1" s="1"/>
  <c r="AB152" i="1"/>
  <c r="AA152" i="1"/>
  <c r="X152" i="1"/>
  <c r="B153" i="1"/>
  <c r="A152" i="1"/>
  <c r="C152" i="1"/>
  <c r="F152" i="1" s="1"/>
  <c r="A119" i="13"/>
  <c r="B119" i="13"/>
  <c r="C119" i="13"/>
  <c r="V152" i="1"/>
  <c r="AC152" i="1" l="1"/>
  <c r="H152" i="1"/>
  <c r="I152" i="1" s="1"/>
  <c r="Q152" i="1"/>
  <c r="R152" i="1" s="1"/>
  <c r="S152" i="1" s="1"/>
  <c r="U152" i="1" s="1"/>
  <c r="K151" i="1"/>
  <c r="L151" i="1"/>
  <c r="P151" i="1"/>
  <c r="T151" i="1"/>
  <c r="U151" i="1"/>
  <c r="J151" i="1"/>
  <c r="O151" i="1"/>
  <c r="I151" i="1"/>
  <c r="M151" i="1"/>
  <c r="N151" i="1"/>
  <c r="X153" i="1"/>
  <c r="C153" i="1"/>
  <c r="F153" i="1" s="1"/>
  <c r="A153" i="1"/>
  <c r="AB153" i="1"/>
  <c r="B154" i="1"/>
  <c r="D153" i="1"/>
  <c r="E153" i="1" s="1"/>
  <c r="AA153" i="1"/>
  <c r="B120" i="13"/>
  <c r="A120" i="13"/>
  <c r="C120" i="13"/>
  <c r="V153" i="1"/>
  <c r="AC153" i="1" l="1"/>
  <c r="Q153" i="1"/>
  <c r="R153" i="1" s="1"/>
  <c r="S153" i="1" s="1"/>
  <c r="O152" i="1"/>
  <c r="L152" i="1"/>
  <c r="G153" i="1"/>
  <c r="H153" i="1"/>
  <c r="M152" i="1"/>
  <c r="P152" i="1"/>
  <c r="J152" i="1"/>
  <c r="T152" i="1"/>
  <c r="K152" i="1"/>
  <c r="N152" i="1"/>
  <c r="D154" i="1"/>
  <c r="E154" i="1" s="1"/>
  <c r="G154" i="1" s="1"/>
  <c r="X154" i="1"/>
  <c r="A154" i="1"/>
  <c r="B155" i="1"/>
  <c r="AA154" i="1"/>
  <c r="C154" i="1"/>
  <c r="F154" i="1" s="1"/>
  <c r="AB154" i="1"/>
  <c r="A121" i="13"/>
  <c r="V154" i="1"/>
  <c r="B121" i="13"/>
  <c r="C121" i="13"/>
  <c r="AC154" i="1" l="1"/>
  <c r="Q154" i="1"/>
  <c r="R154" i="1" s="1"/>
  <c r="S154" i="1" s="1"/>
  <c r="U154" i="1" s="1"/>
  <c r="H154" i="1"/>
  <c r="N154" i="1" s="1"/>
  <c r="P153" i="1"/>
  <c r="L153" i="1"/>
  <c r="U153" i="1"/>
  <c r="M153" i="1"/>
  <c r="N153" i="1"/>
  <c r="J153" i="1"/>
  <c r="T153" i="1"/>
  <c r="O153" i="1"/>
  <c r="K153" i="1"/>
  <c r="I153" i="1"/>
  <c r="A122" i="13"/>
  <c r="V155" i="1"/>
  <c r="C122" i="13"/>
  <c r="B122" i="13"/>
  <c r="AA155" i="1"/>
  <c r="C155" i="1"/>
  <c r="F155" i="1" s="1"/>
  <c r="D155" i="1"/>
  <c r="E155" i="1" s="1"/>
  <c r="A155" i="1"/>
  <c r="X155" i="1"/>
  <c r="AB155" i="1"/>
  <c r="AC155" i="1" s="1"/>
  <c r="B156" i="1"/>
  <c r="Q155" i="1" l="1"/>
  <c r="R155" i="1" s="1"/>
  <c r="S155" i="1" s="1"/>
  <c r="T154" i="1"/>
  <c r="O154" i="1"/>
  <c r="H155" i="1"/>
  <c r="G155" i="1"/>
  <c r="J154" i="1"/>
  <c r="K154" i="1"/>
  <c r="I154" i="1"/>
  <c r="P154" i="1"/>
  <c r="M154" i="1"/>
  <c r="L154" i="1"/>
  <c r="AB156" i="1"/>
  <c r="C156" i="1"/>
  <c r="Q156" i="1" s="1"/>
  <c r="R156" i="1" s="1"/>
  <c r="S156" i="1" s="1"/>
  <c r="B157" i="1"/>
  <c r="A156" i="1"/>
  <c r="D156" i="1"/>
  <c r="E156" i="1" s="1"/>
  <c r="H156" i="1" s="1"/>
  <c r="AA156" i="1"/>
  <c r="X156" i="1"/>
  <c r="C123" i="13"/>
  <c r="A123" i="13"/>
  <c r="V156" i="1"/>
  <c r="B123" i="13"/>
  <c r="AC156" i="1" l="1"/>
  <c r="U155" i="1"/>
  <c r="O155" i="1"/>
  <c r="P155" i="1"/>
  <c r="M155" i="1"/>
  <c r="K155" i="1"/>
  <c r="L155" i="1"/>
  <c r="I155" i="1"/>
  <c r="J155" i="1"/>
  <c r="T155" i="1"/>
  <c r="N155" i="1"/>
  <c r="G156" i="1"/>
  <c r="F156" i="1"/>
  <c r="AB157" i="1"/>
  <c r="B158" i="1"/>
  <c r="A157" i="1"/>
  <c r="C157" i="1"/>
  <c r="F157" i="1" s="1"/>
  <c r="D157" i="1"/>
  <c r="E157" i="1" s="1"/>
  <c r="X157" i="1"/>
  <c r="AA157" i="1"/>
  <c r="V157" i="1"/>
  <c r="C124" i="13"/>
  <c r="A124" i="13"/>
  <c r="B124" i="13"/>
  <c r="AC157" i="1" l="1"/>
  <c r="H157" i="1"/>
  <c r="G157" i="1"/>
  <c r="Q157" i="1"/>
  <c r="R157" i="1" s="1"/>
  <c r="S157" i="1" s="1"/>
  <c r="P156" i="1"/>
  <c r="N156" i="1"/>
  <c r="J156" i="1"/>
  <c r="K156" i="1"/>
  <c r="M156" i="1"/>
  <c r="L156" i="1"/>
  <c r="I156" i="1"/>
  <c r="U156" i="1"/>
  <c r="T156" i="1"/>
  <c r="O156" i="1"/>
  <c r="A158" i="1"/>
  <c r="AB158" i="1"/>
  <c r="X158" i="1"/>
  <c r="B159" i="1"/>
  <c r="C158" i="1"/>
  <c r="F158" i="1" s="1"/>
  <c r="AA158" i="1"/>
  <c r="D158" i="1"/>
  <c r="E158" i="1" s="1"/>
  <c r="V158" i="1"/>
  <c r="A125" i="13"/>
  <c r="C125" i="13"/>
  <c r="B125" i="13"/>
  <c r="AC158" i="1" l="1"/>
  <c r="K157" i="1"/>
  <c r="P157" i="1"/>
  <c r="I157" i="1"/>
  <c r="N157" i="1"/>
  <c r="U157" i="1"/>
  <c r="T157" i="1"/>
  <c r="O157" i="1"/>
  <c r="L157" i="1"/>
  <c r="M157" i="1"/>
  <c r="J157" i="1"/>
  <c r="G158" i="1"/>
  <c r="H158" i="1"/>
  <c r="Q158" i="1"/>
  <c r="R158" i="1" s="1"/>
  <c r="S158" i="1" s="1"/>
  <c r="A126" i="13"/>
  <c r="B126" i="13"/>
  <c r="C126" i="13"/>
  <c r="V159" i="1"/>
  <c r="C159" i="1"/>
  <c r="Q159" i="1" s="1"/>
  <c r="R159" i="1" s="1"/>
  <c r="S159" i="1" s="1"/>
  <c r="AB159" i="1"/>
  <c r="AA159" i="1"/>
  <c r="D159" i="1"/>
  <c r="E159" i="1" s="1"/>
  <c r="A159" i="1"/>
  <c r="X159" i="1"/>
  <c r="B160" i="1"/>
  <c r="AC159" i="1" l="1"/>
  <c r="F159" i="1"/>
  <c r="H159" i="1"/>
  <c r="G159" i="1"/>
  <c r="U158" i="1"/>
  <c r="L158" i="1"/>
  <c r="J158" i="1"/>
  <c r="I158" i="1"/>
  <c r="O158" i="1"/>
  <c r="P158" i="1"/>
  <c r="K158" i="1"/>
  <c r="N158" i="1"/>
  <c r="T158" i="1"/>
  <c r="M158" i="1"/>
  <c r="B127" i="13"/>
  <c r="C127" i="13"/>
  <c r="V160" i="1"/>
  <c r="A127" i="13"/>
  <c r="AB160" i="1"/>
  <c r="A160" i="1"/>
  <c r="AA160" i="1"/>
  <c r="C160" i="1"/>
  <c r="Q160" i="1" s="1"/>
  <c r="R160" i="1" s="1"/>
  <c r="S160" i="1" s="1"/>
  <c r="X160" i="1"/>
  <c r="D160" i="1"/>
  <c r="E160" i="1" s="1"/>
  <c r="B161" i="1"/>
  <c r="AC160" i="1" l="1"/>
  <c r="G160" i="1"/>
  <c r="T160" i="1" s="1"/>
  <c r="H160" i="1"/>
  <c r="F160" i="1"/>
  <c r="L159" i="1"/>
  <c r="K159" i="1"/>
  <c r="M159" i="1"/>
  <c r="O159" i="1"/>
  <c r="J159" i="1"/>
  <c r="N159" i="1"/>
  <c r="I159" i="1"/>
  <c r="U159" i="1"/>
  <c r="P159" i="1"/>
  <c r="T159" i="1"/>
  <c r="V161" i="1"/>
  <c r="C128" i="13"/>
  <c r="B128" i="13"/>
  <c r="A128" i="13"/>
  <c r="C161" i="1"/>
  <c r="Q161" i="1" s="1"/>
  <c r="R161" i="1" s="1"/>
  <c r="S161" i="1" s="1"/>
  <c r="A161" i="1"/>
  <c r="AB161" i="1"/>
  <c r="D161" i="1"/>
  <c r="E161" i="1" s="1"/>
  <c r="B162" i="1"/>
  <c r="X161" i="1"/>
  <c r="AA161" i="1"/>
  <c r="AC161" i="1" l="1"/>
  <c r="J160" i="1"/>
  <c r="K160" i="1"/>
  <c r="F161" i="1"/>
  <c r="P160" i="1"/>
  <c r="N160" i="1"/>
  <c r="L160" i="1"/>
  <c r="O160" i="1"/>
  <c r="M160" i="1"/>
  <c r="I160" i="1"/>
  <c r="U160" i="1"/>
  <c r="H161" i="1"/>
  <c r="G161" i="1"/>
  <c r="AB162" i="1"/>
  <c r="C162" i="1"/>
  <c r="F162" i="1" s="1"/>
  <c r="D162" i="1"/>
  <c r="E162" i="1" s="1"/>
  <c r="AA162" i="1"/>
  <c r="X162" i="1"/>
  <c r="A162" i="1"/>
  <c r="B163" i="1"/>
  <c r="V162" i="1"/>
  <c r="C129" i="13"/>
  <c r="B129" i="13"/>
  <c r="A129" i="13"/>
  <c r="AC162" i="1" l="1"/>
  <c r="G162" i="1"/>
  <c r="H162" i="1"/>
  <c r="Q162" i="1"/>
  <c r="R162" i="1" s="1"/>
  <c r="S162" i="1" s="1"/>
  <c r="J161" i="1"/>
  <c r="I161" i="1"/>
  <c r="L161" i="1"/>
  <c r="N161" i="1"/>
  <c r="T161" i="1"/>
  <c r="M161" i="1"/>
  <c r="K161" i="1"/>
  <c r="O161" i="1"/>
  <c r="P161" i="1"/>
  <c r="U161" i="1"/>
  <c r="AB163" i="1"/>
  <c r="C163" i="1"/>
  <c r="F163" i="1" s="1"/>
  <c r="AA163" i="1"/>
  <c r="D163" i="1"/>
  <c r="E163" i="1" s="1"/>
  <c r="X163" i="1"/>
  <c r="A163" i="1"/>
  <c r="B164" i="1"/>
  <c r="V163" i="1"/>
  <c r="C130" i="13"/>
  <c r="A130" i="13"/>
  <c r="B130" i="13"/>
  <c r="AC163" i="1" l="1"/>
  <c r="Q163" i="1"/>
  <c r="R163" i="1" s="1"/>
  <c r="S163" i="1" s="1"/>
  <c r="H163" i="1"/>
  <c r="G163" i="1"/>
  <c r="T162" i="1"/>
  <c r="I162" i="1"/>
  <c r="U162" i="1"/>
  <c r="O162" i="1"/>
  <c r="P162" i="1"/>
  <c r="L162" i="1"/>
  <c r="K162" i="1"/>
  <c r="J162" i="1"/>
  <c r="M162" i="1"/>
  <c r="N162" i="1"/>
  <c r="B165" i="1"/>
  <c r="X164" i="1"/>
  <c r="D164" i="1"/>
  <c r="E164" i="1" s="1"/>
  <c r="G164" i="1" s="1"/>
  <c r="AA164" i="1"/>
  <c r="AB164" i="1"/>
  <c r="A164" i="1"/>
  <c r="C164" i="1"/>
  <c r="F164" i="1" s="1"/>
  <c r="V164" i="1"/>
  <c r="C131" i="13"/>
  <c r="A131" i="13"/>
  <c r="B131" i="13"/>
  <c r="AC164" i="1" l="1"/>
  <c r="Q164" i="1"/>
  <c r="R164" i="1" s="1"/>
  <c r="S164" i="1" s="1"/>
  <c r="T164" i="1" s="1"/>
  <c r="H164" i="1"/>
  <c r="O164" i="1" s="1"/>
  <c r="N163" i="1"/>
  <c r="U163" i="1"/>
  <c r="P163" i="1"/>
  <c r="K163" i="1"/>
  <c r="M163" i="1"/>
  <c r="O163" i="1"/>
  <c r="J163" i="1"/>
  <c r="T163" i="1"/>
  <c r="I163" i="1"/>
  <c r="L163" i="1"/>
  <c r="AA165" i="1"/>
  <c r="B166" i="1"/>
  <c r="C165" i="1"/>
  <c r="Q165" i="1" s="1"/>
  <c r="R165" i="1" s="1"/>
  <c r="S165" i="1" s="1"/>
  <c r="D165" i="1"/>
  <c r="E165" i="1" s="1"/>
  <c r="X165" i="1"/>
  <c r="AB165" i="1"/>
  <c r="A165" i="1"/>
  <c r="B132" i="13"/>
  <c r="V165" i="1"/>
  <c r="A132" i="13"/>
  <c r="C132" i="13"/>
  <c r="AC165" i="1" l="1"/>
  <c r="U164" i="1"/>
  <c r="H165" i="1"/>
  <c r="G165" i="1"/>
  <c r="P164" i="1"/>
  <c r="I164" i="1"/>
  <c r="K164" i="1"/>
  <c r="J164" i="1"/>
  <c r="M164" i="1"/>
  <c r="F165" i="1"/>
  <c r="N164" i="1"/>
  <c r="L164" i="1"/>
  <c r="A133" i="13"/>
  <c r="B133" i="13"/>
  <c r="V166" i="1"/>
  <c r="C133" i="13"/>
  <c r="AB166" i="1"/>
  <c r="C166" i="1"/>
  <c r="Q166" i="1" s="1"/>
  <c r="R166" i="1" s="1"/>
  <c r="S166" i="1" s="1"/>
  <c r="A166" i="1"/>
  <c r="D166" i="1"/>
  <c r="E166" i="1" s="1"/>
  <c r="X166" i="1"/>
  <c r="AA166" i="1"/>
  <c r="B167" i="1"/>
  <c r="AC166" i="1" l="1"/>
  <c r="F166" i="1"/>
  <c r="H166" i="1"/>
  <c r="G166" i="1"/>
  <c r="O165" i="1"/>
  <c r="U165" i="1"/>
  <c r="L165" i="1"/>
  <c r="J165" i="1"/>
  <c r="T165" i="1"/>
  <c r="P165" i="1"/>
  <c r="N165" i="1"/>
  <c r="K165" i="1"/>
  <c r="M165" i="1"/>
  <c r="I165" i="1"/>
  <c r="X167" i="1"/>
  <c r="C167" i="1"/>
  <c r="F167" i="1" s="1"/>
  <c r="A167" i="1"/>
  <c r="AA167" i="1"/>
  <c r="B168" i="1"/>
  <c r="AB167" i="1"/>
  <c r="D167" i="1"/>
  <c r="E167" i="1" s="1"/>
  <c r="B134" i="13"/>
  <c r="A134" i="13"/>
  <c r="V167" i="1"/>
  <c r="C134" i="13"/>
  <c r="AC167" i="1" l="1"/>
  <c r="H167" i="1"/>
  <c r="G167" i="1"/>
  <c r="Q167" i="1"/>
  <c r="R167" i="1" s="1"/>
  <c r="S167" i="1" s="1"/>
  <c r="T166" i="1"/>
  <c r="U166" i="1"/>
  <c r="M166" i="1"/>
  <c r="L166" i="1"/>
  <c r="P166" i="1"/>
  <c r="N166" i="1"/>
  <c r="I166" i="1"/>
  <c r="O166" i="1"/>
  <c r="J166" i="1"/>
  <c r="K166" i="1"/>
  <c r="AA168" i="1"/>
  <c r="AB168" i="1"/>
  <c r="X168" i="1"/>
  <c r="B169" i="1"/>
  <c r="A168" i="1"/>
  <c r="D168" i="1"/>
  <c r="E168" i="1" s="1"/>
  <c r="H168" i="1" s="1"/>
  <c r="C168" i="1"/>
  <c r="F168" i="1" s="1"/>
  <c r="C135" i="13"/>
  <c r="B135" i="13"/>
  <c r="V168" i="1"/>
  <c r="A135" i="13"/>
  <c r="AC168" i="1" l="1"/>
  <c r="Q168" i="1"/>
  <c r="R168" i="1" s="1"/>
  <c r="S168" i="1" s="1"/>
  <c r="G168" i="1"/>
  <c r="U167" i="1"/>
  <c r="I167" i="1"/>
  <c r="K167" i="1"/>
  <c r="P167" i="1"/>
  <c r="L167" i="1"/>
  <c r="M167" i="1"/>
  <c r="N167" i="1"/>
  <c r="T167" i="1"/>
  <c r="O167" i="1"/>
  <c r="J167" i="1"/>
  <c r="C136" i="13"/>
  <c r="B136" i="13"/>
  <c r="V169" i="1"/>
  <c r="A136" i="13"/>
  <c r="X169" i="1"/>
  <c r="A169" i="1"/>
  <c r="B170" i="1"/>
  <c r="AB169" i="1"/>
  <c r="C169" i="1"/>
  <c r="F169" i="1" s="1"/>
  <c r="AA169" i="1"/>
  <c r="D169" i="1"/>
  <c r="E169" i="1" s="1"/>
  <c r="AC169" i="1" l="1"/>
  <c r="Q169" i="1"/>
  <c r="R169" i="1" s="1"/>
  <c r="S169" i="1" s="1"/>
  <c r="G169" i="1"/>
  <c r="H169" i="1"/>
  <c r="P168" i="1"/>
  <c r="L168" i="1"/>
  <c r="N168" i="1"/>
  <c r="J168" i="1"/>
  <c r="K168" i="1"/>
  <c r="U168" i="1"/>
  <c r="T168" i="1"/>
  <c r="O168" i="1"/>
  <c r="I168" i="1"/>
  <c r="M168" i="1"/>
  <c r="D170" i="1"/>
  <c r="E170" i="1" s="1"/>
  <c r="B171" i="1"/>
  <c r="AB170" i="1"/>
  <c r="X170" i="1"/>
  <c r="AA170" i="1"/>
  <c r="C170" i="1"/>
  <c r="F170" i="1" s="1"/>
  <c r="A170" i="1"/>
  <c r="A137" i="13"/>
  <c r="V170" i="1"/>
  <c r="C137" i="13"/>
  <c r="B137" i="13"/>
  <c r="AC170" i="1" l="1"/>
  <c r="H170" i="1"/>
  <c r="G170" i="1"/>
  <c r="Q170" i="1"/>
  <c r="R170" i="1" s="1"/>
  <c r="S170" i="1" s="1"/>
  <c r="L169" i="1"/>
  <c r="I169" i="1"/>
  <c r="K169" i="1"/>
  <c r="P169" i="1"/>
  <c r="U169" i="1"/>
  <c r="M169" i="1"/>
  <c r="O169" i="1"/>
  <c r="J169" i="1"/>
  <c r="T169" i="1"/>
  <c r="N169" i="1"/>
  <c r="B138" i="13"/>
  <c r="A138" i="13"/>
  <c r="C138" i="13"/>
  <c r="V171" i="1"/>
  <c r="AA171" i="1"/>
  <c r="X171" i="1"/>
  <c r="D171" i="1"/>
  <c r="E171" i="1" s="1"/>
  <c r="H171" i="1" s="1"/>
  <c r="B172" i="1"/>
  <c r="C171" i="1"/>
  <c r="F171" i="1" s="1"/>
  <c r="AB171" i="1"/>
  <c r="A171" i="1"/>
  <c r="AC171" i="1" l="1"/>
  <c r="Q171" i="1"/>
  <c r="R171" i="1" s="1"/>
  <c r="S171" i="1" s="1"/>
  <c r="G171" i="1"/>
  <c r="U170" i="1"/>
  <c r="M170" i="1"/>
  <c r="N170" i="1"/>
  <c r="J170" i="1"/>
  <c r="L170" i="1"/>
  <c r="T170" i="1"/>
  <c r="P170" i="1"/>
  <c r="K170" i="1"/>
  <c r="I170" i="1"/>
  <c r="O170" i="1"/>
  <c r="V172" i="1"/>
  <c r="C139" i="13"/>
  <c r="B139" i="13"/>
  <c r="A139" i="13"/>
  <c r="AA172" i="1"/>
  <c r="AB172" i="1"/>
  <c r="X172" i="1"/>
  <c r="D172" i="1"/>
  <c r="E172" i="1" s="1"/>
  <c r="C172" i="1"/>
  <c r="F172" i="1" s="1"/>
  <c r="A172" i="1"/>
  <c r="B173" i="1"/>
  <c r="AC172" i="1" l="1"/>
  <c r="H172" i="1"/>
  <c r="G172" i="1"/>
  <c r="Q172" i="1"/>
  <c r="R172" i="1" s="1"/>
  <c r="S172" i="1" s="1"/>
  <c r="M171" i="1"/>
  <c r="N171" i="1"/>
  <c r="P171" i="1"/>
  <c r="O171" i="1"/>
  <c r="T171" i="1"/>
  <c r="L171" i="1"/>
  <c r="K171" i="1"/>
  <c r="U171" i="1"/>
  <c r="J171" i="1"/>
  <c r="I171" i="1"/>
  <c r="B174" i="1"/>
  <c r="AB173" i="1"/>
  <c r="C173" i="1"/>
  <c r="Q173" i="1" s="1"/>
  <c r="R173" i="1" s="1"/>
  <c r="S173" i="1" s="1"/>
  <c r="D173" i="1"/>
  <c r="E173" i="1" s="1"/>
  <c r="A173" i="1"/>
  <c r="AA173" i="1"/>
  <c r="X173" i="1"/>
  <c r="B140" i="13"/>
  <c r="A140" i="13"/>
  <c r="V173" i="1"/>
  <c r="C140" i="13"/>
  <c r="AC173" i="1" l="1"/>
  <c r="F173" i="1"/>
  <c r="H173" i="1"/>
  <c r="G173" i="1"/>
  <c r="M172" i="1"/>
  <c r="L172" i="1"/>
  <c r="N172" i="1"/>
  <c r="O172" i="1"/>
  <c r="P172" i="1"/>
  <c r="U172" i="1"/>
  <c r="J172" i="1"/>
  <c r="T172" i="1"/>
  <c r="I172" i="1"/>
  <c r="K172" i="1"/>
  <c r="A141" i="13"/>
  <c r="V174" i="1"/>
  <c r="C141" i="13"/>
  <c r="B141" i="13"/>
  <c r="AA174" i="1"/>
  <c r="AB174" i="1"/>
  <c r="AC174" i="1" s="1"/>
  <c r="B175" i="1"/>
  <c r="D174" i="1"/>
  <c r="E174" i="1" s="1"/>
  <c r="H174" i="1" s="1"/>
  <c r="X174" i="1"/>
  <c r="A174" i="1"/>
  <c r="C174" i="1"/>
  <c r="Q174" i="1" s="1"/>
  <c r="R174" i="1" s="1"/>
  <c r="S174" i="1" s="1"/>
  <c r="F174" i="1" l="1"/>
  <c r="G174" i="1"/>
  <c r="T173" i="1"/>
  <c r="U173" i="1"/>
  <c r="N173" i="1"/>
  <c r="M173" i="1"/>
  <c r="O173" i="1"/>
  <c r="J173" i="1"/>
  <c r="P173" i="1"/>
  <c r="L173" i="1"/>
  <c r="K173" i="1"/>
  <c r="I173" i="1"/>
  <c r="A175" i="1"/>
  <c r="X175" i="1"/>
  <c r="C175" i="1"/>
  <c r="Q175" i="1" s="1"/>
  <c r="R175" i="1" s="1"/>
  <c r="S175" i="1" s="1"/>
  <c r="AA175" i="1"/>
  <c r="B176" i="1"/>
  <c r="AB175" i="1"/>
  <c r="D175" i="1"/>
  <c r="E175" i="1" s="1"/>
  <c r="C142" i="13"/>
  <c r="V175" i="1"/>
  <c r="A142" i="13"/>
  <c r="B142" i="13"/>
  <c r="AC175" i="1" l="1"/>
  <c r="F175" i="1"/>
  <c r="H175" i="1"/>
  <c r="G175" i="1"/>
  <c r="J174" i="1"/>
  <c r="U174" i="1"/>
  <c r="T174" i="1"/>
  <c r="P174" i="1"/>
  <c r="N174" i="1"/>
  <c r="L174" i="1"/>
  <c r="K174" i="1"/>
  <c r="M174" i="1"/>
  <c r="O174" i="1"/>
  <c r="I174" i="1"/>
  <c r="B143" i="13"/>
  <c r="V176" i="1"/>
  <c r="C143" i="13"/>
  <c r="A143" i="13"/>
  <c r="D176" i="1"/>
  <c r="E176" i="1" s="1"/>
  <c r="G176" i="1" s="1"/>
  <c r="X176" i="1"/>
  <c r="B177" i="1"/>
  <c r="A176" i="1"/>
  <c r="AA176" i="1"/>
  <c r="C176" i="1"/>
  <c r="F176" i="1" s="1"/>
  <c r="AB176" i="1"/>
  <c r="AC176" i="1" l="1"/>
  <c r="H176" i="1"/>
  <c r="N176" i="1" s="1"/>
  <c r="L175" i="1"/>
  <c r="J175" i="1"/>
  <c r="K175" i="1"/>
  <c r="O175" i="1"/>
  <c r="U175" i="1"/>
  <c r="T175" i="1"/>
  <c r="P175" i="1"/>
  <c r="M175" i="1"/>
  <c r="N175" i="1"/>
  <c r="I175" i="1"/>
  <c r="Q176" i="1"/>
  <c r="R176" i="1" s="1"/>
  <c r="S176" i="1" s="1"/>
  <c r="U176" i="1" s="1"/>
  <c r="C144" i="13"/>
  <c r="A144" i="13"/>
  <c r="B144" i="13"/>
  <c r="V177" i="1"/>
  <c r="B178" i="1"/>
  <c r="C177" i="1"/>
  <c r="F177" i="1" s="1"/>
  <c r="A177" i="1"/>
  <c r="D177" i="1"/>
  <c r="E177" i="1" s="1"/>
  <c r="AB177" i="1"/>
  <c r="X177" i="1"/>
  <c r="AA177" i="1"/>
  <c r="AC177" i="1" l="1"/>
  <c r="Q177" i="1"/>
  <c r="R177" i="1" s="1"/>
  <c r="S177" i="1" s="1"/>
  <c r="O176" i="1"/>
  <c r="T176" i="1"/>
  <c r="G177" i="1"/>
  <c r="H177" i="1"/>
  <c r="I176" i="1"/>
  <c r="M176" i="1"/>
  <c r="L176" i="1"/>
  <c r="P176" i="1"/>
  <c r="K176" i="1"/>
  <c r="J176" i="1"/>
  <c r="A145" i="13"/>
  <c r="V178" i="1"/>
  <c r="C145" i="13"/>
  <c r="B145" i="13"/>
  <c r="C178" i="1"/>
  <c r="F178" i="1" s="1"/>
  <c r="B179" i="1"/>
  <c r="A178" i="1"/>
  <c r="AA178" i="1"/>
  <c r="X178" i="1"/>
  <c r="AB178" i="1"/>
  <c r="D178" i="1"/>
  <c r="E178" i="1" s="1"/>
  <c r="AC178" i="1" l="1"/>
  <c r="Q178" i="1"/>
  <c r="R178" i="1" s="1"/>
  <c r="S178" i="1" s="1"/>
  <c r="H178" i="1"/>
  <c r="G178" i="1"/>
  <c r="T177" i="1"/>
  <c r="L177" i="1"/>
  <c r="M177" i="1"/>
  <c r="J177" i="1"/>
  <c r="P177" i="1"/>
  <c r="K177" i="1"/>
  <c r="O177" i="1"/>
  <c r="U177" i="1"/>
  <c r="I177" i="1"/>
  <c r="N177" i="1"/>
  <c r="C146" i="13"/>
  <c r="B146" i="13"/>
  <c r="A146" i="13"/>
  <c r="V179" i="1"/>
  <c r="B180" i="1"/>
  <c r="AA179" i="1"/>
  <c r="AB179" i="1"/>
  <c r="X179" i="1"/>
  <c r="A179" i="1"/>
  <c r="C179" i="1"/>
  <c r="Q179" i="1" s="1"/>
  <c r="R179" i="1" s="1"/>
  <c r="S179" i="1" s="1"/>
  <c r="D179" i="1"/>
  <c r="E179" i="1" s="1"/>
  <c r="AC179" i="1" l="1"/>
  <c r="G179" i="1"/>
  <c r="H179" i="1"/>
  <c r="F179" i="1"/>
  <c r="I178" i="1"/>
  <c r="T178" i="1"/>
  <c r="L178" i="1"/>
  <c r="M178" i="1"/>
  <c r="U178" i="1"/>
  <c r="P178" i="1"/>
  <c r="N178" i="1"/>
  <c r="K178" i="1"/>
  <c r="J178" i="1"/>
  <c r="O178" i="1"/>
  <c r="C147" i="13"/>
  <c r="A147" i="13"/>
  <c r="V180" i="1"/>
  <c r="B147" i="13"/>
  <c r="B181" i="1"/>
  <c r="AA180" i="1"/>
  <c r="A180" i="1"/>
  <c r="C180" i="1"/>
  <c r="Q180" i="1" s="1"/>
  <c r="R180" i="1" s="1"/>
  <c r="S180" i="1" s="1"/>
  <c r="AB180" i="1"/>
  <c r="D180" i="1"/>
  <c r="E180" i="1" s="1"/>
  <c r="X180" i="1"/>
  <c r="AC180" i="1" l="1"/>
  <c r="F180" i="1"/>
  <c r="G180" i="1"/>
  <c r="H180" i="1"/>
  <c r="I179" i="1"/>
  <c r="M179" i="1"/>
  <c r="U179" i="1"/>
  <c r="K179" i="1"/>
  <c r="L179" i="1"/>
  <c r="J179" i="1"/>
  <c r="T179" i="1"/>
  <c r="N179" i="1"/>
  <c r="O179" i="1"/>
  <c r="P179" i="1"/>
  <c r="V181" i="1"/>
  <c r="C148" i="13"/>
  <c r="B148" i="13"/>
  <c r="A148" i="13"/>
  <c r="B182" i="1"/>
  <c r="X181" i="1"/>
  <c r="AA181" i="1"/>
  <c r="A181" i="1"/>
  <c r="AB181" i="1"/>
  <c r="D181" i="1"/>
  <c r="E181" i="1" s="1"/>
  <c r="G181" i="1" s="1"/>
  <c r="C181" i="1"/>
  <c r="Q181" i="1" s="1"/>
  <c r="R181" i="1" s="1"/>
  <c r="S181" i="1" s="1"/>
  <c r="AC181" i="1" l="1"/>
  <c r="F181" i="1"/>
  <c r="H181" i="1"/>
  <c r="P181" i="1" s="1"/>
  <c r="T181" i="1"/>
  <c r="U181" i="1"/>
  <c r="K180" i="1"/>
  <c r="O180" i="1"/>
  <c r="I180" i="1"/>
  <c r="U180" i="1"/>
  <c r="J180" i="1"/>
  <c r="L180" i="1"/>
  <c r="M180" i="1"/>
  <c r="T180" i="1"/>
  <c r="N180" i="1"/>
  <c r="P180" i="1"/>
  <c r="AA182" i="1"/>
  <c r="AC182" i="1" s="1"/>
  <c r="B183" i="1"/>
  <c r="AB182" i="1"/>
  <c r="C182" i="1"/>
  <c r="F182" i="1" s="1"/>
  <c r="X182" i="1"/>
  <c r="D182" i="1"/>
  <c r="E182" i="1" s="1"/>
  <c r="A182" i="1"/>
  <c r="C149" i="13"/>
  <c r="V182" i="1"/>
  <c r="A149" i="13"/>
  <c r="B149" i="13"/>
  <c r="K181" i="1" l="1"/>
  <c r="O181" i="1"/>
  <c r="J181" i="1"/>
  <c r="L181" i="1"/>
  <c r="N181" i="1"/>
  <c r="M181" i="1"/>
  <c r="I181" i="1"/>
  <c r="Q182" i="1"/>
  <c r="R182" i="1" s="1"/>
  <c r="S182" i="1" s="1"/>
  <c r="H182" i="1"/>
  <c r="G182" i="1"/>
  <c r="A183" i="1"/>
  <c r="AA183" i="1"/>
  <c r="AC183" i="1" s="1"/>
  <c r="X183" i="1"/>
  <c r="D183" i="1"/>
  <c r="E183" i="1" s="1"/>
  <c r="C183" i="1"/>
  <c r="Q183" i="1" s="1"/>
  <c r="R183" i="1" s="1"/>
  <c r="S183" i="1" s="1"/>
  <c r="B184" i="1"/>
  <c r="AB183" i="1"/>
  <c r="B150" i="13"/>
  <c r="A150" i="13"/>
  <c r="C150" i="13"/>
  <c r="V183" i="1"/>
  <c r="G183" i="1" l="1"/>
  <c r="T183" i="1" s="1"/>
  <c r="H183" i="1"/>
  <c r="F183" i="1"/>
  <c r="K182" i="1"/>
  <c r="J182" i="1"/>
  <c r="I182" i="1"/>
  <c r="O182" i="1"/>
  <c r="N182" i="1"/>
  <c r="M182" i="1"/>
  <c r="T182" i="1"/>
  <c r="U182" i="1"/>
  <c r="L182" i="1"/>
  <c r="P182" i="1"/>
  <c r="C184" i="1"/>
  <c r="F184" i="1" s="1"/>
  <c r="AB184" i="1"/>
  <c r="AA184" i="1"/>
  <c r="B185" i="1"/>
  <c r="D184" i="1"/>
  <c r="E184" i="1" s="1"/>
  <c r="G184" i="1" s="1"/>
  <c r="A184" i="1"/>
  <c r="X184" i="1"/>
  <c r="A151" i="13"/>
  <c r="C151" i="13"/>
  <c r="V184" i="1"/>
  <c r="B151" i="13"/>
  <c r="U183" i="1" l="1"/>
  <c r="P183" i="1"/>
  <c r="AC184" i="1"/>
  <c r="N183" i="1"/>
  <c r="K183" i="1"/>
  <c r="Q184" i="1"/>
  <c r="R184" i="1" s="1"/>
  <c r="S184" i="1" s="1"/>
  <c r="T184" i="1" s="1"/>
  <c r="J183" i="1"/>
  <c r="M183" i="1"/>
  <c r="L183" i="1"/>
  <c r="I183" i="1"/>
  <c r="H184" i="1"/>
  <c r="I184" i="1" s="1"/>
  <c r="O183" i="1"/>
  <c r="C152" i="13"/>
  <c r="B152" i="13"/>
  <c r="V185" i="1"/>
  <c r="A152" i="13"/>
  <c r="C185" i="1"/>
  <c r="F185" i="1" s="1"/>
  <c r="A185" i="1"/>
  <c r="X185" i="1"/>
  <c r="D185" i="1"/>
  <c r="E185" i="1" s="1"/>
  <c r="AB185" i="1"/>
  <c r="B186" i="1"/>
  <c r="AA185" i="1"/>
  <c r="AC185" i="1" l="1"/>
  <c r="U184" i="1"/>
  <c r="Q185" i="1"/>
  <c r="R185" i="1" s="1"/>
  <c r="S185" i="1" s="1"/>
  <c r="P184" i="1"/>
  <c r="M184" i="1"/>
  <c r="J184" i="1"/>
  <c r="L184" i="1"/>
  <c r="K184" i="1"/>
  <c r="O184" i="1"/>
  <c r="N184" i="1"/>
  <c r="H185" i="1"/>
  <c r="G185" i="1"/>
  <c r="A186" i="1"/>
  <c r="AA186" i="1"/>
  <c r="AB186" i="1"/>
  <c r="X186" i="1"/>
  <c r="C186" i="1"/>
  <c r="Q186" i="1" s="1"/>
  <c r="R186" i="1" s="1"/>
  <c r="S186" i="1" s="1"/>
  <c r="D186" i="1"/>
  <c r="E186" i="1" s="1"/>
  <c r="B187" i="1"/>
  <c r="B153" i="13"/>
  <c r="V186" i="1"/>
  <c r="A153" i="13"/>
  <c r="C153" i="13"/>
  <c r="AC186" i="1" l="1"/>
  <c r="U185" i="1"/>
  <c r="K185" i="1"/>
  <c r="P185" i="1"/>
  <c r="T185" i="1"/>
  <c r="J185" i="1"/>
  <c r="G186" i="1"/>
  <c r="U186" i="1" s="1"/>
  <c r="H186" i="1"/>
  <c r="N185" i="1"/>
  <c r="L185" i="1"/>
  <c r="M185" i="1"/>
  <c r="F186" i="1"/>
  <c r="O185" i="1"/>
  <c r="I185" i="1"/>
  <c r="C154" i="13"/>
  <c r="B154" i="13"/>
  <c r="A154" i="13"/>
  <c r="V187" i="1"/>
  <c r="A187" i="1"/>
  <c r="AA187" i="1"/>
  <c r="AC187" i="1" s="1"/>
  <c r="AB187" i="1"/>
  <c r="B188" i="1"/>
  <c r="D187" i="1"/>
  <c r="E187" i="1" s="1"/>
  <c r="C187" i="1"/>
  <c r="Q187" i="1" s="1"/>
  <c r="R187" i="1" s="1"/>
  <c r="S187" i="1" s="1"/>
  <c r="X187" i="1"/>
  <c r="O186" i="1" l="1"/>
  <c r="F187" i="1"/>
  <c r="I186" i="1"/>
  <c r="N186" i="1"/>
  <c r="P186" i="1"/>
  <c r="M186" i="1"/>
  <c r="T186" i="1"/>
  <c r="K186" i="1"/>
  <c r="J186" i="1"/>
  <c r="L186" i="1"/>
  <c r="G187" i="1"/>
  <c r="H187" i="1"/>
  <c r="C155" i="13"/>
  <c r="A155" i="13"/>
  <c r="B155" i="13"/>
  <c r="V188" i="1"/>
  <c r="B189" i="1"/>
  <c r="X188" i="1"/>
  <c r="C188" i="1"/>
  <c r="F188" i="1" s="1"/>
  <c r="AA188" i="1"/>
  <c r="A188" i="1"/>
  <c r="AB188" i="1"/>
  <c r="D188" i="1"/>
  <c r="E188" i="1" s="1"/>
  <c r="AC188" i="1" l="1"/>
  <c r="Q188" i="1"/>
  <c r="R188" i="1" s="1"/>
  <c r="S188" i="1" s="1"/>
  <c r="G188" i="1"/>
  <c r="H188" i="1"/>
  <c r="P187" i="1"/>
  <c r="L187" i="1"/>
  <c r="I187" i="1"/>
  <c r="U187" i="1"/>
  <c r="K187" i="1"/>
  <c r="J187" i="1"/>
  <c r="T187" i="1"/>
  <c r="N187" i="1"/>
  <c r="O187" i="1"/>
  <c r="M187" i="1"/>
  <c r="B156" i="13"/>
  <c r="V189" i="1"/>
  <c r="C156" i="13"/>
  <c r="A156" i="13"/>
  <c r="AA189" i="1"/>
  <c r="X189" i="1"/>
  <c r="D189" i="1"/>
  <c r="E189" i="1" s="1"/>
  <c r="AB189" i="1"/>
  <c r="B190" i="1"/>
  <c r="C189" i="1"/>
  <c r="F189" i="1" s="1"/>
  <c r="A189" i="1"/>
  <c r="AC189" i="1" l="1"/>
  <c r="Q189" i="1"/>
  <c r="R189" i="1" s="1"/>
  <c r="S189" i="1" s="1"/>
  <c r="H189" i="1"/>
  <c r="G189" i="1"/>
  <c r="U188" i="1"/>
  <c r="T188" i="1"/>
  <c r="P188" i="1"/>
  <c r="M188" i="1"/>
  <c r="J188" i="1"/>
  <c r="K188" i="1"/>
  <c r="L188" i="1"/>
  <c r="O188" i="1"/>
  <c r="N188" i="1"/>
  <c r="I188" i="1"/>
  <c r="B157" i="13"/>
  <c r="V190" i="1"/>
  <c r="A157" i="13"/>
  <c r="C157" i="13"/>
  <c r="B191" i="1"/>
  <c r="AB190" i="1"/>
  <c r="X190" i="1"/>
  <c r="AA190" i="1"/>
  <c r="D190" i="1"/>
  <c r="E190" i="1" s="1"/>
  <c r="G190" i="1" s="1"/>
  <c r="C190" i="1"/>
  <c r="Q190" i="1" s="1"/>
  <c r="R190" i="1" s="1"/>
  <c r="S190" i="1" s="1"/>
  <c r="A190" i="1"/>
  <c r="AC190" i="1" l="1"/>
  <c r="T190" i="1"/>
  <c r="U190" i="1"/>
  <c r="F190" i="1"/>
  <c r="H190" i="1"/>
  <c r="J190" i="1" s="1"/>
  <c r="O189" i="1"/>
  <c r="K189" i="1"/>
  <c r="T189" i="1"/>
  <c r="P189" i="1"/>
  <c r="M189" i="1"/>
  <c r="I189" i="1"/>
  <c r="J189" i="1"/>
  <c r="N189" i="1"/>
  <c r="L189" i="1"/>
  <c r="U189" i="1"/>
  <c r="A158" i="13"/>
  <c r="C158" i="13"/>
  <c r="B158" i="13"/>
  <c r="V191" i="1"/>
  <c r="A191" i="1"/>
  <c r="AA191" i="1"/>
  <c r="B192" i="1"/>
  <c r="AB191" i="1"/>
  <c r="D191" i="1"/>
  <c r="E191" i="1" s="1"/>
  <c r="C191" i="1"/>
  <c r="F191" i="1" s="1"/>
  <c r="X191" i="1"/>
  <c r="AC191" i="1" l="1"/>
  <c r="H191" i="1"/>
  <c r="G191" i="1"/>
  <c r="K190" i="1"/>
  <c r="L190" i="1"/>
  <c r="Q191" i="1"/>
  <c r="R191" i="1" s="1"/>
  <c r="S191" i="1" s="1"/>
  <c r="O190" i="1"/>
  <c r="N190" i="1"/>
  <c r="M190" i="1"/>
  <c r="P190" i="1"/>
  <c r="I190" i="1"/>
  <c r="A159" i="13"/>
  <c r="V192" i="1"/>
  <c r="C159" i="13"/>
  <c r="B159" i="13"/>
  <c r="D192" i="1"/>
  <c r="E192" i="1" s="1"/>
  <c r="H192" i="1" s="1"/>
  <c r="B193" i="1"/>
  <c r="X192" i="1"/>
  <c r="AA192" i="1"/>
  <c r="A192" i="1"/>
  <c r="AB192" i="1"/>
  <c r="C192" i="1"/>
  <c r="Q192" i="1" s="1"/>
  <c r="R192" i="1" s="1"/>
  <c r="S192" i="1" s="1"/>
  <c r="AC192" i="1" l="1"/>
  <c r="G192" i="1"/>
  <c r="F192" i="1"/>
  <c r="J191" i="1"/>
  <c r="L191" i="1"/>
  <c r="U191" i="1"/>
  <c r="N191" i="1"/>
  <c r="O191" i="1"/>
  <c r="M191" i="1"/>
  <c r="P191" i="1"/>
  <c r="T191" i="1"/>
  <c r="K191" i="1"/>
  <c r="I191" i="1"/>
  <c r="A193" i="1"/>
  <c r="D193" i="1"/>
  <c r="E193" i="1" s="1"/>
  <c r="B194" i="1"/>
  <c r="AB193" i="1"/>
  <c r="C193" i="1"/>
  <c r="F193" i="1" s="1"/>
  <c r="AA193" i="1"/>
  <c r="AC193" i="1" s="1"/>
  <c r="X193" i="1"/>
  <c r="V193" i="1"/>
  <c r="C160" i="13"/>
  <c r="B160" i="13"/>
  <c r="A160" i="13"/>
  <c r="Q193" i="1" l="1"/>
  <c r="R193" i="1" s="1"/>
  <c r="S193" i="1" s="1"/>
  <c r="G193" i="1"/>
  <c r="H193" i="1"/>
  <c r="J192" i="1"/>
  <c r="N192" i="1"/>
  <c r="I192" i="1"/>
  <c r="T192" i="1"/>
  <c r="O192" i="1"/>
  <c r="U192" i="1"/>
  <c r="L192" i="1"/>
  <c r="P192" i="1"/>
  <c r="M192" i="1"/>
  <c r="K192" i="1"/>
  <c r="C161" i="13"/>
  <c r="A161" i="13"/>
  <c r="V194" i="1"/>
  <c r="B161" i="13"/>
  <c r="X194" i="1"/>
  <c r="AA194" i="1"/>
  <c r="B195" i="1"/>
  <c r="C194" i="1"/>
  <c r="Q194" i="1" s="1"/>
  <c r="R194" i="1" s="1"/>
  <c r="S194" i="1" s="1"/>
  <c r="AB194" i="1"/>
  <c r="D194" i="1"/>
  <c r="E194" i="1" s="1"/>
  <c r="H194" i="1" s="1"/>
  <c r="A194" i="1"/>
  <c r="AC194" i="1" l="1"/>
  <c r="G194" i="1"/>
  <c r="N194" i="1" s="1"/>
  <c r="F194" i="1"/>
  <c r="T193" i="1"/>
  <c r="I193" i="1"/>
  <c r="U193" i="1"/>
  <c r="P193" i="1"/>
  <c r="O193" i="1"/>
  <c r="J193" i="1"/>
  <c r="K193" i="1"/>
  <c r="M193" i="1"/>
  <c r="N193" i="1"/>
  <c r="L193" i="1"/>
  <c r="B196" i="1"/>
  <c r="D195" i="1"/>
  <c r="E195" i="1" s="1"/>
  <c r="H195" i="1" s="1"/>
  <c r="AB195" i="1"/>
  <c r="AA195" i="1"/>
  <c r="C195" i="1"/>
  <c r="F195" i="1" s="1"/>
  <c r="X195" i="1"/>
  <c r="A195" i="1"/>
  <c r="C162" i="13"/>
  <c r="A162" i="13"/>
  <c r="V195" i="1"/>
  <c r="B162" i="13"/>
  <c r="AC195" i="1" l="1"/>
  <c r="T194" i="1"/>
  <c r="Q195" i="1"/>
  <c r="R195" i="1" s="1"/>
  <c r="S195" i="1" s="1"/>
  <c r="L194" i="1"/>
  <c r="O194" i="1"/>
  <c r="U194" i="1"/>
  <c r="J194" i="1"/>
  <c r="M194" i="1"/>
  <c r="I194" i="1"/>
  <c r="K194" i="1"/>
  <c r="P194" i="1"/>
  <c r="G195" i="1"/>
  <c r="X196" i="1"/>
  <c r="D196" i="1"/>
  <c r="E196" i="1" s="1"/>
  <c r="B197" i="1"/>
  <c r="C196" i="1"/>
  <c r="F196" i="1" s="1"/>
  <c r="A196" i="1"/>
  <c r="AB196" i="1"/>
  <c r="AA196" i="1"/>
  <c r="B163" i="13"/>
  <c r="V196" i="1"/>
  <c r="C163" i="13"/>
  <c r="A163" i="13"/>
  <c r="AC196" i="1" l="1"/>
  <c r="Q196" i="1"/>
  <c r="R196" i="1" s="1"/>
  <c r="S196" i="1" s="1"/>
  <c r="H196" i="1"/>
  <c r="G196" i="1"/>
  <c r="J195" i="1"/>
  <c r="L195" i="1"/>
  <c r="I195" i="1"/>
  <c r="P195" i="1"/>
  <c r="U195" i="1"/>
  <c r="M195" i="1"/>
  <c r="N195" i="1"/>
  <c r="O195" i="1"/>
  <c r="T195" i="1"/>
  <c r="K195" i="1"/>
  <c r="A164" i="13"/>
  <c r="V197" i="1"/>
  <c r="C164" i="13"/>
  <c r="B164" i="13"/>
  <c r="AB197" i="1"/>
  <c r="AA197" i="1"/>
  <c r="B198" i="1"/>
  <c r="D197" i="1"/>
  <c r="E197" i="1" s="1"/>
  <c r="C197" i="1"/>
  <c r="F197" i="1" s="1"/>
  <c r="X197" i="1"/>
  <c r="A197" i="1"/>
  <c r="AC197" i="1" l="1"/>
  <c r="Q197" i="1"/>
  <c r="R197" i="1" s="1"/>
  <c r="S197" i="1" s="1"/>
  <c r="G197" i="1"/>
  <c r="H197" i="1"/>
  <c r="N196" i="1"/>
  <c r="J196" i="1"/>
  <c r="O196" i="1"/>
  <c r="T196" i="1"/>
  <c r="P196" i="1"/>
  <c r="K196" i="1"/>
  <c r="I196" i="1"/>
  <c r="M196" i="1"/>
  <c r="U196" i="1"/>
  <c r="L196" i="1"/>
  <c r="B199" i="1"/>
  <c r="A198" i="1"/>
  <c r="D198" i="1"/>
  <c r="E198" i="1" s="1"/>
  <c r="G198" i="1" s="1"/>
  <c r="X198" i="1"/>
  <c r="AA198" i="1"/>
  <c r="C198" i="1"/>
  <c r="F198" i="1" s="1"/>
  <c r="AB198" i="1"/>
  <c r="C165" i="13"/>
  <c r="V198" i="1"/>
  <c r="A165" i="13"/>
  <c r="B165" i="13"/>
  <c r="AC198" i="1" l="1"/>
  <c r="Q198" i="1"/>
  <c r="R198" i="1" s="1"/>
  <c r="S198" i="1" s="1"/>
  <c r="T198" i="1" s="1"/>
  <c r="H198" i="1"/>
  <c r="K198" i="1" s="1"/>
  <c r="L197" i="1"/>
  <c r="U197" i="1"/>
  <c r="M197" i="1"/>
  <c r="I197" i="1"/>
  <c r="K197" i="1"/>
  <c r="J197" i="1"/>
  <c r="N197" i="1"/>
  <c r="T197" i="1"/>
  <c r="O197" i="1"/>
  <c r="P197" i="1"/>
  <c r="V199" i="1"/>
  <c r="B166" i="13"/>
  <c r="A166" i="13"/>
  <c r="C166" i="13"/>
  <c r="X199" i="1"/>
  <c r="D199" i="1"/>
  <c r="E199" i="1" s="1"/>
  <c r="C199" i="1"/>
  <c r="Q199" i="1" s="1"/>
  <c r="R199" i="1" s="1"/>
  <c r="S199" i="1" s="1"/>
  <c r="AA199" i="1"/>
  <c r="B200" i="1"/>
  <c r="AB199" i="1"/>
  <c r="A199" i="1"/>
  <c r="AC199" i="1" l="1"/>
  <c r="U198" i="1"/>
  <c r="M198" i="1"/>
  <c r="L198" i="1"/>
  <c r="F199" i="1"/>
  <c r="H199" i="1"/>
  <c r="G199" i="1"/>
  <c r="N198" i="1"/>
  <c r="O198" i="1"/>
  <c r="J198" i="1"/>
  <c r="I198" i="1"/>
  <c r="P198" i="1"/>
  <c r="C200" i="1"/>
  <c r="Q200" i="1" s="1"/>
  <c r="R200" i="1" s="1"/>
  <c r="S200" i="1" s="1"/>
  <c r="AB200" i="1"/>
  <c r="B201" i="1"/>
  <c r="X200" i="1"/>
  <c r="AA200" i="1"/>
  <c r="D200" i="1"/>
  <c r="E200" i="1" s="1"/>
  <c r="A200" i="1"/>
  <c r="C167" i="13"/>
  <c r="B167" i="13"/>
  <c r="A167" i="13"/>
  <c r="V200" i="1"/>
  <c r="AC200" i="1" l="1"/>
  <c r="F200" i="1"/>
  <c r="H200" i="1"/>
  <c r="G200" i="1"/>
  <c r="U199" i="1"/>
  <c r="L199" i="1"/>
  <c r="P199" i="1"/>
  <c r="M199" i="1"/>
  <c r="I199" i="1"/>
  <c r="K199" i="1"/>
  <c r="T199" i="1"/>
  <c r="N199" i="1"/>
  <c r="O199" i="1"/>
  <c r="J199" i="1"/>
  <c r="A201" i="1"/>
  <c r="B202" i="1"/>
  <c r="D201" i="1"/>
  <c r="E201" i="1" s="1"/>
  <c r="AB201" i="1"/>
  <c r="C201" i="1"/>
  <c r="F201" i="1" s="1"/>
  <c r="AA201" i="1"/>
  <c r="AC201" i="1" s="1"/>
  <c r="X201" i="1"/>
  <c r="C168" i="13"/>
  <c r="V201" i="1"/>
  <c r="A168" i="13"/>
  <c r="B168" i="13"/>
  <c r="G201" i="1" l="1"/>
  <c r="H201" i="1"/>
  <c r="Q201" i="1"/>
  <c r="R201" i="1" s="1"/>
  <c r="S201" i="1" s="1"/>
  <c r="I200" i="1"/>
  <c r="L200" i="1"/>
  <c r="M200" i="1"/>
  <c r="P200" i="1"/>
  <c r="N200" i="1"/>
  <c r="T200" i="1"/>
  <c r="J200" i="1"/>
  <c r="O200" i="1"/>
  <c r="K200" i="1"/>
  <c r="U200" i="1"/>
  <c r="A202" i="1"/>
  <c r="AA202" i="1"/>
  <c r="D202" i="1"/>
  <c r="E202" i="1" s="1"/>
  <c r="H202" i="1" s="1"/>
  <c r="B203" i="1"/>
  <c r="C202" i="1"/>
  <c r="F202" i="1" s="1"/>
  <c r="X202" i="1"/>
  <c r="AB202" i="1"/>
  <c r="B169" i="13"/>
  <c r="V202" i="1"/>
  <c r="C169" i="13"/>
  <c r="A169" i="13"/>
  <c r="AC202" i="1" l="1"/>
  <c r="Q202" i="1"/>
  <c r="R202" i="1" s="1"/>
  <c r="S202" i="1" s="1"/>
  <c r="G202" i="1"/>
  <c r="K201" i="1"/>
  <c r="P201" i="1"/>
  <c r="J201" i="1"/>
  <c r="T201" i="1"/>
  <c r="M201" i="1"/>
  <c r="O201" i="1"/>
  <c r="U201" i="1"/>
  <c r="N201" i="1"/>
  <c r="L201" i="1"/>
  <c r="I201" i="1"/>
  <c r="B170" i="13"/>
  <c r="C170" i="13"/>
  <c r="A170" i="13"/>
  <c r="V203" i="1"/>
  <c r="B204" i="1"/>
  <c r="X203" i="1"/>
  <c r="D203" i="1"/>
  <c r="E203" i="1" s="1"/>
  <c r="G203" i="1" s="1"/>
  <c r="AA203" i="1"/>
  <c r="C203" i="1"/>
  <c r="F203" i="1" s="1"/>
  <c r="A203" i="1"/>
  <c r="AB203" i="1"/>
  <c r="AC203" i="1" l="1"/>
  <c r="Q203" i="1"/>
  <c r="R203" i="1" s="1"/>
  <c r="S203" i="1" s="1"/>
  <c r="U203" i="1" s="1"/>
  <c r="H203" i="1"/>
  <c r="K203" i="1" s="1"/>
  <c r="N202" i="1"/>
  <c r="M202" i="1"/>
  <c r="P202" i="1"/>
  <c r="K202" i="1"/>
  <c r="L202" i="1"/>
  <c r="O202" i="1"/>
  <c r="I202" i="1"/>
  <c r="U202" i="1"/>
  <c r="J202" i="1"/>
  <c r="T202" i="1"/>
  <c r="C171" i="13"/>
  <c r="B171" i="13"/>
  <c r="V204" i="1"/>
  <c r="A171" i="13"/>
  <c r="A204" i="1"/>
  <c r="AA204" i="1"/>
  <c r="D204" i="1"/>
  <c r="E204" i="1" s="1"/>
  <c r="H204" i="1" s="1"/>
  <c r="X204" i="1"/>
  <c r="C204" i="1"/>
  <c r="Q204" i="1" s="1"/>
  <c r="R204" i="1" s="1"/>
  <c r="S204" i="1" s="1"/>
  <c r="AB204" i="1"/>
  <c r="B205" i="1"/>
  <c r="AC204" i="1" l="1"/>
  <c r="F204" i="1"/>
  <c r="J203" i="1"/>
  <c r="T203" i="1"/>
  <c r="L203" i="1"/>
  <c r="M203" i="1"/>
  <c r="G204" i="1"/>
  <c r="P203" i="1"/>
  <c r="O203" i="1"/>
  <c r="I203" i="1"/>
  <c r="N203" i="1"/>
  <c r="C172" i="13"/>
  <c r="V205" i="1"/>
  <c r="A172" i="13"/>
  <c r="B172" i="13"/>
  <c r="D205" i="1"/>
  <c r="E205" i="1" s="1"/>
  <c r="X205" i="1"/>
  <c r="AA205" i="1"/>
  <c r="B206" i="1"/>
  <c r="AB205" i="1"/>
  <c r="C205" i="1"/>
  <c r="Q205" i="1" s="1"/>
  <c r="R205" i="1" s="1"/>
  <c r="S205" i="1" s="1"/>
  <c r="A205" i="1"/>
  <c r="AC205" i="1" l="1"/>
  <c r="H205" i="1"/>
  <c r="G205" i="1"/>
  <c r="F205" i="1"/>
  <c r="U204" i="1"/>
  <c r="L204" i="1"/>
  <c r="P204" i="1"/>
  <c r="K204" i="1"/>
  <c r="T204" i="1"/>
  <c r="J204" i="1"/>
  <c r="I204" i="1"/>
  <c r="N204" i="1"/>
  <c r="O204" i="1"/>
  <c r="M204" i="1"/>
  <c r="V206" i="1"/>
  <c r="B173" i="13"/>
  <c r="A173" i="13"/>
  <c r="C173" i="13"/>
  <c r="AB206" i="1"/>
  <c r="A206" i="1"/>
  <c r="AA206" i="1"/>
  <c r="AC206" i="1" s="1"/>
  <c r="C206" i="1"/>
  <c r="F206" i="1" s="1"/>
  <c r="B207" i="1"/>
  <c r="D206" i="1"/>
  <c r="E206" i="1" s="1"/>
  <c r="G206" i="1" s="1"/>
  <c r="X206" i="1"/>
  <c r="H206" i="1" l="1"/>
  <c r="N206" i="1" s="1"/>
  <c r="Q206" i="1"/>
  <c r="R206" i="1" s="1"/>
  <c r="S206" i="1" s="1"/>
  <c r="U206" i="1" s="1"/>
  <c r="T205" i="1"/>
  <c r="U205" i="1"/>
  <c r="J205" i="1"/>
  <c r="P205" i="1"/>
  <c r="M205" i="1"/>
  <c r="L205" i="1"/>
  <c r="I205" i="1"/>
  <c r="K205" i="1"/>
  <c r="O205" i="1"/>
  <c r="N205" i="1"/>
  <c r="A207" i="1"/>
  <c r="AB207" i="1"/>
  <c r="AA207" i="1"/>
  <c r="B208" i="1"/>
  <c r="X207" i="1"/>
  <c r="D207" i="1"/>
  <c r="E207" i="1" s="1"/>
  <c r="C207" i="1"/>
  <c r="Q207" i="1" s="1"/>
  <c r="R207" i="1" s="1"/>
  <c r="S207" i="1" s="1"/>
  <c r="B174" i="13"/>
  <c r="V207" i="1"/>
  <c r="A174" i="13"/>
  <c r="C174" i="13"/>
  <c r="AC207" i="1" l="1"/>
  <c r="F207" i="1"/>
  <c r="O206" i="1"/>
  <c r="L206" i="1"/>
  <c r="G207" i="1"/>
  <c r="H207" i="1"/>
  <c r="T206" i="1"/>
  <c r="P206" i="1"/>
  <c r="M206" i="1"/>
  <c r="I206" i="1"/>
  <c r="J206" i="1"/>
  <c r="K206" i="1"/>
  <c r="C175" i="13"/>
  <c r="B175" i="13"/>
  <c r="A175" i="13"/>
  <c r="V208" i="1"/>
  <c r="AA208" i="1"/>
  <c r="AB208" i="1"/>
  <c r="C208" i="1"/>
  <c r="F208" i="1" s="1"/>
  <c r="D208" i="1"/>
  <c r="E208" i="1" s="1"/>
  <c r="H208" i="1" s="1"/>
  <c r="B209" i="1"/>
  <c r="X208" i="1"/>
  <c r="A208" i="1"/>
  <c r="AC208" i="1" l="1"/>
  <c r="G208" i="1"/>
  <c r="Q208" i="1"/>
  <c r="R208" i="1" s="1"/>
  <c r="S208" i="1" s="1"/>
  <c r="M207" i="1"/>
  <c r="N207" i="1"/>
  <c r="K207" i="1"/>
  <c r="U207" i="1"/>
  <c r="T207" i="1"/>
  <c r="L207" i="1"/>
  <c r="O207" i="1"/>
  <c r="P207" i="1"/>
  <c r="J207" i="1"/>
  <c r="I207" i="1"/>
  <c r="X209" i="1"/>
  <c r="AA209" i="1"/>
  <c r="AC209" i="1" s="1"/>
  <c r="A209" i="1"/>
  <c r="AB209" i="1"/>
  <c r="D209" i="1"/>
  <c r="E209" i="1" s="1"/>
  <c r="C209" i="1"/>
  <c r="Q209" i="1" s="1"/>
  <c r="R209" i="1" s="1"/>
  <c r="S209" i="1" s="1"/>
  <c r="B210" i="1"/>
  <c r="A176" i="13"/>
  <c r="V209" i="1"/>
  <c r="B176" i="13"/>
  <c r="C176" i="13"/>
  <c r="F209" i="1" l="1"/>
  <c r="G209" i="1"/>
  <c r="H209" i="1"/>
  <c r="M208" i="1"/>
  <c r="P208" i="1"/>
  <c r="N208" i="1"/>
  <c r="U208" i="1"/>
  <c r="L208" i="1"/>
  <c r="J208" i="1"/>
  <c r="O208" i="1"/>
  <c r="I208" i="1"/>
  <c r="T208" i="1"/>
  <c r="K208" i="1"/>
  <c r="B211" i="1"/>
  <c r="AB210" i="1"/>
  <c r="C210" i="1"/>
  <c r="F210" i="1" s="1"/>
  <c r="X210" i="1"/>
  <c r="D210" i="1"/>
  <c r="E210" i="1" s="1"/>
  <c r="AA210" i="1"/>
  <c r="A210" i="1"/>
  <c r="C177" i="13"/>
  <c r="B177" i="13"/>
  <c r="A177" i="13"/>
  <c r="V210" i="1"/>
  <c r="AC210" i="1" l="1"/>
  <c r="Q210" i="1"/>
  <c r="R210" i="1" s="1"/>
  <c r="S210" i="1" s="1"/>
  <c r="H210" i="1"/>
  <c r="G210" i="1"/>
  <c r="N209" i="1"/>
  <c r="J209" i="1"/>
  <c r="U209" i="1"/>
  <c r="T209" i="1"/>
  <c r="M209" i="1"/>
  <c r="I209" i="1"/>
  <c r="L209" i="1"/>
  <c r="K209" i="1"/>
  <c r="O209" i="1"/>
  <c r="P209" i="1"/>
  <c r="A178" i="13"/>
  <c r="C178" i="13"/>
  <c r="V211" i="1"/>
  <c r="B178" i="13"/>
  <c r="B212" i="1"/>
  <c r="AB211" i="1"/>
  <c r="C211" i="1"/>
  <c r="Q211" i="1" s="1"/>
  <c r="R211" i="1" s="1"/>
  <c r="S211" i="1" s="1"/>
  <c r="X211" i="1"/>
  <c r="A211" i="1"/>
  <c r="AA211" i="1"/>
  <c r="D211" i="1"/>
  <c r="E211" i="1" s="1"/>
  <c r="AC211" i="1" l="1"/>
  <c r="G211" i="1"/>
  <c r="H211" i="1"/>
  <c r="F211" i="1"/>
  <c r="M210" i="1"/>
  <c r="T210" i="1"/>
  <c r="U210" i="1"/>
  <c r="N210" i="1"/>
  <c r="O210" i="1"/>
  <c r="L210" i="1"/>
  <c r="I210" i="1"/>
  <c r="J210" i="1"/>
  <c r="P210" i="1"/>
  <c r="K210" i="1"/>
  <c r="B179" i="13"/>
  <c r="A179" i="13"/>
  <c r="V212" i="1"/>
  <c r="C179" i="13"/>
  <c r="AA212" i="1"/>
  <c r="A212" i="1"/>
  <c r="X212" i="1"/>
  <c r="B213" i="1"/>
  <c r="D212" i="1"/>
  <c r="E212" i="1" s="1"/>
  <c r="G212" i="1" s="1"/>
  <c r="AB212" i="1"/>
  <c r="C212" i="1"/>
  <c r="Q212" i="1" s="1"/>
  <c r="R212" i="1" s="1"/>
  <c r="S212" i="1" s="1"/>
  <c r="AC212" i="1" l="1"/>
  <c r="H212" i="1"/>
  <c r="P212" i="1" s="1"/>
  <c r="T212" i="1"/>
  <c r="F212" i="1"/>
  <c r="U212" i="1"/>
  <c r="L211" i="1"/>
  <c r="U211" i="1"/>
  <c r="J211" i="1"/>
  <c r="T211" i="1"/>
  <c r="M211" i="1"/>
  <c r="I211" i="1"/>
  <c r="K211" i="1"/>
  <c r="N211" i="1"/>
  <c r="O211" i="1"/>
  <c r="P211" i="1"/>
  <c r="X213" i="1"/>
  <c r="AB213" i="1"/>
  <c r="C213" i="1"/>
  <c r="F213" i="1" s="1"/>
  <c r="D213" i="1"/>
  <c r="E213" i="1" s="1"/>
  <c r="B214" i="1"/>
  <c r="AA213" i="1"/>
  <c r="AC213" i="1" s="1"/>
  <c r="A213" i="1"/>
  <c r="A180" i="13"/>
  <c r="C180" i="13"/>
  <c r="B180" i="13"/>
  <c r="V213" i="1"/>
  <c r="M212" i="1" l="1"/>
  <c r="L212" i="1"/>
  <c r="I212" i="1"/>
  <c r="N212" i="1"/>
  <c r="O212" i="1"/>
  <c r="K212" i="1"/>
  <c r="J212" i="1"/>
  <c r="G213" i="1"/>
  <c r="H213" i="1"/>
  <c r="Q213" i="1"/>
  <c r="R213" i="1" s="1"/>
  <c r="S213" i="1" s="1"/>
  <c r="D214" i="1"/>
  <c r="E214" i="1" s="1"/>
  <c r="C214" i="1"/>
  <c r="Q214" i="1" s="1"/>
  <c r="R214" i="1" s="1"/>
  <c r="S214" i="1" s="1"/>
  <c r="X214" i="1"/>
  <c r="AB214" i="1"/>
  <c r="B215" i="1"/>
  <c r="A214" i="1"/>
  <c r="AA214" i="1"/>
  <c r="V214" i="1"/>
  <c r="B181" i="13"/>
  <c r="C181" i="13"/>
  <c r="A181" i="13"/>
  <c r="AC214" i="1" l="1"/>
  <c r="F214" i="1"/>
  <c r="G214" i="1"/>
  <c r="H214" i="1"/>
  <c r="O213" i="1"/>
  <c r="N213" i="1"/>
  <c r="P213" i="1"/>
  <c r="U213" i="1"/>
  <c r="I213" i="1"/>
  <c r="L213" i="1"/>
  <c r="K213" i="1"/>
  <c r="T213" i="1"/>
  <c r="M213" i="1"/>
  <c r="J213" i="1"/>
  <c r="A215" i="1"/>
  <c r="AB215" i="1"/>
  <c r="AA215" i="1"/>
  <c r="X215" i="1"/>
  <c r="C215" i="1"/>
  <c r="F215" i="1" s="1"/>
  <c r="D215" i="1"/>
  <c r="E215" i="1" s="1"/>
  <c r="B216" i="1"/>
  <c r="V215" i="1"/>
  <c r="A182" i="13"/>
  <c r="C182" i="13"/>
  <c r="B182" i="13"/>
  <c r="AC215" i="1" l="1"/>
  <c r="H215" i="1"/>
  <c r="G215" i="1"/>
  <c r="Q215" i="1"/>
  <c r="R215" i="1" s="1"/>
  <c r="S215" i="1" s="1"/>
  <c r="T214" i="1"/>
  <c r="O214" i="1"/>
  <c r="N214" i="1"/>
  <c r="U214" i="1"/>
  <c r="L214" i="1"/>
  <c r="P214" i="1"/>
  <c r="K214" i="1"/>
  <c r="I214" i="1"/>
  <c r="M214" i="1"/>
  <c r="J214" i="1"/>
  <c r="C183" i="13"/>
  <c r="V216" i="1"/>
  <c r="B183" i="13"/>
  <c r="A183" i="13"/>
  <c r="AA216" i="1"/>
  <c r="C216" i="1"/>
  <c r="F216" i="1" s="1"/>
  <c r="D216" i="1"/>
  <c r="E216" i="1" s="1"/>
  <c r="H216" i="1" s="1"/>
  <c r="A216" i="1"/>
  <c r="B217" i="1"/>
  <c r="X216" i="1"/>
  <c r="AB216" i="1"/>
  <c r="AC216" i="1" l="1"/>
  <c r="Q216" i="1"/>
  <c r="R216" i="1" s="1"/>
  <c r="S216" i="1" s="1"/>
  <c r="I215" i="1"/>
  <c r="N215" i="1"/>
  <c r="U215" i="1"/>
  <c r="P215" i="1"/>
  <c r="M215" i="1"/>
  <c r="J215" i="1"/>
  <c r="O215" i="1"/>
  <c r="L215" i="1"/>
  <c r="K215" i="1"/>
  <c r="T215" i="1"/>
  <c r="G216" i="1"/>
  <c r="B218" i="1"/>
  <c r="X217" i="1"/>
  <c r="AB217" i="1"/>
  <c r="D217" i="1"/>
  <c r="E217" i="1" s="1"/>
  <c r="H217" i="1" s="1"/>
  <c r="AA217" i="1"/>
  <c r="A217" i="1"/>
  <c r="C217" i="1"/>
  <c r="Q217" i="1" s="1"/>
  <c r="R217" i="1" s="1"/>
  <c r="S217" i="1" s="1"/>
  <c r="A184" i="13"/>
  <c r="C184" i="13"/>
  <c r="B184" i="13"/>
  <c r="V217" i="1"/>
  <c r="AC217" i="1" l="1"/>
  <c r="F217" i="1"/>
  <c r="K216" i="1"/>
  <c r="M216" i="1"/>
  <c r="J216" i="1"/>
  <c r="T216" i="1"/>
  <c r="U216" i="1"/>
  <c r="I216" i="1"/>
  <c r="N216" i="1"/>
  <c r="O216" i="1"/>
  <c r="L216" i="1"/>
  <c r="P216" i="1"/>
  <c r="G217" i="1"/>
  <c r="AA218" i="1"/>
  <c r="X218" i="1"/>
  <c r="C218" i="1"/>
  <c r="Q218" i="1" s="1"/>
  <c r="R218" i="1" s="1"/>
  <c r="S218" i="1" s="1"/>
  <c r="A218" i="1"/>
  <c r="B219" i="1"/>
  <c r="AB218" i="1"/>
  <c r="D218" i="1"/>
  <c r="E218" i="1" s="1"/>
  <c r="B185" i="13"/>
  <c r="A185" i="13"/>
  <c r="C185" i="13"/>
  <c r="V218" i="1"/>
  <c r="AC218" i="1" l="1"/>
  <c r="G218" i="1"/>
  <c r="H218" i="1"/>
  <c r="F218" i="1"/>
  <c r="M217" i="1"/>
  <c r="J217" i="1"/>
  <c r="P217" i="1"/>
  <c r="I217" i="1"/>
  <c r="O217" i="1"/>
  <c r="K217" i="1"/>
  <c r="U217" i="1"/>
  <c r="N217" i="1"/>
  <c r="T217" i="1"/>
  <c r="L217" i="1"/>
  <c r="AB219" i="1"/>
  <c r="A219" i="1"/>
  <c r="AA219" i="1"/>
  <c r="X219" i="1"/>
  <c r="C219" i="1"/>
  <c r="Q219" i="1" s="1"/>
  <c r="R219" i="1" s="1"/>
  <c r="S219" i="1" s="1"/>
  <c r="D219" i="1"/>
  <c r="E219" i="1" s="1"/>
  <c r="B220" i="1"/>
  <c r="A186" i="13"/>
  <c r="C186" i="13"/>
  <c r="B186" i="13"/>
  <c r="V219" i="1"/>
  <c r="AC219" i="1" l="1"/>
  <c r="H219" i="1"/>
  <c r="G219" i="1"/>
  <c r="F219" i="1"/>
  <c r="T218" i="1"/>
  <c r="J218" i="1"/>
  <c r="P218" i="1"/>
  <c r="O218" i="1"/>
  <c r="K218" i="1"/>
  <c r="M218" i="1"/>
  <c r="L218" i="1"/>
  <c r="I218" i="1"/>
  <c r="U218" i="1"/>
  <c r="N218" i="1"/>
  <c r="AB220" i="1"/>
  <c r="D220" i="1"/>
  <c r="E220" i="1" s="1"/>
  <c r="H220" i="1" s="1"/>
  <c r="C220" i="1"/>
  <c r="F220" i="1" s="1"/>
  <c r="AA220" i="1"/>
  <c r="B221" i="1"/>
  <c r="A220" i="1"/>
  <c r="X220" i="1"/>
  <c r="V220" i="1"/>
  <c r="A187" i="13"/>
  <c r="C187" i="13"/>
  <c r="B187" i="13"/>
  <c r="AC220" i="1" l="1"/>
  <c r="Q220" i="1"/>
  <c r="R220" i="1" s="1"/>
  <c r="S220" i="1" s="1"/>
  <c r="G220" i="1"/>
  <c r="I219" i="1"/>
  <c r="U219" i="1"/>
  <c r="O219" i="1"/>
  <c r="M219" i="1"/>
  <c r="J219" i="1"/>
  <c r="P219" i="1"/>
  <c r="T219" i="1"/>
  <c r="K219" i="1"/>
  <c r="N219" i="1"/>
  <c r="L219" i="1"/>
  <c r="AA221" i="1"/>
  <c r="B222" i="1"/>
  <c r="A221" i="1"/>
  <c r="C221" i="1"/>
  <c r="F221" i="1" s="1"/>
  <c r="D221" i="1"/>
  <c r="E221" i="1" s="1"/>
  <c r="AB221" i="1"/>
  <c r="X221" i="1"/>
  <c r="V221" i="1"/>
  <c r="A188" i="13"/>
  <c r="C188" i="13"/>
  <c r="B188" i="13"/>
  <c r="AC221" i="1" l="1"/>
  <c r="G221" i="1"/>
  <c r="H221" i="1"/>
  <c r="Q221" i="1"/>
  <c r="R221" i="1" s="1"/>
  <c r="S221" i="1" s="1"/>
  <c r="O220" i="1"/>
  <c r="P220" i="1"/>
  <c r="T220" i="1"/>
  <c r="M220" i="1"/>
  <c r="I220" i="1"/>
  <c r="L220" i="1"/>
  <c r="J220" i="1"/>
  <c r="U220" i="1"/>
  <c r="K220" i="1"/>
  <c r="N220" i="1"/>
  <c r="AA222" i="1"/>
  <c r="A222" i="1"/>
  <c r="AB222" i="1"/>
  <c r="C222" i="1"/>
  <c r="Q222" i="1" s="1"/>
  <c r="R222" i="1" s="1"/>
  <c r="S222" i="1" s="1"/>
  <c r="D222" i="1"/>
  <c r="E222" i="1" s="1"/>
  <c r="X222" i="1"/>
  <c r="B223" i="1"/>
  <c r="C189" i="13"/>
  <c r="B189" i="13"/>
  <c r="A189" i="13"/>
  <c r="V222" i="1"/>
  <c r="F222" i="1" l="1"/>
  <c r="AC222" i="1"/>
  <c r="H222" i="1"/>
  <c r="G222" i="1"/>
  <c r="J221" i="1"/>
  <c r="L221" i="1"/>
  <c r="I221" i="1"/>
  <c r="T221" i="1"/>
  <c r="U221" i="1"/>
  <c r="O221" i="1"/>
  <c r="M221" i="1"/>
  <c r="P221" i="1"/>
  <c r="K221" i="1"/>
  <c r="N221" i="1"/>
  <c r="D223" i="1"/>
  <c r="E223" i="1" s="1"/>
  <c r="G223" i="1" s="1"/>
  <c r="AB223" i="1"/>
  <c r="AA223" i="1"/>
  <c r="B224" i="1"/>
  <c r="A223" i="1"/>
  <c r="X223" i="1"/>
  <c r="C223" i="1"/>
  <c r="Q223" i="1" s="1"/>
  <c r="R223" i="1" s="1"/>
  <c r="S223" i="1" s="1"/>
  <c r="B190" i="13"/>
  <c r="C190" i="13"/>
  <c r="A190" i="13"/>
  <c r="V223" i="1"/>
  <c r="AC223" i="1" l="1"/>
  <c r="U223" i="1"/>
  <c r="T223" i="1"/>
  <c r="H223" i="1"/>
  <c r="J223" i="1" s="1"/>
  <c r="F223" i="1"/>
  <c r="P222" i="1"/>
  <c r="U222" i="1"/>
  <c r="T222" i="1"/>
  <c r="L222" i="1"/>
  <c r="I222" i="1"/>
  <c r="J222" i="1"/>
  <c r="O222" i="1"/>
  <c r="N222" i="1"/>
  <c r="K222" i="1"/>
  <c r="M222" i="1"/>
  <c r="AA224" i="1"/>
  <c r="AC224" i="1" s="1"/>
  <c r="B225" i="1"/>
  <c r="X224" i="1"/>
  <c r="C224" i="1"/>
  <c r="F224" i="1" s="1"/>
  <c r="A224" i="1"/>
  <c r="D224" i="1"/>
  <c r="E224" i="1" s="1"/>
  <c r="AB224" i="1"/>
  <c r="A191" i="13"/>
  <c r="V224" i="1"/>
  <c r="B191" i="13"/>
  <c r="C191" i="13"/>
  <c r="H224" i="1" l="1"/>
  <c r="G224" i="1"/>
  <c r="M223" i="1"/>
  <c r="P223" i="1"/>
  <c r="I223" i="1"/>
  <c r="O223" i="1"/>
  <c r="N223" i="1"/>
  <c r="Q224" i="1"/>
  <c r="R224" i="1" s="1"/>
  <c r="S224" i="1" s="1"/>
  <c r="L223" i="1"/>
  <c r="K223" i="1"/>
  <c r="A192" i="13"/>
  <c r="V225" i="1"/>
  <c r="B192" i="13"/>
  <c r="C192" i="13"/>
  <c r="X225" i="1"/>
  <c r="D225" i="1"/>
  <c r="E225" i="1" s="1"/>
  <c r="H225" i="1" s="1"/>
  <c r="B226" i="1"/>
  <c r="AA225" i="1"/>
  <c r="C225" i="1"/>
  <c r="Q225" i="1" s="1"/>
  <c r="R225" i="1" s="1"/>
  <c r="S225" i="1" s="1"/>
  <c r="A225" i="1"/>
  <c r="AB225" i="1"/>
  <c r="AC225" i="1" l="1"/>
  <c r="F225" i="1"/>
  <c r="G225" i="1"/>
  <c r="O224" i="1"/>
  <c r="I224" i="1"/>
  <c r="J224" i="1"/>
  <c r="T224" i="1"/>
  <c r="K224" i="1"/>
  <c r="U224" i="1"/>
  <c r="M224" i="1"/>
  <c r="N224" i="1"/>
  <c r="L224" i="1"/>
  <c r="P224" i="1"/>
  <c r="C226" i="1"/>
  <c r="Q226" i="1" s="1"/>
  <c r="R226" i="1" s="1"/>
  <c r="S226" i="1" s="1"/>
  <c r="D226" i="1"/>
  <c r="E226" i="1" s="1"/>
  <c r="G226" i="1" s="1"/>
  <c r="A226" i="1"/>
  <c r="AB226" i="1"/>
  <c r="X226" i="1"/>
  <c r="B227" i="1"/>
  <c r="AA226" i="1"/>
  <c r="V226" i="1"/>
  <c r="A193" i="13"/>
  <c r="B193" i="13"/>
  <c r="C193" i="13"/>
  <c r="AC226" i="1" l="1"/>
  <c r="U226" i="1"/>
  <c r="T226" i="1"/>
  <c r="F226" i="1"/>
  <c r="H226" i="1"/>
  <c r="K226" i="1" s="1"/>
  <c r="L225" i="1"/>
  <c r="N225" i="1"/>
  <c r="M225" i="1"/>
  <c r="J225" i="1"/>
  <c r="U225" i="1"/>
  <c r="P225" i="1"/>
  <c r="O225" i="1"/>
  <c r="T225" i="1"/>
  <c r="K225" i="1"/>
  <c r="I225" i="1"/>
  <c r="V227" i="1"/>
  <c r="C194" i="13"/>
  <c r="B194" i="13"/>
  <c r="A194" i="13"/>
  <c r="X227" i="1"/>
  <c r="D227" i="1"/>
  <c r="E227" i="1" s="1"/>
  <c r="H227" i="1" s="1"/>
  <c r="AB227" i="1"/>
  <c r="A227" i="1"/>
  <c r="B228" i="1"/>
  <c r="AA227" i="1"/>
  <c r="C227" i="1"/>
  <c r="F227" i="1" s="1"/>
  <c r="AC227" i="1" l="1"/>
  <c r="G227" i="1"/>
  <c r="P227" i="1" s="1"/>
  <c r="Q227" i="1"/>
  <c r="R227" i="1" s="1"/>
  <c r="S227" i="1" s="1"/>
  <c r="L226" i="1"/>
  <c r="J226" i="1"/>
  <c r="M226" i="1"/>
  <c r="O227" i="1"/>
  <c r="O226" i="1"/>
  <c r="N226" i="1"/>
  <c r="P226" i="1"/>
  <c r="I227" i="1"/>
  <c r="I226" i="1"/>
  <c r="C228" i="1"/>
  <c r="F228" i="1" s="1"/>
  <c r="B229" i="1"/>
  <c r="A228" i="1"/>
  <c r="X228" i="1"/>
  <c r="AA228" i="1"/>
  <c r="AC228" i="1" s="1"/>
  <c r="AB228" i="1"/>
  <c r="D228" i="1"/>
  <c r="E228" i="1" s="1"/>
  <c r="V228" i="1"/>
  <c r="C195" i="13"/>
  <c r="A195" i="13"/>
  <c r="B195" i="13"/>
  <c r="T227" i="1" l="1"/>
  <c r="J227" i="1"/>
  <c r="M227" i="1"/>
  <c r="N227" i="1"/>
  <c r="L227" i="1"/>
  <c r="Q228" i="1"/>
  <c r="R228" i="1" s="1"/>
  <c r="S228" i="1" s="1"/>
  <c r="U227" i="1"/>
  <c r="K227" i="1"/>
  <c r="H228" i="1"/>
  <c r="G228" i="1"/>
  <c r="C229" i="1"/>
  <c r="F229" i="1" s="1"/>
  <c r="X229" i="1"/>
  <c r="B230" i="1"/>
  <c r="D229" i="1"/>
  <c r="E229" i="1" s="1"/>
  <c r="AB229" i="1"/>
  <c r="A229" i="1"/>
  <c r="AA229" i="1"/>
  <c r="B196" i="13"/>
  <c r="V229" i="1"/>
  <c r="C196" i="13"/>
  <c r="A196" i="13"/>
  <c r="AC229" i="1" l="1"/>
  <c r="Q229" i="1"/>
  <c r="R229" i="1" s="1"/>
  <c r="S229" i="1" s="1"/>
  <c r="G229" i="1"/>
  <c r="H229" i="1"/>
  <c r="P228" i="1"/>
  <c r="J228" i="1"/>
  <c r="L228" i="1"/>
  <c r="O228" i="1"/>
  <c r="M228" i="1"/>
  <c r="T228" i="1"/>
  <c r="K228" i="1"/>
  <c r="N228" i="1"/>
  <c r="U228" i="1"/>
  <c r="I228" i="1"/>
  <c r="C230" i="1"/>
  <c r="F230" i="1" s="1"/>
  <c r="AB230" i="1"/>
  <c r="D230" i="1"/>
  <c r="E230" i="1" s="1"/>
  <c r="AA230" i="1"/>
  <c r="B231" i="1"/>
  <c r="A230" i="1"/>
  <c r="X230" i="1"/>
  <c r="V230" i="1"/>
  <c r="B197" i="13"/>
  <c r="A197" i="13"/>
  <c r="C197" i="13"/>
  <c r="AC230" i="1" l="1"/>
  <c r="Q230" i="1"/>
  <c r="R230" i="1" s="1"/>
  <c r="S230" i="1" s="1"/>
  <c r="H230" i="1"/>
  <c r="G230" i="1"/>
  <c r="L229" i="1"/>
  <c r="I229" i="1"/>
  <c r="J229" i="1"/>
  <c r="M229" i="1"/>
  <c r="U229" i="1"/>
  <c r="O229" i="1"/>
  <c r="T229" i="1"/>
  <c r="N229" i="1"/>
  <c r="P229" i="1"/>
  <c r="K229" i="1"/>
  <c r="A198" i="13"/>
  <c r="C198" i="13"/>
  <c r="V231" i="1"/>
  <c r="B198" i="13"/>
  <c r="AA231" i="1"/>
  <c r="C231" i="1"/>
  <c r="Q231" i="1" s="1"/>
  <c r="R231" i="1" s="1"/>
  <c r="S231" i="1" s="1"/>
  <c r="X231" i="1"/>
  <c r="D231" i="1"/>
  <c r="E231" i="1" s="1"/>
  <c r="A231" i="1"/>
  <c r="B232" i="1"/>
  <c r="AB231" i="1"/>
  <c r="AC231" i="1" l="1"/>
  <c r="F231" i="1"/>
  <c r="G231" i="1"/>
  <c r="H231" i="1"/>
  <c r="T230" i="1"/>
  <c r="N230" i="1"/>
  <c r="K230" i="1"/>
  <c r="O230" i="1"/>
  <c r="P230" i="1"/>
  <c r="I230" i="1"/>
  <c r="M230" i="1"/>
  <c r="J230" i="1"/>
  <c r="L230" i="1"/>
  <c r="U230" i="1"/>
  <c r="B199" i="13"/>
  <c r="C199" i="13"/>
  <c r="V232" i="1"/>
  <c r="A199" i="13"/>
  <c r="AB232" i="1"/>
  <c r="A232" i="1"/>
  <c r="D232" i="1"/>
  <c r="E232" i="1" s="1"/>
  <c r="G232" i="1" s="1"/>
  <c r="X232" i="1"/>
  <c r="AA232" i="1"/>
  <c r="AC232" i="1" s="1"/>
  <c r="B233" i="1"/>
  <c r="C232" i="1"/>
  <c r="F232" i="1" s="1"/>
  <c r="H232" i="1" l="1"/>
  <c r="J232" i="1" s="1"/>
  <c r="Q232" i="1"/>
  <c r="R232" i="1" s="1"/>
  <c r="S232" i="1" s="1"/>
  <c r="U232" i="1" s="1"/>
  <c r="I231" i="1"/>
  <c r="T231" i="1"/>
  <c r="M231" i="1"/>
  <c r="O231" i="1"/>
  <c r="N231" i="1"/>
  <c r="K231" i="1"/>
  <c r="P231" i="1"/>
  <c r="U231" i="1"/>
  <c r="J231" i="1"/>
  <c r="L231" i="1"/>
  <c r="B200" i="13"/>
  <c r="A200" i="13"/>
  <c r="V233" i="1"/>
  <c r="C200" i="13"/>
  <c r="C233" i="1"/>
  <c r="F233" i="1" s="1"/>
  <c r="A233" i="1"/>
  <c r="B234" i="1"/>
  <c r="D233" i="1"/>
  <c r="E233" i="1" s="1"/>
  <c r="AB233" i="1"/>
  <c r="X233" i="1"/>
  <c r="AA233" i="1"/>
  <c r="AC233" i="1" s="1"/>
  <c r="Q233" i="1" l="1"/>
  <c r="R233" i="1" s="1"/>
  <c r="S233" i="1" s="1"/>
  <c r="L232" i="1"/>
  <c r="G233" i="1"/>
  <c r="H233" i="1"/>
  <c r="T232" i="1"/>
  <c r="N232" i="1"/>
  <c r="M232" i="1"/>
  <c r="K232" i="1"/>
  <c r="P232" i="1"/>
  <c r="I232" i="1"/>
  <c r="O232" i="1"/>
  <c r="D234" i="1"/>
  <c r="E234" i="1" s="1"/>
  <c r="B235" i="1"/>
  <c r="C234" i="1"/>
  <c r="Q234" i="1" s="1"/>
  <c r="R234" i="1" s="1"/>
  <c r="S234" i="1" s="1"/>
  <c r="AA234" i="1"/>
  <c r="X234" i="1"/>
  <c r="AB234" i="1"/>
  <c r="A234" i="1"/>
  <c r="B201" i="13"/>
  <c r="V234" i="1"/>
  <c r="C201" i="13"/>
  <c r="A201" i="13"/>
  <c r="AC234" i="1" l="1"/>
  <c r="F234" i="1"/>
  <c r="H234" i="1"/>
  <c r="G234" i="1"/>
  <c r="M233" i="1"/>
  <c r="I233" i="1"/>
  <c r="L233" i="1"/>
  <c r="U233" i="1"/>
  <c r="T233" i="1"/>
  <c r="O233" i="1"/>
  <c r="J233" i="1"/>
  <c r="P233" i="1"/>
  <c r="K233" i="1"/>
  <c r="N233" i="1"/>
  <c r="AA235" i="1"/>
  <c r="X235" i="1"/>
  <c r="A235" i="1"/>
  <c r="D235" i="1"/>
  <c r="E235" i="1" s="1"/>
  <c r="B236" i="1"/>
  <c r="AB235" i="1"/>
  <c r="C235" i="1"/>
  <c r="F235" i="1" s="1"/>
  <c r="A202" i="13"/>
  <c r="C202" i="13"/>
  <c r="V235" i="1"/>
  <c r="B202" i="13"/>
  <c r="AC235" i="1" l="1"/>
  <c r="Q235" i="1"/>
  <c r="R235" i="1" s="1"/>
  <c r="S235" i="1" s="1"/>
  <c r="G235" i="1"/>
  <c r="H235" i="1"/>
  <c r="J234" i="1"/>
  <c r="T234" i="1"/>
  <c r="K234" i="1"/>
  <c r="P234" i="1"/>
  <c r="U234" i="1"/>
  <c r="M234" i="1"/>
  <c r="L234" i="1"/>
  <c r="N234" i="1"/>
  <c r="O234" i="1"/>
  <c r="I234" i="1"/>
  <c r="B203" i="13"/>
  <c r="A203" i="13"/>
  <c r="V236" i="1"/>
  <c r="C203" i="13"/>
  <c r="A236" i="1"/>
  <c r="AA236" i="1"/>
  <c r="C236" i="1"/>
  <c r="F236" i="1" s="1"/>
  <c r="X236" i="1"/>
  <c r="D236" i="1"/>
  <c r="E236" i="1" s="1"/>
  <c r="B237" i="1"/>
  <c r="AB236" i="1"/>
  <c r="AC236" i="1" l="1"/>
  <c r="H236" i="1"/>
  <c r="G236" i="1"/>
  <c r="Q236" i="1"/>
  <c r="R236" i="1" s="1"/>
  <c r="S236" i="1" s="1"/>
  <c r="I235" i="1"/>
  <c r="T235" i="1"/>
  <c r="K235" i="1"/>
  <c r="P235" i="1"/>
  <c r="O235" i="1"/>
  <c r="M235" i="1"/>
  <c r="U235" i="1"/>
  <c r="L235" i="1"/>
  <c r="J235" i="1"/>
  <c r="N235" i="1"/>
  <c r="B204" i="13"/>
  <c r="C204" i="13"/>
  <c r="V237" i="1"/>
  <c r="A204" i="13"/>
  <c r="AA237" i="1"/>
  <c r="AB237" i="1"/>
  <c r="A237" i="1"/>
  <c r="C237" i="1"/>
  <c r="Q237" i="1" s="1"/>
  <c r="R237" i="1" s="1"/>
  <c r="S237" i="1" s="1"/>
  <c r="X237" i="1"/>
  <c r="D237" i="1"/>
  <c r="E237" i="1" s="1"/>
  <c r="B238" i="1"/>
  <c r="AC237" i="1" l="1"/>
  <c r="H237" i="1"/>
  <c r="G237" i="1"/>
  <c r="F237" i="1"/>
  <c r="M236" i="1"/>
  <c r="N236" i="1"/>
  <c r="K236" i="1"/>
  <c r="U236" i="1"/>
  <c r="L236" i="1"/>
  <c r="I236" i="1"/>
  <c r="O236" i="1"/>
  <c r="P236" i="1"/>
  <c r="T236" i="1"/>
  <c r="J236" i="1"/>
  <c r="B205" i="13"/>
  <c r="C205" i="13"/>
  <c r="V238" i="1"/>
  <c r="A205" i="13"/>
  <c r="A238" i="1"/>
  <c r="D238" i="1"/>
  <c r="E238" i="1" s="1"/>
  <c r="G238" i="1" s="1"/>
  <c r="X238" i="1"/>
  <c r="C238" i="1"/>
  <c r="Q238" i="1" s="1"/>
  <c r="R238" i="1" s="1"/>
  <c r="S238" i="1" s="1"/>
  <c r="AB238" i="1"/>
  <c r="B239" i="1"/>
  <c r="AA238" i="1"/>
  <c r="AC238" i="1" l="1"/>
  <c r="T238" i="1"/>
  <c r="U238" i="1"/>
  <c r="F238" i="1"/>
  <c r="H238" i="1"/>
  <c r="I238" i="1" s="1"/>
  <c r="T237" i="1"/>
  <c r="I237" i="1"/>
  <c r="K237" i="1"/>
  <c r="N237" i="1"/>
  <c r="O237" i="1"/>
  <c r="J237" i="1"/>
  <c r="P237" i="1"/>
  <c r="U237" i="1"/>
  <c r="M237" i="1"/>
  <c r="L237" i="1"/>
  <c r="A206" i="13"/>
  <c r="V239" i="1"/>
  <c r="B206" i="13"/>
  <c r="C206" i="13"/>
  <c r="AB239" i="1"/>
  <c r="B240" i="1"/>
  <c r="X239" i="1"/>
  <c r="AA239" i="1"/>
  <c r="C239" i="1"/>
  <c r="Q239" i="1" s="1"/>
  <c r="R239" i="1" s="1"/>
  <c r="S239" i="1" s="1"/>
  <c r="A239" i="1"/>
  <c r="D239" i="1"/>
  <c r="E239" i="1" s="1"/>
  <c r="AC239" i="1" l="1"/>
  <c r="F239" i="1"/>
  <c r="H239" i="1"/>
  <c r="G239" i="1"/>
  <c r="P238" i="1"/>
  <c r="L238" i="1"/>
  <c r="K238" i="1"/>
  <c r="O238" i="1"/>
  <c r="J238" i="1"/>
  <c r="N238" i="1"/>
  <c r="M238" i="1"/>
  <c r="A240" i="1"/>
  <c r="AA240" i="1"/>
  <c r="C240" i="1"/>
  <c r="Q240" i="1" s="1"/>
  <c r="R240" i="1" s="1"/>
  <c r="S240" i="1" s="1"/>
  <c r="X240" i="1"/>
  <c r="D240" i="1"/>
  <c r="E240" i="1" s="1"/>
  <c r="B241" i="1"/>
  <c r="AB240" i="1"/>
  <c r="B207" i="13"/>
  <c r="A207" i="13"/>
  <c r="C207" i="13"/>
  <c r="V240" i="1"/>
  <c r="AC240" i="1" l="1"/>
  <c r="H240" i="1"/>
  <c r="G240" i="1"/>
  <c r="F240" i="1"/>
  <c r="P239" i="1"/>
  <c r="T239" i="1"/>
  <c r="U239" i="1"/>
  <c r="J239" i="1"/>
  <c r="M239" i="1"/>
  <c r="K239" i="1"/>
  <c r="O239" i="1"/>
  <c r="I239" i="1"/>
  <c r="L239" i="1"/>
  <c r="N239" i="1"/>
  <c r="B242" i="1"/>
  <c r="A241" i="1"/>
  <c r="D241" i="1"/>
  <c r="E241" i="1" s="1"/>
  <c r="AB241" i="1"/>
  <c r="C241" i="1"/>
  <c r="F241" i="1" s="1"/>
  <c r="X241" i="1"/>
  <c r="AA241" i="1"/>
  <c r="AC241" i="1" s="1"/>
  <c r="C208" i="13"/>
  <c r="V241" i="1"/>
  <c r="B208" i="13"/>
  <c r="A208" i="13"/>
  <c r="H241" i="1" l="1"/>
  <c r="G241" i="1"/>
  <c r="Q241" i="1"/>
  <c r="R241" i="1" s="1"/>
  <c r="S241" i="1" s="1"/>
  <c r="P240" i="1"/>
  <c r="I240" i="1"/>
  <c r="L240" i="1"/>
  <c r="U240" i="1"/>
  <c r="O240" i="1"/>
  <c r="J240" i="1"/>
  <c r="N240" i="1"/>
  <c r="T240" i="1"/>
  <c r="K240" i="1"/>
  <c r="M240" i="1"/>
  <c r="C209" i="13"/>
  <c r="V242" i="1"/>
  <c r="B209" i="13"/>
  <c r="A209" i="13"/>
  <c r="AB242" i="1"/>
  <c r="C242" i="1"/>
  <c r="F242" i="1" s="1"/>
  <c r="AA242" i="1"/>
  <c r="D242" i="1"/>
  <c r="E242" i="1" s="1"/>
  <c r="B243" i="1"/>
  <c r="X242" i="1"/>
  <c r="A242" i="1"/>
  <c r="AC242" i="1" l="1"/>
  <c r="G242" i="1"/>
  <c r="H242" i="1"/>
  <c r="Q242" i="1"/>
  <c r="R242" i="1" s="1"/>
  <c r="S242" i="1" s="1"/>
  <c r="I241" i="1"/>
  <c r="T241" i="1"/>
  <c r="J241" i="1"/>
  <c r="N241" i="1"/>
  <c r="P241" i="1"/>
  <c r="L241" i="1"/>
  <c r="K241" i="1"/>
  <c r="M241" i="1"/>
  <c r="U241" i="1"/>
  <c r="O241" i="1"/>
  <c r="A210" i="13"/>
  <c r="B210" i="13"/>
  <c r="V243" i="1"/>
  <c r="C210" i="13"/>
  <c r="AB243" i="1"/>
  <c r="D243" i="1"/>
  <c r="E243" i="1" s="1"/>
  <c r="H243" i="1" s="1"/>
  <c r="A243" i="1"/>
  <c r="C243" i="1"/>
  <c r="F243" i="1" s="1"/>
  <c r="X243" i="1"/>
  <c r="B244" i="1"/>
  <c r="AA243" i="1"/>
  <c r="AC243" i="1" l="1"/>
  <c r="Q243" i="1"/>
  <c r="R243" i="1" s="1"/>
  <c r="S243" i="1" s="1"/>
  <c r="G243" i="1"/>
  <c r="M242" i="1"/>
  <c r="O242" i="1"/>
  <c r="P242" i="1"/>
  <c r="J242" i="1"/>
  <c r="L242" i="1"/>
  <c r="T242" i="1"/>
  <c r="I242" i="1"/>
  <c r="K242" i="1"/>
  <c r="N242" i="1"/>
  <c r="U242" i="1"/>
  <c r="B211" i="13"/>
  <c r="C211" i="13"/>
  <c r="A211" i="13"/>
  <c r="V244" i="1"/>
  <c r="X244" i="1"/>
  <c r="AA244" i="1"/>
  <c r="D244" i="1"/>
  <c r="E244" i="1" s="1"/>
  <c r="G244" i="1" s="1"/>
  <c r="B245" i="1"/>
  <c r="A244" i="1"/>
  <c r="AB244" i="1"/>
  <c r="C244" i="1"/>
  <c r="F244" i="1" s="1"/>
  <c r="AC244" i="1" l="1"/>
  <c r="Q244" i="1"/>
  <c r="R244" i="1" s="1"/>
  <c r="S244" i="1" s="1"/>
  <c r="U244" i="1" s="1"/>
  <c r="H244" i="1"/>
  <c r="M244" i="1" s="1"/>
  <c r="U243" i="1"/>
  <c r="N243" i="1"/>
  <c r="L243" i="1"/>
  <c r="P243" i="1"/>
  <c r="M243" i="1"/>
  <c r="K243" i="1"/>
  <c r="I243" i="1"/>
  <c r="O243" i="1"/>
  <c r="T243" i="1"/>
  <c r="J243" i="1"/>
  <c r="V245" i="1"/>
  <c r="B212" i="13"/>
  <c r="A212" i="13"/>
  <c r="C212" i="13"/>
  <c r="B246" i="1"/>
  <c r="AB245" i="1"/>
  <c r="A245" i="1"/>
  <c r="D245" i="1"/>
  <c r="E245" i="1" s="1"/>
  <c r="AA245" i="1"/>
  <c r="C245" i="1"/>
  <c r="Q245" i="1" s="1"/>
  <c r="R245" i="1" s="1"/>
  <c r="S245" i="1" s="1"/>
  <c r="X245" i="1"/>
  <c r="AC245" i="1" l="1"/>
  <c r="P244" i="1"/>
  <c r="H245" i="1"/>
  <c r="G245" i="1"/>
  <c r="O244" i="1"/>
  <c r="T244" i="1"/>
  <c r="F245" i="1"/>
  <c r="K244" i="1"/>
  <c r="I244" i="1"/>
  <c r="N244" i="1"/>
  <c r="L244" i="1"/>
  <c r="J244" i="1"/>
  <c r="AB246" i="1"/>
  <c r="AA246" i="1"/>
  <c r="X246" i="1"/>
  <c r="A246" i="1"/>
  <c r="D246" i="1"/>
  <c r="E246" i="1" s="1"/>
  <c r="C246" i="1"/>
  <c r="Q246" i="1" s="1"/>
  <c r="R246" i="1" s="1"/>
  <c r="S246" i="1" s="1"/>
  <c r="B247" i="1"/>
  <c r="C213" i="13"/>
  <c r="A213" i="13"/>
  <c r="B213" i="13"/>
  <c r="V246" i="1"/>
  <c r="AC246" i="1" l="1"/>
  <c r="F246" i="1"/>
  <c r="H246" i="1"/>
  <c r="G246" i="1"/>
  <c r="O245" i="1"/>
  <c r="I245" i="1"/>
  <c r="T245" i="1"/>
  <c r="P245" i="1"/>
  <c r="N245" i="1"/>
  <c r="U245" i="1"/>
  <c r="M245" i="1"/>
  <c r="K245" i="1"/>
  <c r="L245" i="1"/>
  <c r="J245" i="1"/>
  <c r="A214" i="13"/>
  <c r="C214" i="13"/>
  <c r="V247" i="1"/>
  <c r="B214" i="13"/>
  <c r="AA247" i="1"/>
  <c r="AB247" i="1"/>
  <c r="D247" i="1"/>
  <c r="E247" i="1" s="1"/>
  <c r="A247" i="1"/>
  <c r="B248" i="1"/>
  <c r="C247" i="1"/>
  <c r="Q247" i="1" s="1"/>
  <c r="R247" i="1" s="1"/>
  <c r="S247" i="1" s="1"/>
  <c r="X247" i="1"/>
  <c r="AC247" i="1" l="1"/>
  <c r="F247" i="1"/>
  <c r="G247" i="1"/>
  <c r="H247" i="1"/>
  <c r="N246" i="1"/>
  <c r="K246" i="1"/>
  <c r="L246" i="1"/>
  <c r="T246" i="1"/>
  <c r="O246" i="1"/>
  <c r="P246" i="1"/>
  <c r="U246" i="1"/>
  <c r="I246" i="1"/>
  <c r="J246" i="1"/>
  <c r="M246" i="1"/>
  <c r="V248" i="1"/>
  <c r="B215" i="13"/>
  <c r="A215" i="13"/>
  <c r="C215" i="13"/>
  <c r="AA248" i="1"/>
  <c r="B249" i="1"/>
  <c r="AB248" i="1"/>
  <c r="C248" i="1"/>
  <c r="Q248" i="1" s="1"/>
  <c r="R248" i="1" s="1"/>
  <c r="S248" i="1" s="1"/>
  <c r="A248" i="1"/>
  <c r="X248" i="1"/>
  <c r="D248" i="1"/>
  <c r="E248" i="1" s="1"/>
  <c r="AC248" i="1" l="1"/>
  <c r="G248" i="1"/>
  <c r="H248" i="1"/>
  <c r="F248" i="1"/>
  <c r="I247" i="1"/>
  <c r="U247" i="1"/>
  <c r="L247" i="1"/>
  <c r="O247" i="1"/>
  <c r="P247" i="1"/>
  <c r="M247" i="1"/>
  <c r="N247" i="1"/>
  <c r="J247" i="1"/>
  <c r="T247" i="1"/>
  <c r="K247" i="1"/>
  <c r="D249" i="1"/>
  <c r="E249" i="1" s="1"/>
  <c r="A249" i="1"/>
  <c r="B250" i="1"/>
  <c r="C249" i="1"/>
  <c r="Q249" i="1" s="1"/>
  <c r="R249" i="1" s="1"/>
  <c r="S249" i="1" s="1"/>
  <c r="AA249" i="1"/>
  <c r="AB249" i="1"/>
  <c r="X249" i="1"/>
  <c r="B216" i="13"/>
  <c r="C216" i="13"/>
  <c r="A216" i="13"/>
  <c r="V249" i="1"/>
  <c r="AC249" i="1" l="1"/>
  <c r="G249" i="1"/>
  <c r="H249" i="1"/>
  <c r="F249" i="1"/>
  <c r="P248" i="1"/>
  <c r="L248" i="1"/>
  <c r="K248" i="1"/>
  <c r="M248" i="1"/>
  <c r="J248" i="1"/>
  <c r="O248" i="1"/>
  <c r="T248" i="1"/>
  <c r="I248" i="1"/>
  <c r="N248" i="1"/>
  <c r="U248" i="1"/>
  <c r="D250" i="1"/>
  <c r="E250" i="1" s="1"/>
  <c r="C250" i="1"/>
  <c r="F250" i="1" s="1"/>
  <c r="X250" i="1"/>
  <c r="AB250" i="1"/>
  <c r="B251" i="1"/>
  <c r="A250" i="1"/>
  <c r="AA250" i="1"/>
  <c r="A217" i="13"/>
  <c r="B217" i="13"/>
  <c r="C217" i="13"/>
  <c r="V250" i="1"/>
  <c r="AC250" i="1" l="1"/>
  <c r="H250" i="1"/>
  <c r="G250" i="1"/>
  <c r="Q250" i="1"/>
  <c r="R250" i="1" s="1"/>
  <c r="S250" i="1" s="1"/>
  <c r="N249" i="1"/>
  <c r="T249" i="1"/>
  <c r="L249" i="1"/>
  <c r="U249" i="1"/>
  <c r="P249" i="1"/>
  <c r="O249" i="1"/>
  <c r="I249" i="1"/>
  <c r="K249" i="1"/>
  <c r="M249" i="1"/>
  <c r="J249" i="1"/>
  <c r="A251" i="1"/>
  <c r="AB251" i="1"/>
  <c r="C251" i="1"/>
  <c r="Q251" i="1" s="1"/>
  <c r="R251" i="1" s="1"/>
  <c r="S251" i="1" s="1"/>
  <c r="B252" i="1"/>
  <c r="D251" i="1"/>
  <c r="E251" i="1" s="1"/>
  <c r="AA251" i="1"/>
  <c r="X251" i="1"/>
  <c r="B218" i="13"/>
  <c r="C218" i="13"/>
  <c r="V251" i="1"/>
  <c r="A218" i="13"/>
  <c r="AC251" i="1" l="1"/>
  <c r="H251" i="1"/>
  <c r="G251" i="1"/>
  <c r="U251" i="1" s="1"/>
  <c r="F251" i="1"/>
  <c r="U250" i="1"/>
  <c r="O250" i="1"/>
  <c r="L250" i="1"/>
  <c r="T250" i="1"/>
  <c r="J250" i="1"/>
  <c r="M250" i="1"/>
  <c r="I250" i="1"/>
  <c r="N250" i="1"/>
  <c r="K250" i="1"/>
  <c r="P250" i="1"/>
  <c r="C219" i="13"/>
  <c r="B219" i="13"/>
  <c r="V252" i="1"/>
  <c r="A219" i="13"/>
  <c r="X252" i="1"/>
  <c r="D252" i="1"/>
  <c r="E252" i="1" s="1"/>
  <c r="AA252" i="1"/>
  <c r="AB252" i="1"/>
  <c r="AC252" i="1" s="1"/>
  <c r="C252" i="1"/>
  <c r="Q252" i="1" s="1"/>
  <c r="R252" i="1" s="1"/>
  <c r="S252" i="1" s="1"/>
  <c r="A252" i="1"/>
  <c r="B253" i="1"/>
  <c r="N251" i="1" l="1"/>
  <c r="F252" i="1"/>
  <c r="P251" i="1"/>
  <c r="K251" i="1"/>
  <c r="O251" i="1"/>
  <c r="L251" i="1"/>
  <c r="I251" i="1"/>
  <c r="T251" i="1"/>
  <c r="M251" i="1"/>
  <c r="J251" i="1"/>
  <c r="H252" i="1"/>
  <c r="G252" i="1"/>
  <c r="B220" i="13"/>
  <c r="C220" i="13"/>
  <c r="A220" i="13"/>
  <c r="V253" i="1"/>
  <c r="AB253" i="1"/>
  <c r="AA253" i="1"/>
  <c r="AC253" i="1" s="1"/>
  <c r="D253" i="1"/>
  <c r="E253" i="1" s="1"/>
  <c r="A253" i="1"/>
  <c r="X253" i="1"/>
  <c r="B254" i="1"/>
  <c r="C253" i="1"/>
  <c r="Q253" i="1" s="1"/>
  <c r="R253" i="1" s="1"/>
  <c r="S253" i="1" s="1"/>
  <c r="G253" i="1" l="1"/>
  <c r="H253" i="1"/>
  <c r="F253" i="1"/>
  <c r="I252" i="1"/>
  <c r="O252" i="1"/>
  <c r="P252" i="1"/>
  <c r="N252" i="1"/>
  <c r="T252" i="1"/>
  <c r="M252" i="1"/>
  <c r="J252" i="1"/>
  <c r="U252" i="1"/>
  <c r="K252" i="1"/>
  <c r="L252" i="1"/>
  <c r="C254" i="1"/>
  <c r="F254" i="1" s="1"/>
  <c r="X254" i="1"/>
  <c r="D254" i="1"/>
  <c r="E254" i="1" s="1"/>
  <c r="B255" i="1"/>
  <c r="A254" i="1"/>
  <c r="AB254" i="1"/>
  <c r="AA254" i="1"/>
  <c r="C221" i="13"/>
  <c r="V254" i="1"/>
  <c r="A221" i="13"/>
  <c r="B221" i="13"/>
  <c r="AC254" i="1" l="1"/>
  <c r="G254" i="1"/>
  <c r="H254" i="1"/>
  <c r="Q254" i="1"/>
  <c r="R254" i="1" s="1"/>
  <c r="S254" i="1" s="1"/>
  <c r="L253" i="1"/>
  <c r="O253" i="1"/>
  <c r="T253" i="1"/>
  <c r="M253" i="1"/>
  <c r="P253" i="1"/>
  <c r="K253" i="1"/>
  <c r="I253" i="1"/>
  <c r="N253" i="1"/>
  <c r="U253" i="1"/>
  <c r="J253" i="1"/>
  <c r="C255" i="1"/>
  <c r="F255" i="1" s="1"/>
  <c r="AB255" i="1"/>
  <c r="B256" i="1"/>
  <c r="X255" i="1"/>
  <c r="A255" i="1"/>
  <c r="D255" i="1"/>
  <c r="E255" i="1" s="1"/>
  <c r="AA255" i="1"/>
  <c r="A222" i="13"/>
  <c r="V255" i="1"/>
  <c r="B222" i="13"/>
  <c r="C222" i="13"/>
  <c r="AC255" i="1" l="1"/>
  <c r="Q255" i="1"/>
  <c r="R255" i="1" s="1"/>
  <c r="S255" i="1" s="1"/>
  <c r="G255" i="1"/>
  <c r="H255" i="1"/>
  <c r="N254" i="1"/>
  <c r="U254" i="1"/>
  <c r="T254" i="1"/>
  <c r="J254" i="1"/>
  <c r="O254" i="1"/>
  <c r="I254" i="1"/>
  <c r="P254" i="1"/>
  <c r="L254" i="1"/>
  <c r="M254" i="1"/>
  <c r="K254" i="1"/>
  <c r="A223" i="13"/>
  <c r="B223" i="13"/>
  <c r="V256" i="1"/>
  <c r="C223" i="13"/>
  <c r="X256" i="1"/>
  <c r="A256" i="1"/>
  <c r="D256" i="1"/>
  <c r="E256" i="1" s="1"/>
  <c r="AB256" i="1"/>
  <c r="AA256" i="1"/>
  <c r="C256" i="1"/>
  <c r="F256" i="1" s="1"/>
  <c r="B257" i="1"/>
  <c r="AC256" i="1" l="1"/>
  <c r="Q256" i="1"/>
  <c r="R256" i="1" s="1"/>
  <c r="S256" i="1" s="1"/>
  <c r="H256" i="1"/>
  <c r="G256" i="1"/>
  <c r="M255" i="1"/>
  <c r="O255" i="1"/>
  <c r="I255" i="1"/>
  <c r="L255" i="1"/>
  <c r="T255" i="1"/>
  <c r="K255" i="1"/>
  <c r="J255" i="1"/>
  <c r="N255" i="1"/>
  <c r="P255" i="1"/>
  <c r="U255" i="1"/>
  <c r="C224" i="13"/>
  <c r="V257" i="1"/>
  <c r="A224" i="13"/>
  <c r="B224" i="13"/>
  <c r="B258" i="1"/>
  <c r="A257" i="1"/>
  <c r="D257" i="1"/>
  <c r="E257" i="1" s="1"/>
  <c r="AA257" i="1"/>
  <c r="C257" i="1"/>
  <c r="Q257" i="1" s="1"/>
  <c r="R257" i="1" s="1"/>
  <c r="S257" i="1" s="1"/>
  <c r="X257" i="1"/>
  <c r="AB257" i="1"/>
  <c r="AC257" i="1" l="1"/>
  <c r="P256" i="1"/>
  <c r="M256" i="1"/>
  <c r="J256" i="1"/>
  <c r="O256" i="1"/>
  <c r="U256" i="1"/>
  <c r="K256" i="1"/>
  <c r="F257" i="1"/>
  <c r="L256" i="1"/>
  <c r="N256" i="1"/>
  <c r="I256" i="1"/>
  <c r="T256" i="1"/>
  <c r="G257" i="1"/>
  <c r="H257" i="1"/>
  <c r="A225" i="13"/>
  <c r="V258" i="1"/>
  <c r="C225" i="13"/>
  <c r="B225" i="13"/>
  <c r="AA258" i="1"/>
  <c r="AB258" i="1"/>
  <c r="X258" i="1"/>
  <c r="D258" i="1"/>
  <c r="E258" i="1" s="1"/>
  <c r="B259" i="1"/>
  <c r="A258" i="1"/>
  <c r="C258" i="1"/>
  <c r="F258" i="1" s="1"/>
  <c r="AC258" i="1" l="1"/>
  <c r="H258" i="1"/>
  <c r="G258" i="1"/>
  <c r="Q258" i="1"/>
  <c r="R258" i="1" s="1"/>
  <c r="S258" i="1" s="1"/>
  <c r="I257" i="1"/>
  <c r="J257" i="1"/>
  <c r="N257" i="1"/>
  <c r="O257" i="1"/>
  <c r="K257" i="1"/>
  <c r="P257" i="1"/>
  <c r="T257" i="1"/>
  <c r="U257" i="1"/>
  <c r="L257" i="1"/>
  <c r="M257" i="1"/>
  <c r="D259" i="1"/>
  <c r="E259" i="1" s="1"/>
  <c r="H259" i="1" s="1"/>
  <c r="C259" i="1"/>
  <c r="Q259" i="1" s="1"/>
  <c r="R259" i="1" s="1"/>
  <c r="S259" i="1" s="1"/>
  <c r="A259" i="1"/>
  <c r="X259" i="1"/>
  <c r="AB259" i="1"/>
  <c r="B260" i="1"/>
  <c r="AA259" i="1"/>
  <c r="A226" i="13"/>
  <c r="V259" i="1"/>
  <c r="B226" i="13"/>
  <c r="C226" i="13"/>
  <c r="AC259" i="1" l="1"/>
  <c r="F259" i="1"/>
  <c r="G259" i="1"/>
  <c r="L258" i="1"/>
  <c r="P258" i="1"/>
  <c r="J258" i="1"/>
  <c r="T258" i="1"/>
  <c r="N258" i="1"/>
  <c r="K258" i="1"/>
  <c r="M258" i="1"/>
  <c r="U258" i="1"/>
  <c r="I258" i="1"/>
  <c r="O258" i="1"/>
  <c r="C227" i="13"/>
  <c r="V260" i="1"/>
  <c r="A227" i="13"/>
  <c r="B227" i="13"/>
  <c r="A260" i="1"/>
  <c r="AA260" i="1"/>
  <c r="B261" i="1"/>
  <c r="D260" i="1"/>
  <c r="E260" i="1" s="1"/>
  <c r="C260" i="1"/>
  <c r="F260" i="1" s="1"/>
  <c r="AB260" i="1"/>
  <c r="AC260" i="1" s="1"/>
  <c r="X260" i="1"/>
  <c r="Q260" i="1" l="1"/>
  <c r="R260" i="1" s="1"/>
  <c r="S260" i="1" s="1"/>
  <c r="G260" i="1"/>
  <c r="H260" i="1"/>
  <c r="K259" i="1"/>
  <c r="U259" i="1"/>
  <c r="O259" i="1"/>
  <c r="J259" i="1"/>
  <c r="N259" i="1"/>
  <c r="L259" i="1"/>
  <c r="I259" i="1"/>
  <c r="P259" i="1"/>
  <c r="M259" i="1"/>
  <c r="T259" i="1"/>
  <c r="A228" i="13"/>
  <c r="B228" i="13"/>
  <c r="V261" i="1"/>
  <c r="C228" i="13"/>
  <c r="AA261" i="1"/>
  <c r="X261" i="1"/>
  <c r="D261" i="1"/>
  <c r="E261" i="1" s="1"/>
  <c r="AB261" i="1"/>
  <c r="C261" i="1"/>
  <c r="F261" i="1" s="1"/>
  <c r="A261" i="1"/>
  <c r="B262" i="1"/>
  <c r="AC261" i="1" l="1"/>
  <c r="Q261" i="1"/>
  <c r="R261" i="1" s="1"/>
  <c r="S261" i="1" s="1"/>
  <c r="H261" i="1"/>
  <c r="G261" i="1"/>
  <c r="I260" i="1"/>
  <c r="P260" i="1"/>
  <c r="U260" i="1"/>
  <c r="M260" i="1"/>
  <c r="N260" i="1"/>
  <c r="J260" i="1"/>
  <c r="L260" i="1"/>
  <c r="O260" i="1"/>
  <c r="T260" i="1"/>
  <c r="K260" i="1"/>
  <c r="V262" i="1"/>
  <c r="B229" i="13"/>
  <c r="C229" i="13"/>
  <c r="A229" i="13"/>
  <c r="B263" i="1"/>
  <c r="AA262" i="1"/>
  <c r="A262" i="1"/>
  <c r="AB262" i="1"/>
  <c r="D262" i="1"/>
  <c r="E262" i="1" s="1"/>
  <c r="C262" i="1"/>
  <c r="Q262" i="1" s="1"/>
  <c r="R262" i="1" s="1"/>
  <c r="S262" i="1" s="1"/>
  <c r="X262" i="1"/>
  <c r="AC262" i="1" l="1"/>
  <c r="F262" i="1"/>
  <c r="H262" i="1"/>
  <c r="G262" i="1"/>
  <c r="L261" i="1"/>
  <c r="N261" i="1"/>
  <c r="J261" i="1"/>
  <c r="O261" i="1"/>
  <c r="P261" i="1"/>
  <c r="M261" i="1"/>
  <c r="U261" i="1"/>
  <c r="T261" i="1"/>
  <c r="I261" i="1"/>
  <c r="K261" i="1"/>
  <c r="AA263" i="1"/>
  <c r="X263" i="1"/>
  <c r="C263" i="1"/>
  <c r="F263" i="1" s="1"/>
  <c r="A263" i="1"/>
  <c r="AB263" i="1"/>
  <c r="B264" i="1"/>
  <c r="D263" i="1"/>
  <c r="E263" i="1" s="1"/>
  <c r="B230" i="13"/>
  <c r="C230" i="13"/>
  <c r="A230" i="13"/>
  <c r="V263" i="1"/>
  <c r="AC263" i="1" l="1"/>
  <c r="G263" i="1"/>
  <c r="H263" i="1"/>
  <c r="Q263" i="1"/>
  <c r="R263" i="1" s="1"/>
  <c r="S263" i="1" s="1"/>
  <c r="M262" i="1"/>
  <c r="I262" i="1"/>
  <c r="O262" i="1"/>
  <c r="T262" i="1"/>
  <c r="J262" i="1"/>
  <c r="K262" i="1"/>
  <c r="P262" i="1"/>
  <c r="N262" i="1"/>
  <c r="U262" i="1"/>
  <c r="L262" i="1"/>
  <c r="AB264" i="1"/>
  <c r="AC264" i="1" s="1"/>
  <c r="C264" i="1"/>
  <c r="F264" i="1" s="1"/>
  <c r="D264" i="1"/>
  <c r="E264" i="1" s="1"/>
  <c r="A264" i="1"/>
  <c r="B265" i="1"/>
  <c r="X264" i="1"/>
  <c r="AA264" i="1"/>
  <c r="C231" i="13"/>
  <c r="V264" i="1"/>
  <c r="A231" i="13"/>
  <c r="B231" i="13"/>
  <c r="H264" i="1" l="1"/>
  <c r="G264" i="1"/>
  <c r="Q264" i="1"/>
  <c r="R264" i="1" s="1"/>
  <c r="S264" i="1" s="1"/>
  <c r="K263" i="1"/>
  <c r="U263" i="1"/>
  <c r="I263" i="1"/>
  <c r="T263" i="1"/>
  <c r="L263" i="1"/>
  <c r="P263" i="1"/>
  <c r="O263" i="1"/>
  <c r="N263" i="1"/>
  <c r="M263" i="1"/>
  <c r="J263" i="1"/>
  <c r="D265" i="1"/>
  <c r="E265" i="1" s="1"/>
  <c r="X265" i="1"/>
  <c r="C265" i="1"/>
  <c r="F265" i="1" s="1"/>
  <c r="B266" i="1"/>
  <c r="AA265" i="1"/>
  <c r="A265" i="1"/>
  <c r="AB265" i="1"/>
  <c r="V265" i="1"/>
  <c r="A232" i="13"/>
  <c r="B232" i="13"/>
  <c r="C232" i="13"/>
  <c r="AC265" i="1" l="1"/>
  <c r="H265" i="1"/>
  <c r="G265" i="1"/>
  <c r="Q265" i="1"/>
  <c r="R265" i="1" s="1"/>
  <c r="S265" i="1" s="1"/>
  <c r="M264" i="1"/>
  <c r="T264" i="1"/>
  <c r="P264" i="1"/>
  <c r="J264" i="1"/>
  <c r="I264" i="1"/>
  <c r="N264" i="1"/>
  <c r="K264" i="1"/>
  <c r="L264" i="1"/>
  <c r="O264" i="1"/>
  <c r="U264" i="1"/>
  <c r="C233" i="13"/>
  <c r="A233" i="13"/>
  <c r="V266" i="1"/>
  <c r="B233" i="13"/>
  <c r="AB266" i="1"/>
  <c r="B267" i="1"/>
  <c r="AA266" i="1"/>
  <c r="AC266" i="1" s="1"/>
  <c r="A266" i="1"/>
  <c r="X266" i="1"/>
  <c r="D266" i="1"/>
  <c r="E266" i="1" s="1"/>
  <c r="C266" i="1"/>
  <c r="Q266" i="1" s="1"/>
  <c r="R266" i="1" s="1"/>
  <c r="S266" i="1" s="1"/>
  <c r="H266" i="1" l="1"/>
  <c r="G266" i="1"/>
  <c r="T266" i="1" s="1"/>
  <c r="F266" i="1"/>
  <c r="N265" i="1"/>
  <c r="M265" i="1"/>
  <c r="I265" i="1"/>
  <c r="L265" i="1"/>
  <c r="P265" i="1"/>
  <c r="T265" i="1"/>
  <c r="K265" i="1"/>
  <c r="U265" i="1"/>
  <c r="J265" i="1"/>
  <c r="O265" i="1"/>
  <c r="X267" i="1"/>
  <c r="A267" i="1"/>
  <c r="B268" i="1"/>
  <c r="C267" i="1"/>
  <c r="Q267" i="1" s="1"/>
  <c r="R267" i="1" s="1"/>
  <c r="S267" i="1" s="1"/>
  <c r="D267" i="1"/>
  <c r="E267" i="1" s="1"/>
  <c r="AB267" i="1"/>
  <c r="AA267" i="1"/>
  <c r="AC267" i="1" s="1"/>
  <c r="B234" i="13"/>
  <c r="A234" i="13"/>
  <c r="V267" i="1"/>
  <c r="C234" i="13"/>
  <c r="K266" i="1" l="1"/>
  <c r="U266" i="1"/>
  <c r="L266" i="1"/>
  <c r="I266" i="1"/>
  <c r="J266" i="1"/>
  <c r="O266" i="1"/>
  <c r="M266" i="1"/>
  <c r="P266" i="1"/>
  <c r="N266" i="1"/>
  <c r="G267" i="1"/>
  <c r="H267" i="1"/>
  <c r="F267" i="1"/>
  <c r="A235" i="13"/>
  <c r="B235" i="13"/>
  <c r="V268" i="1"/>
  <c r="C235" i="13"/>
  <c r="B269" i="1"/>
  <c r="AB268" i="1"/>
  <c r="A268" i="1"/>
  <c r="X268" i="1"/>
  <c r="C268" i="1"/>
  <c r="F268" i="1" s="1"/>
  <c r="D268" i="1"/>
  <c r="E268" i="1" s="1"/>
  <c r="H268" i="1" s="1"/>
  <c r="AA268" i="1"/>
  <c r="AC268" i="1" s="1"/>
  <c r="Q268" i="1" l="1"/>
  <c r="R268" i="1" s="1"/>
  <c r="S268" i="1" s="1"/>
  <c r="G268" i="1"/>
  <c r="U267" i="1"/>
  <c r="P267" i="1"/>
  <c r="M267" i="1"/>
  <c r="I267" i="1"/>
  <c r="T267" i="1"/>
  <c r="J267" i="1"/>
  <c r="K267" i="1"/>
  <c r="N267" i="1"/>
  <c r="L267" i="1"/>
  <c r="O267" i="1"/>
  <c r="B236" i="13"/>
  <c r="A236" i="13"/>
  <c r="C236" i="13"/>
  <c r="V269" i="1"/>
  <c r="X269" i="1"/>
  <c r="D269" i="1"/>
  <c r="E269" i="1" s="1"/>
  <c r="G269" i="1" s="1"/>
  <c r="C269" i="1"/>
  <c r="F269" i="1" s="1"/>
  <c r="AA269" i="1"/>
  <c r="B270" i="1"/>
  <c r="A269" i="1"/>
  <c r="AB269" i="1"/>
  <c r="AC269" i="1" l="1"/>
  <c r="Q269" i="1"/>
  <c r="R269" i="1" s="1"/>
  <c r="S269" i="1" s="1"/>
  <c r="U269" i="1" s="1"/>
  <c r="H269" i="1"/>
  <c r="P269" i="1" s="1"/>
  <c r="K268" i="1"/>
  <c r="P268" i="1"/>
  <c r="J268" i="1"/>
  <c r="U268" i="1"/>
  <c r="N268" i="1"/>
  <c r="O268" i="1"/>
  <c r="M268" i="1"/>
  <c r="T268" i="1"/>
  <c r="I268" i="1"/>
  <c r="L268" i="1"/>
  <c r="V270" i="1"/>
  <c r="C237" i="13"/>
  <c r="B237" i="13"/>
  <c r="A237" i="13"/>
  <c r="AA270" i="1"/>
  <c r="A270" i="1"/>
  <c r="X270" i="1"/>
  <c r="AB270" i="1"/>
  <c r="C270" i="1"/>
  <c r="Q270" i="1" s="1"/>
  <c r="R270" i="1" s="1"/>
  <c r="S270" i="1" s="1"/>
  <c r="B271" i="1"/>
  <c r="D270" i="1"/>
  <c r="E270" i="1" s="1"/>
  <c r="AC270" i="1" l="1"/>
  <c r="T269" i="1"/>
  <c r="M269" i="1"/>
  <c r="L269" i="1"/>
  <c r="J269" i="1"/>
  <c r="I269" i="1"/>
  <c r="O269" i="1"/>
  <c r="N269" i="1"/>
  <c r="K269" i="1"/>
  <c r="G270" i="1"/>
  <c r="H270" i="1"/>
  <c r="F270" i="1"/>
  <c r="C271" i="1"/>
  <c r="Q271" i="1" s="1"/>
  <c r="R271" i="1" s="1"/>
  <c r="S271" i="1" s="1"/>
  <c r="D271" i="1"/>
  <c r="E271" i="1" s="1"/>
  <c r="H271" i="1" s="1"/>
  <c r="X271" i="1"/>
  <c r="AB271" i="1"/>
  <c r="AA271" i="1"/>
  <c r="B272" i="1"/>
  <c r="A271" i="1"/>
  <c r="B238" i="13"/>
  <c r="V271" i="1"/>
  <c r="A238" i="13"/>
  <c r="C238" i="13"/>
  <c r="AC271" i="1" l="1"/>
  <c r="F271" i="1"/>
  <c r="G271" i="1"/>
  <c r="U270" i="1"/>
  <c r="I270" i="1"/>
  <c r="P270" i="1"/>
  <c r="O270" i="1"/>
  <c r="N270" i="1"/>
  <c r="T270" i="1"/>
  <c r="L270" i="1"/>
  <c r="K270" i="1"/>
  <c r="M270" i="1"/>
  <c r="J270" i="1"/>
  <c r="A239" i="13"/>
  <c r="V272" i="1"/>
  <c r="B239" i="13"/>
  <c r="C239" i="13"/>
  <c r="D272" i="1"/>
  <c r="E272" i="1" s="1"/>
  <c r="H272" i="1" s="1"/>
  <c r="A272" i="1"/>
  <c r="AB272" i="1"/>
  <c r="B273" i="1"/>
  <c r="X272" i="1"/>
  <c r="AA272" i="1"/>
  <c r="C272" i="1"/>
  <c r="Q272" i="1" s="1"/>
  <c r="R272" i="1" s="1"/>
  <c r="S272" i="1" s="1"/>
  <c r="AC272" i="1" l="1"/>
  <c r="F272" i="1"/>
  <c r="G272" i="1"/>
  <c r="T272" i="1" s="1"/>
  <c r="U271" i="1"/>
  <c r="M271" i="1"/>
  <c r="L271" i="1"/>
  <c r="T271" i="1"/>
  <c r="J271" i="1"/>
  <c r="K271" i="1"/>
  <c r="N271" i="1"/>
  <c r="P271" i="1"/>
  <c r="O271" i="1"/>
  <c r="I271" i="1"/>
  <c r="C273" i="1"/>
  <c r="F273" i="1" s="1"/>
  <c r="D273" i="1"/>
  <c r="E273" i="1" s="1"/>
  <c r="A273" i="1"/>
  <c r="X273" i="1"/>
  <c r="B274" i="1"/>
  <c r="AB273" i="1"/>
  <c r="AA273" i="1"/>
  <c r="AC273" i="1" s="1"/>
  <c r="B240" i="13"/>
  <c r="C240" i="13"/>
  <c r="V273" i="1"/>
  <c r="A240" i="13"/>
  <c r="K272" i="1" l="1"/>
  <c r="I272" i="1"/>
  <c r="U272" i="1"/>
  <c r="M272" i="1"/>
  <c r="L272" i="1"/>
  <c r="P272" i="1"/>
  <c r="Q273" i="1"/>
  <c r="R273" i="1" s="1"/>
  <c r="S273" i="1" s="1"/>
  <c r="J272" i="1"/>
  <c r="O272" i="1"/>
  <c r="N272" i="1"/>
  <c r="H273" i="1"/>
  <c r="G273" i="1"/>
  <c r="A241" i="13"/>
  <c r="C241" i="13"/>
  <c r="B241" i="13"/>
  <c r="V274" i="1"/>
  <c r="AB274" i="1"/>
  <c r="C274" i="1"/>
  <c r="Q274" i="1" s="1"/>
  <c r="R274" i="1" s="1"/>
  <c r="S274" i="1" s="1"/>
  <c r="D274" i="1"/>
  <c r="E274" i="1" s="1"/>
  <c r="B275" i="1"/>
  <c r="A274" i="1"/>
  <c r="X274" i="1"/>
  <c r="AA274" i="1"/>
  <c r="AC274" i="1" s="1"/>
  <c r="F274" i="1" l="1"/>
  <c r="G274" i="1"/>
  <c r="H274" i="1"/>
  <c r="U273" i="1"/>
  <c r="P273" i="1"/>
  <c r="I273" i="1"/>
  <c r="T273" i="1"/>
  <c r="M273" i="1"/>
  <c r="O273" i="1"/>
  <c r="J273" i="1"/>
  <c r="K273" i="1"/>
  <c r="N273" i="1"/>
  <c r="L273" i="1"/>
  <c r="A242" i="13"/>
  <c r="B242" i="13"/>
  <c r="C242" i="13"/>
  <c r="V275" i="1"/>
  <c r="X275" i="1"/>
  <c r="D275" i="1"/>
  <c r="E275" i="1" s="1"/>
  <c r="G275" i="1" s="1"/>
  <c r="A275" i="1"/>
  <c r="AB275" i="1"/>
  <c r="C275" i="1"/>
  <c r="F275" i="1" s="1"/>
  <c r="B276" i="1"/>
  <c r="AA275" i="1"/>
  <c r="AC275" i="1" s="1"/>
  <c r="H275" i="1" l="1"/>
  <c r="J275" i="1" s="1"/>
  <c r="Q275" i="1"/>
  <c r="R275" i="1" s="1"/>
  <c r="S275" i="1" s="1"/>
  <c r="U275" i="1" s="1"/>
  <c r="O274" i="1"/>
  <c r="P274" i="1"/>
  <c r="K274" i="1"/>
  <c r="N274" i="1"/>
  <c r="U274" i="1"/>
  <c r="T274" i="1"/>
  <c r="J274" i="1"/>
  <c r="M274" i="1"/>
  <c r="L274" i="1"/>
  <c r="I274" i="1"/>
  <c r="C243" i="13"/>
  <c r="A243" i="13"/>
  <c r="B243" i="13"/>
  <c r="V276" i="1"/>
  <c r="AA276" i="1"/>
  <c r="A276" i="1"/>
  <c r="D276" i="1"/>
  <c r="E276" i="1" s="1"/>
  <c r="X276" i="1"/>
  <c r="C276" i="1"/>
  <c r="F276" i="1" s="1"/>
  <c r="B277" i="1"/>
  <c r="AB276" i="1"/>
  <c r="AC276" i="1" s="1"/>
  <c r="N275" i="1" l="1"/>
  <c r="Q276" i="1"/>
  <c r="R276" i="1" s="1"/>
  <c r="S276" i="1" s="1"/>
  <c r="L275" i="1"/>
  <c r="H276" i="1"/>
  <c r="G276" i="1"/>
  <c r="M275" i="1"/>
  <c r="I275" i="1"/>
  <c r="T275" i="1"/>
  <c r="P275" i="1"/>
  <c r="K275" i="1"/>
  <c r="O275" i="1"/>
  <c r="V277" i="1"/>
  <c r="A244" i="13"/>
  <c r="C244" i="13"/>
  <c r="B244" i="13"/>
  <c r="B278" i="1"/>
  <c r="X277" i="1"/>
  <c r="D277" i="1"/>
  <c r="E277" i="1" s="1"/>
  <c r="A277" i="1"/>
  <c r="C277" i="1"/>
  <c r="Q277" i="1" s="1"/>
  <c r="R277" i="1" s="1"/>
  <c r="S277" i="1" s="1"/>
  <c r="AB277" i="1"/>
  <c r="AA277" i="1"/>
  <c r="AC277" i="1" s="1"/>
  <c r="F277" i="1" l="1"/>
  <c r="H277" i="1"/>
  <c r="G277" i="1"/>
  <c r="K276" i="1"/>
  <c r="O276" i="1"/>
  <c r="L276" i="1"/>
  <c r="P276" i="1"/>
  <c r="J276" i="1"/>
  <c r="I276" i="1"/>
  <c r="T276" i="1"/>
  <c r="U276" i="1"/>
  <c r="M276" i="1"/>
  <c r="N276" i="1"/>
  <c r="D278" i="1"/>
  <c r="E278" i="1" s="1"/>
  <c r="G278" i="1" s="1"/>
  <c r="X278" i="1"/>
  <c r="AA278" i="1"/>
  <c r="AC278" i="1" s="1"/>
  <c r="AB278" i="1"/>
  <c r="C278" i="1"/>
  <c r="Q278" i="1" s="1"/>
  <c r="R278" i="1" s="1"/>
  <c r="S278" i="1" s="1"/>
  <c r="B279" i="1"/>
  <c r="A278" i="1"/>
  <c r="B245" i="13"/>
  <c r="C245" i="13"/>
  <c r="V278" i="1"/>
  <c r="A245" i="13"/>
  <c r="F278" i="1" l="1"/>
  <c r="U278" i="1"/>
  <c r="T278" i="1"/>
  <c r="L277" i="1"/>
  <c r="U277" i="1"/>
  <c r="T277" i="1"/>
  <c r="P277" i="1"/>
  <c r="O277" i="1"/>
  <c r="K277" i="1"/>
  <c r="M277" i="1"/>
  <c r="I277" i="1"/>
  <c r="N277" i="1"/>
  <c r="J277" i="1"/>
  <c r="H278" i="1"/>
  <c r="L278" i="1" s="1"/>
  <c r="X279" i="1"/>
  <c r="C279" i="1"/>
  <c r="Q279" i="1" s="1"/>
  <c r="R279" i="1" s="1"/>
  <c r="S279" i="1" s="1"/>
  <c r="A279" i="1"/>
  <c r="AA279" i="1"/>
  <c r="D279" i="1"/>
  <c r="E279" i="1" s="1"/>
  <c r="B280" i="1"/>
  <c r="AB279" i="1"/>
  <c r="B246" i="13"/>
  <c r="C246" i="13"/>
  <c r="A246" i="13"/>
  <c r="V279" i="1"/>
  <c r="AC279" i="1" l="1"/>
  <c r="F279" i="1"/>
  <c r="I278" i="1"/>
  <c r="J278" i="1"/>
  <c r="H279" i="1"/>
  <c r="G279" i="1"/>
  <c r="K278" i="1"/>
  <c r="O278" i="1"/>
  <c r="P278" i="1"/>
  <c r="N278" i="1"/>
  <c r="M278" i="1"/>
  <c r="D280" i="1"/>
  <c r="E280" i="1" s="1"/>
  <c r="H280" i="1" s="1"/>
  <c r="AA280" i="1"/>
  <c r="AB280" i="1"/>
  <c r="C280" i="1"/>
  <c r="Q280" i="1" s="1"/>
  <c r="R280" i="1" s="1"/>
  <c r="S280" i="1" s="1"/>
  <c r="A280" i="1"/>
  <c r="X280" i="1"/>
  <c r="B281" i="1"/>
  <c r="B247" i="13"/>
  <c r="V280" i="1"/>
  <c r="A247" i="13"/>
  <c r="C247" i="13"/>
  <c r="AC280" i="1" l="1"/>
  <c r="F280" i="1"/>
  <c r="G280" i="1"/>
  <c r="J279" i="1"/>
  <c r="O279" i="1"/>
  <c r="K279" i="1"/>
  <c r="M279" i="1"/>
  <c r="T279" i="1"/>
  <c r="I279" i="1"/>
  <c r="U279" i="1"/>
  <c r="L279" i="1"/>
  <c r="P279" i="1"/>
  <c r="N279" i="1"/>
  <c r="V281" i="1"/>
  <c r="B248" i="13"/>
  <c r="A248" i="13"/>
  <c r="C248" i="13"/>
  <c r="AA281" i="1"/>
  <c r="B282" i="1"/>
  <c r="D281" i="1"/>
  <c r="E281" i="1" s="1"/>
  <c r="G281" i="1" s="1"/>
  <c r="A281" i="1"/>
  <c r="C281" i="1"/>
  <c r="Q281" i="1" s="1"/>
  <c r="R281" i="1" s="1"/>
  <c r="S281" i="1" s="1"/>
  <c r="AB281" i="1"/>
  <c r="X281" i="1"/>
  <c r="AC281" i="1" l="1"/>
  <c r="U281" i="1"/>
  <c r="T281" i="1"/>
  <c r="H281" i="1"/>
  <c r="J281" i="1" s="1"/>
  <c r="F281" i="1"/>
  <c r="O280" i="1"/>
  <c r="U280" i="1"/>
  <c r="M280" i="1"/>
  <c r="N280" i="1"/>
  <c r="T280" i="1"/>
  <c r="L280" i="1"/>
  <c r="P280" i="1"/>
  <c r="J280" i="1"/>
  <c r="K280" i="1"/>
  <c r="I280" i="1"/>
  <c r="X282" i="1"/>
  <c r="C282" i="1"/>
  <c r="Q282" i="1" s="1"/>
  <c r="R282" i="1" s="1"/>
  <c r="S282" i="1" s="1"/>
  <c r="B283" i="1"/>
  <c r="AB282" i="1"/>
  <c r="A282" i="1"/>
  <c r="D282" i="1"/>
  <c r="E282" i="1" s="1"/>
  <c r="AA282" i="1"/>
  <c r="AC282" i="1" s="1"/>
  <c r="C249" i="13"/>
  <c r="A249" i="13"/>
  <c r="V282" i="1"/>
  <c r="B249" i="13"/>
  <c r="F282" i="1" l="1"/>
  <c r="M281" i="1"/>
  <c r="G282" i="1"/>
  <c r="H282" i="1"/>
  <c r="O281" i="1"/>
  <c r="L281" i="1"/>
  <c r="I281" i="1"/>
  <c r="K281" i="1"/>
  <c r="P281" i="1"/>
  <c r="N281" i="1"/>
  <c r="B284" i="1"/>
  <c r="A283" i="1"/>
  <c r="C283" i="1"/>
  <c r="Q283" i="1" s="1"/>
  <c r="R283" i="1" s="1"/>
  <c r="S283" i="1" s="1"/>
  <c r="X283" i="1"/>
  <c r="AB283" i="1"/>
  <c r="AA283" i="1"/>
  <c r="D283" i="1"/>
  <c r="E283" i="1" s="1"/>
  <c r="B250" i="13"/>
  <c r="C250" i="13"/>
  <c r="V283" i="1"/>
  <c r="A250" i="13"/>
  <c r="F283" i="1" l="1"/>
  <c r="AC283" i="1"/>
  <c r="G283" i="1"/>
  <c r="H283" i="1"/>
  <c r="I282" i="1"/>
  <c r="U282" i="1"/>
  <c r="O282" i="1"/>
  <c r="M282" i="1"/>
  <c r="J282" i="1"/>
  <c r="K282" i="1"/>
  <c r="L282" i="1"/>
  <c r="T282" i="1"/>
  <c r="N282" i="1"/>
  <c r="P282" i="1"/>
  <c r="A251" i="13"/>
  <c r="B251" i="13"/>
  <c r="V284" i="1"/>
  <c r="C251" i="13"/>
  <c r="AA284" i="1"/>
  <c r="D284" i="1"/>
  <c r="E284" i="1" s="1"/>
  <c r="X284" i="1"/>
  <c r="C284" i="1"/>
  <c r="Q284" i="1" s="1"/>
  <c r="R284" i="1" s="1"/>
  <c r="S284" i="1" s="1"/>
  <c r="AB284" i="1"/>
  <c r="A284" i="1"/>
  <c r="B285" i="1"/>
  <c r="AC284" i="1" l="1"/>
  <c r="G284" i="1"/>
  <c r="H284" i="1"/>
  <c r="F284" i="1"/>
  <c r="T283" i="1"/>
  <c r="P283" i="1"/>
  <c r="L283" i="1"/>
  <c r="N283" i="1"/>
  <c r="O283" i="1"/>
  <c r="J283" i="1"/>
  <c r="I283" i="1"/>
  <c r="K283" i="1"/>
  <c r="M283" i="1"/>
  <c r="U283" i="1"/>
  <c r="A252" i="13"/>
  <c r="V285" i="1"/>
  <c r="B252" i="13"/>
  <c r="C252" i="13"/>
  <c r="D285" i="1"/>
  <c r="E285" i="1" s="1"/>
  <c r="AB285" i="1"/>
  <c r="X285" i="1"/>
  <c r="AA285" i="1"/>
  <c r="B286" i="1"/>
  <c r="A285" i="1"/>
  <c r="C285" i="1"/>
  <c r="Q285" i="1" s="1"/>
  <c r="R285" i="1" s="1"/>
  <c r="S285" i="1" s="1"/>
  <c r="AC285" i="1" l="1"/>
  <c r="F285" i="1"/>
  <c r="H285" i="1"/>
  <c r="G285" i="1"/>
  <c r="T284" i="1"/>
  <c r="M284" i="1"/>
  <c r="P284" i="1"/>
  <c r="O284" i="1"/>
  <c r="L284" i="1"/>
  <c r="I284" i="1"/>
  <c r="N284" i="1"/>
  <c r="J284" i="1"/>
  <c r="K284" i="1"/>
  <c r="U284" i="1"/>
  <c r="A286" i="1"/>
  <c r="C286" i="1"/>
  <c r="Q286" i="1" s="1"/>
  <c r="R286" i="1" s="1"/>
  <c r="S286" i="1" s="1"/>
  <c r="B287" i="1"/>
  <c r="AB286" i="1"/>
  <c r="D286" i="1"/>
  <c r="E286" i="1" s="1"/>
  <c r="AA286" i="1"/>
  <c r="AC286" i="1" s="1"/>
  <c r="X286" i="1"/>
  <c r="A253" i="13"/>
  <c r="V286" i="1"/>
  <c r="B253" i="13"/>
  <c r="C253" i="13"/>
  <c r="F286" i="1" l="1"/>
  <c r="H286" i="1"/>
  <c r="G286" i="1"/>
  <c r="L285" i="1"/>
  <c r="I285" i="1"/>
  <c r="U285" i="1"/>
  <c r="T285" i="1"/>
  <c r="K285" i="1"/>
  <c r="N285" i="1"/>
  <c r="O285" i="1"/>
  <c r="M285" i="1"/>
  <c r="J285" i="1"/>
  <c r="P285" i="1"/>
  <c r="B254" i="13"/>
  <c r="V287" i="1"/>
  <c r="C254" i="13"/>
  <c r="A254" i="13"/>
  <c r="A287" i="1"/>
  <c r="C287" i="1"/>
  <c r="F287" i="1" s="1"/>
  <c r="D287" i="1"/>
  <c r="E287" i="1" s="1"/>
  <c r="B288" i="1"/>
  <c r="AB287" i="1"/>
  <c r="AA287" i="1"/>
  <c r="X287" i="1"/>
  <c r="AC287" i="1" l="1"/>
  <c r="Q287" i="1"/>
  <c r="R287" i="1" s="1"/>
  <c r="S287" i="1" s="1"/>
  <c r="H287" i="1"/>
  <c r="G287" i="1"/>
  <c r="U286" i="1"/>
  <c r="M286" i="1"/>
  <c r="N286" i="1"/>
  <c r="P286" i="1"/>
  <c r="L286" i="1"/>
  <c r="K286" i="1"/>
  <c r="O286" i="1"/>
  <c r="J286" i="1"/>
  <c r="T286" i="1"/>
  <c r="I286" i="1"/>
  <c r="C288" i="1"/>
  <c r="F288" i="1" s="1"/>
  <c r="X288" i="1"/>
  <c r="AB288" i="1"/>
  <c r="A288" i="1"/>
  <c r="B289" i="1"/>
  <c r="D288" i="1"/>
  <c r="E288" i="1" s="1"/>
  <c r="AA288" i="1"/>
  <c r="C255" i="13"/>
  <c r="A255" i="13"/>
  <c r="B255" i="13"/>
  <c r="V288" i="1"/>
  <c r="AC288" i="1" l="1"/>
  <c r="Q288" i="1"/>
  <c r="R288" i="1" s="1"/>
  <c r="S288" i="1" s="1"/>
  <c r="H288" i="1"/>
  <c r="G288" i="1"/>
  <c r="L287" i="1"/>
  <c r="I287" i="1"/>
  <c r="T287" i="1"/>
  <c r="J287" i="1"/>
  <c r="M287" i="1"/>
  <c r="U287" i="1"/>
  <c r="O287" i="1"/>
  <c r="P287" i="1"/>
  <c r="N287" i="1"/>
  <c r="K287" i="1"/>
  <c r="X289" i="1"/>
  <c r="AB289" i="1"/>
  <c r="AA289" i="1"/>
  <c r="B290" i="1"/>
  <c r="D289" i="1"/>
  <c r="E289" i="1" s="1"/>
  <c r="A289" i="1"/>
  <c r="C289" i="1"/>
  <c r="Q289" i="1" s="1"/>
  <c r="R289" i="1" s="1"/>
  <c r="S289" i="1" s="1"/>
  <c r="B256" i="13"/>
  <c r="C256" i="13"/>
  <c r="A256" i="13"/>
  <c r="V289" i="1"/>
  <c r="AC289" i="1" l="1"/>
  <c r="F289" i="1"/>
  <c r="G289" i="1"/>
  <c r="H289" i="1"/>
  <c r="L288" i="1"/>
  <c r="O288" i="1"/>
  <c r="P288" i="1"/>
  <c r="M288" i="1"/>
  <c r="K288" i="1"/>
  <c r="T288" i="1"/>
  <c r="I288" i="1"/>
  <c r="N288" i="1"/>
  <c r="U288" i="1"/>
  <c r="J288" i="1"/>
  <c r="D290" i="1"/>
  <c r="E290" i="1" s="1"/>
  <c r="AB290" i="1"/>
  <c r="A290" i="1"/>
  <c r="X290" i="1"/>
  <c r="C290" i="1"/>
  <c r="F290" i="1" s="1"/>
  <c r="AA290" i="1"/>
  <c r="B291" i="1"/>
  <c r="A257" i="13"/>
  <c r="C257" i="13"/>
  <c r="V290" i="1"/>
  <c r="B257" i="13"/>
  <c r="AC290" i="1" l="1"/>
  <c r="Q290" i="1"/>
  <c r="R290" i="1" s="1"/>
  <c r="S290" i="1" s="1"/>
  <c r="G290" i="1"/>
  <c r="H290" i="1"/>
  <c r="P289" i="1"/>
  <c r="L289" i="1"/>
  <c r="I289" i="1"/>
  <c r="K289" i="1"/>
  <c r="M289" i="1"/>
  <c r="N289" i="1"/>
  <c r="U289" i="1"/>
  <c r="O289" i="1"/>
  <c r="J289" i="1"/>
  <c r="T289" i="1"/>
  <c r="B258" i="13"/>
  <c r="C258" i="13"/>
  <c r="V291" i="1"/>
  <c r="A258" i="13"/>
  <c r="A291" i="1"/>
  <c r="X291" i="1"/>
  <c r="AB291" i="1"/>
  <c r="AA291" i="1"/>
  <c r="B292" i="1"/>
  <c r="C291" i="1"/>
  <c r="Q291" i="1" s="1"/>
  <c r="R291" i="1" s="1"/>
  <c r="S291" i="1" s="1"/>
  <c r="D291" i="1"/>
  <c r="E291" i="1" s="1"/>
  <c r="AC291" i="1" l="1"/>
  <c r="G291" i="1"/>
  <c r="H291" i="1"/>
  <c r="F291" i="1"/>
  <c r="P290" i="1"/>
  <c r="K290" i="1"/>
  <c r="I290" i="1"/>
  <c r="M290" i="1"/>
  <c r="J290" i="1"/>
  <c r="N290" i="1"/>
  <c r="O290" i="1"/>
  <c r="U290" i="1"/>
  <c r="T290" i="1"/>
  <c r="L290" i="1"/>
  <c r="B293" i="1"/>
  <c r="X292" i="1"/>
  <c r="AB292" i="1"/>
  <c r="AA292" i="1"/>
  <c r="A292" i="1"/>
  <c r="C292" i="1"/>
  <c r="Q292" i="1" s="1"/>
  <c r="R292" i="1" s="1"/>
  <c r="S292" i="1" s="1"/>
  <c r="D292" i="1"/>
  <c r="E292" i="1" s="1"/>
  <c r="V292" i="1"/>
  <c r="B259" i="13"/>
  <c r="A259" i="13"/>
  <c r="C259" i="13"/>
  <c r="AC292" i="1" l="1"/>
  <c r="F292" i="1"/>
  <c r="H292" i="1"/>
  <c r="G292" i="1"/>
  <c r="I291" i="1"/>
  <c r="L291" i="1"/>
  <c r="N291" i="1"/>
  <c r="K291" i="1"/>
  <c r="T291" i="1"/>
  <c r="U291" i="1"/>
  <c r="J291" i="1"/>
  <c r="O291" i="1"/>
  <c r="M291" i="1"/>
  <c r="P291" i="1"/>
  <c r="V293" i="1"/>
  <c r="C260" i="13"/>
  <c r="B260" i="13"/>
  <c r="A260" i="13"/>
  <c r="B294" i="1"/>
  <c r="AA293" i="1"/>
  <c r="AB293" i="1"/>
  <c r="A293" i="1"/>
  <c r="X293" i="1"/>
  <c r="C293" i="1"/>
  <c r="Q293" i="1" s="1"/>
  <c r="R293" i="1" s="1"/>
  <c r="S293" i="1" s="1"/>
  <c r="D293" i="1"/>
  <c r="E293" i="1" s="1"/>
  <c r="AC293" i="1" l="1"/>
  <c r="G293" i="1"/>
  <c r="H293" i="1"/>
  <c r="F293" i="1"/>
  <c r="T292" i="1"/>
  <c r="J292" i="1"/>
  <c r="O292" i="1"/>
  <c r="M292" i="1"/>
  <c r="U292" i="1"/>
  <c r="P292" i="1"/>
  <c r="L292" i="1"/>
  <c r="K292" i="1"/>
  <c r="I292" i="1"/>
  <c r="N292" i="1"/>
  <c r="A294" i="1"/>
  <c r="B295" i="1"/>
  <c r="X294" i="1"/>
  <c r="C294" i="1"/>
  <c r="F294" i="1" s="1"/>
  <c r="AB294" i="1"/>
  <c r="D294" i="1"/>
  <c r="E294" i="1" s="1"/>
  <c r="G294" i="1" s="1"/>
  <c r="AA294" i="1"/>
  <c r="A261" i="13"/>
  <c r="V294" i="1"/>
  <c r="B261" i="13"/>
  <c r="C261" i="13"/>
  <c r="AC294" i="1" l="1"/>
  <c r="H294" i="1"/>
  <c r="M294" i="1" s="1"/>
  <c r="Q294" i="1"/>
  <c r="R294" i="1" s="1"/>
  <c r="S294" i="1" s="1"/>
  <c r="U294" i="1" s="1"/>
  <c r="K293" i="1"/>
  <c r="I293" i="1"/>
  <c r="T293" i="1"/>
  <c r="M293" i="1"/>
  <c r="O293" i="1"/>
  <c r="P293" i="1"/>
  <c r="L293" i="1"/>
  <c r="N293" i="1"/>
  <c r="J293" i="1"/>
  <c r="U293" i="1"/>
  <c r="C262" i="13"/>
  <c r="B262" i="13"/>
  <c r="A262" i="13"/>
  <c r="V295" i="1"/>
  <c r="AB295" i="1"/>
  <c r="AA295" i="1"/>
  <c r="AC295" i="1" s="1"/>
  <c r="A295" i="1"/>
  <c r="D295" i="1"/>
  <c r="E295" i="1" s="1"/>
  <c r="X295" i="1"/>
  <c r="B296" i="1"/>
  <c r="C295" i="1"/>
  <c r="Q295" i="1" s="1"/>
  <c r="R295" i="1" s="1"/>
  <c r="S295" i="1" s="1"/>
  <c r="N294" i="1" l="1"/>
  <c r="J294" i="1"/>
  <c r="L294" i="1"/>
  <c r="K294" i="1"/>
  <c r="I294" i="1"/>
  <c r="P294" i="1"/>
  <c r="O294" i="1"/>
  <c r="H295" i="1"/>
  <c r="G295" i="1"/>
  <c r="T294" i="1"/>
  <c r="F295" i="1"/>
  <c r="V296" i="1"/>
  <c r="B263" i="13"/>
  <c r="A263" i="13"/>
  <c r="C263" i="13"/>
  <c r="AB296" i="1"/>
  <c r="X296" i="1"/>
  <c r="AA296" i="1"/>
  <c r="D296" i="1"/>
  <c r="E296" i="1" s="1"/>
  <c r="B297" i="1"/>
  <c r="C296" i="1"/>
  <c r="Q296" i="1" s="1"/>
  <c r="R296" i="1" s="1"/>
  <c r="S296" i="1" s="1"/>
  <c r="A296" i="1"/>
  <c r="AC296" i="1" l="1"/>
  <c r="G296" i="1"/>
  <c r="U296" i="1" s="1"/>
  <c r="H296" i="1"/>
  <c r="J296" i="1" s="1"/>
  <c r="F296" i="1"/>
  <c r="K295" i="1"/>
  <c r="J295" i="1"/>
  <c r="N295" i="1"/>
  <c r="M295" i="1"/>
  <c r="O295" i="1"/>
  <c r="U295" i="1"/>
  <c r="P295" i="1"/>
  <c r="T295" i="1"/>
  <c r="I295" i="1"/>
  <c r="L295" i="1"/>
  <c r="X297" i="1"/>
  <c r="AA297" i="1"/>
  <c r="A297" i="1"/>
  <c r="B298" i="1"/>
  <c r="D297" i="1"/>
  <c r="E297" i="1" s="1"/>
  <c r="C297" i="1"/>
  <c r="F297" i="1" s="1"/>
  <c r="AB297" i="1"/>
  <c r="B264" i="13"/>
  <c r="C264" i="13"/>
  <c r="A264" i="13"/>
  <c r="V297" i="1"/>
  <c r="AC297" i="1" l="1"/>
  <c r="M296" i="1"/>
  <c r="L296" i="1"/>
  <c r="N296" i="1"/>
  <c r="I296" i="1"/>
  <c r="O296" i="1"/>
  <c r="P296" i="1"/>
  <c r="T296" i="1"/>
  <c r="K296" i="1"/>
  <c r="H297" i="1"/>
  <c r="G297" i="1"/>
  <c r="Q297" i="1"/>
  <c r="R297" i="1" s="1"/>
  <c r="S297" i="1" s="1"/>
  <c r="B299" i="1"/>
  <c r="AA298" i="1"/>
  <c r="AC298" i="1" s="1"/>
  <c r="A298" i="1"/>
  <c r="C298" i="1"/>
  <c r="Q298" i="1" s="1"/>
  <c r="R298" i="1" s="1"/>
  <c r="S298" i="1" s="1"/>
  <c r="D298" i="1"/>
  <c r="E298" i="1" s="1"/>
  <c r="G298" i="1" s="1"/>
  <c r="AB298" i="1"/>
  <c r="X298" i="1"/>
  <c r="A265" i="13"/>
  <c r="V298" i="1"/>
  <c r="B265" i="13"/>
  <c r="C265" i="13"/>
  <c r="F298" i="1" l="1"/>
  <c r="T298" i="1"/>
  <c r="U298" i="1"/>
  <c r="U297" i="1"/>
  <c r="P297" i="1"/>
  <c r="L297" i="1"/>
  <c r="T297" i="1"/>
  <c r="J297" i="1"/>
  <c r="K297" i="1"/>
  <c r="N297" i="1"/>
  <c r="O297" i="1"/>
  <c r="I297" i="1"/>
  <c r="M297" i="1"/>
  <c r="H298" i="1"/>
  <c r="I298" i="1" s="1"/>
  <c r="D299" i="1"/>
  <c r="E299" i="1" s="1"/>
  <c r="X299" i="1"/>
  <c r="AB299" i="1"/>
  <c r="C299" i="1"/>
  <c r="Q299" i="1" s="1"/>
  <c r="R299" i="1" s="1"/>
  <c r="S299" i="1" s="1"/>
  <c r="AA299" i="1"/>
  <c r="A299" i="1"/>
  <c r="B300" i="1"/>
  <c r="C266" i="13"/>
  <c r="V299" i="1"/>
  <c r="A266" i="13"/>
  <c r="B266" i="13"/>
  <c r="AC299" i="1" l="1"/>
  <c r="N298" i="1"/>
  <c r="L298" i="1"/>
  <c r="P298" i="1"/>
  <c r="O298" i="1"/>
  <c r="J298" i="1"/>
  <c r="K298" i="1"/>
  <c r="G299" i="1"/>
  <c r="H299" i="1"/>
  <c r="F299" i="1"/>
  <c r="M298" i="1"/>
  <c r="B301" i="1"/>
  <c r="AA300" i="1"/>
  <c r="C300" i="1"/>
  <c r="Q300" i="1" s="1"/>
  <c r="R300" i="1" s="1"/>
  <c r="S300" i="1" s="1"/>
  <c r="AB300" i="1"/>
  <c r="A300" i="1"/>
  <c r="X300" i="1"/>
  <c r="D300" i="1"/>
  <c r="E300" i="1" s="1"/>
  <c r="V300" i="1"/>
  <c r="B267" i="13"/>
  <c r="C267" i="13"/>
  <c r="A267" i="13"/>
  <c r="AC300" i="1" l="1"/>
  <c r="H300" i="1"/>
  <c r="G300" i="1"/>
  <c r="F300" i="1"/>
  <c r="U299" i="1"/>
  <c r="J299" i="1"/>
  <c r="L299" i="1"/>
  <c r="O299" i="1"/>
  <c r="N299" i="1"/>
  <c r="K299" i="1"/>
  <c r="I299" i="1"/>
  <c r="T299" i="1"/>
  <c r="M299" i="1"/>
  <c r="P299" i="1"/>
  <c r="X301" i="1"/>
  <c r="A301" i="1"/>
  <c r="D301" i="1"/>
  <c r="E301" i="1" s="1"/>
  <c r="B302" i="1"/>
  <c r="C301" i="1"/>
  <c r="F301" i="1" s="1"/>
  <c r="AA301" i="1"/>
  <c r="AB301" i="1"/>
  <c r="B268" i="13"/>
  <c r="V301" i="1"/>
  <c r="C268" i="13"/>
  <c r="A268" i="13"/>
  <c r="AC301" i="1" l="1"/>
  <c r="Q301" i="1"/>
  <c r="R301" i="1" s="1"/>
  <c r="S301" i="1" s="1"/>
  <c r="G301" i="1"/>
  <c r="H301" i="1"/>
  <c r="J300" i="1"/>
  <c r="I300" i="1"/>
  <c r="T300" i="1"/>
  <c r="L300" i="1"/>
  <c r="U300" i="1"/>
  <c r="O300" i="1"/>
  <c r="K300" i="1"/>
  <c r="M300" i="1"/>
  <c r="P300" i="1"/>
  <c r="N300" i="1"/>
  <c r="C302" i="1"/>
  <c r="F302" i="1" s="1"/>
  <c r="A302" i="1"/>
  <c r="AA302" i="1"/>
  <c r="X302" i="1"/>
  <c r="B303" i="1"/>
  <c r="D302" i="1"/>
  <c r="E302" i="1" s="1"/>
  <c r="AB302" i="1"/>
  <c r="C269" i="13"/>
  <c r="V302" i="1"/>
  <c r="A269" i="13"/>
  <c r="B269" i="13"/>
  <c r="AC302" i="1" l="1"/>
  <c r="Q302" i="1"/>
  <c r="R302" i="1" s="1"/>
  <c r="S302" i="1" s="1"/>
  <c r="H302" i="1"/>
  <c r="G302" i="1"/>
  <c r="M301" i="1"/>
  <c r="I301" i="1"/>
  <c r="U301" i="1"/>
  <c r="K301" i="1"/>
  <c r="O301" i="1"/>
  <c r="N301" i="1"/>
  <c r="L301" i="1"/>
  <c r="P301" i="1"/>
  <c r="T301" i="1"/>
  <c r="J301" i="1"/>
  <c r="C303" i="1"/>
  <c r="Q303" i="1" s="1"/>
  <c r="R303" i="1" s="1"/>
  <c r="S303" i="1" s="1"/>
  <c r="A303" i="1"/>
  <c r="X303" i="1"/>
  <c r="AB303" i="1"/>
  <c r="D303" i="1"/>
  <c r="E303" i="1" s="1"/>
  <c r="G303" i="1" s="1"/>
  <c r="B304" i="1"/>
  <c r="AA303" i="1"/>
  <c r="C270" i="13"/>
  <c r="A270" i="13"/>
  <c r="B270" i="13"/>
  <c r="V303" i="1"/>
  <c r="AC303" i="1" l="1"/>
  <c r="F303" i="1"/>
  <c r="T303" i="1"/>
  <c r="U303" i="1"/>
  <c r="T302" i="1"/>
  <c r="K302" i="1"/>
  <c r="M302" i="1"/>
  <c r="N302" i="1"/>
  <c r="O302" i="1"/>
  <c r="I302" i="1"/>
  <c r="L302" i="1"/>
  <c r="J302" i="1"/>
  <c r="P302" i="1"/>
  <c r="U302" i="1"/>
  <c r="H303" i="1"/>
  <c r="K303" i="1" s="1"/>
  <c r="C271" i="13"/>
  <c r="A271" i="13"/>
  <c r="B271" i="13"/>
  <c r="V304" i="1"/>
  <c r="X304" i="1"/>
  <c r="AB304" i="1"/>
  <c r="B305" i="1"/>
  <c r="A304" i="1"/>
  <c r="AA304" i="1"/>
  <c r="AC304" i="1" s="1"/>
  <c r="D304" i="1"/>
  <c r="E304" i="1" s="1"/>
  <c r="C304" i="1"/>
  <c r="Q304" i="1" s="1"/>
  <c r="R304" i="1" s="1"/>
  <c r="S304" i="1" s="1"/>
  <c r="N303" i="1" l="1"/>
  <c r="I303" i="1"/>
  <c r="F304" i="1"/>
  <c r="H304" i="1"/>
  <c r="G304" i="1"/>
  <c r="T304" i="1" s="1"/>
  <c r="L303" i="1"/>
  <c r="M303" i="1"/>
  <c r="P303" i="1"/>
  <c r="O303" i="1"/>
  <c r="J303" i="1"/>
  <c r="B272" i="13"/>
  <c r="V305" i="1"/>
  <c r="A272" i="13"/>
  <c r="C272" i="13"/>
  <c r="AA305" i="1"/>
  <c r="AC305" i="1" s="1"/>
  <c r="A305" i="1"/>
  <c r="X305" i="1"/>
  <c r="C305" i="1"/>
  <c r="Q305" i="1" s="1"/>
  <c r="R305" i="1" s="1"/>
  <c r="S305" i="1" s="1"/>
  <c r="D305" i="1"/>
  <c r="E305" i="1" s="1"/>
  <c r="G305" i="1" s="1"/>
  <c r="B306" i="1"/>
  <c r="AB305" i="1"/>
  <c r="U304" i="1" l="1"/>
  <c r="P304" i="1"/>
  <c r="M304" i="1"/>
  <c r="L304" i="1"/>
  <c r="I304" i="1"/>
  <c r="F305" i="1"/>
  <c r="N304" i="1"/>
  <c r="O304" i="1"/>
  <c r="K304" i="1"/>
  <c r="J304" i="1"/>
  <c r="U305" i="1"/>
  <c r="T305" i="1"/>
  <c r="H305" i="1"/>
  <c r="P305" i="1" s="1"/>
  <c r="C273" i="13"/>
  <c r="B273" i="13"/>
  <c r="V306" i="1"/>
  <c r="A273" i="13"/>
  <c r="AB306" i="1"/>
  <c r="X306" i="1"/>
  <c r="D306" i="1"/>
  <c r="E306" i="1" s="1"/>
  <c r="B307" i="1"/>
  <c r="C306" i="1"/>
  <c r="F306" i="1" s="1"/>
  <c r="AA306" i="1"/>
  <c r="AC306" i="1" s="1"/>
  <c r="A306" i="1"/>
  <c r="H306" i="1" l="1"/>
  <c r="G306" i="1"/>
  <c r="I305" i="1"/>
  <c r="Q306" i="1"/>
  <c r="R306" i="1" s="1"/>
  <c r="S306" i="1" s="1"/>
  <c r="L305" i="1"/>
  <c r="O305" i="1"/>
  <c r="M305" i="1"/>
  <c r="K305" i="1"/>
  <c r="J305" i="1"/>
  <c r="N305" i="1"/>
  <c r="C274" i="13"/>
  <c r="B274" i="13"/>
  <c r="A274" i="13"/>
  <c r="V307" i="1"/>
  <c r="C307" i="1"/>
  <c r="F307" i="1" s="1"/>
  <c r="X307" i="1"/>
  <c r="D307" i="1"/>
  <c r="E307" i="1" s="1"/>
  <c r="AA307" i="1"/>
  <c r="B308" i="1"/>
  <c r="AB307" i="1"/>
  <c r="A307" i="1"/>
  <c r="AC307" i="1" l="1"/>
  <c r="Q307" i="1"/>
  <c r="R307" i="1" s="1"/>
  <c r="S307" i="1" s="1"/>
  <c r="G307" i="1"/>
  <c r="H307" i="1"/>
  <c r="O306" i="1"/>
  <c r="U306" i="1"/>
  <c r="J306" i="1"/>
  <c r="I306" i="1"/>
  <c r="K306" i="1"/>
  <c r="T306" i="1"/>
  <c r="N306" i="1"/>
  <c r="M306" i="1"/>
  <c r="L306" i="1"/>
  <c r="P306" i="1"/>
  <c r="A275" i="13"/>
  <c r="V308" i="1"/>
  <c r="B275" i="13"/>
  <c r="C275" i="13"/>
  <c r="AA308" i="1"/>
  <c r="A308" i="1"/>
  <c r="B309" i="1"/>
  <c r="D308" i="1"/>
  <c r="E308" i="1" s="1"/>
  <c r="G308" i="1" s="1"/>
  <c r="X308" i="1"/>
  <c r="AB308" i="1"/>
  <c r="C308" i="1"/>
  <c r="F308" i="1" s="1"/>
  <c r="AC308" i="1" l="1"/>
  <c r="Q308" i="1"/>
  <c r="R308" i="1" s="1"/>
  <c r="S308" i="1" s="1"/>
  <c r="U308" i="1" s="1"/>
  <c r="H308" i="1"/>
  <c r="O308" i="1" s="1"/>
  <c r="O307" i="1"/>
  <c r="N307" i="1"/>
  <c r="J307" i="1"/>
  <c r="K307" i="1"/>
  <c r="M307" i="1"/>
  <c r="L307" i="1"/>
  <c r="U307" i="1"/>
  <c r="T307" i="1"/>
  <c r="P307" i="1"/>
  <c r="I307" i="1"/>
  <c r="V309" i="1"/>
  <c r="B276" i="13"/>
  <c r="C276" i="13"/>
  <c r="A276" i="13"/>
  <c r="AB309" i="1"/>
  <c r="A309" i="1"/>
  <c r="X309" i="1"/>
  <c r="AA309" i="1"/>
  <c r="AC309" i="1" s="1"/>
  <c r="C309" i="1"/>
  <c r="Q309" i="1" s="1"/>
  <c r="R309" i="1" s="1"/>
  <c r="S309" i="1" s="1"/>
  <c r="D309" i="1"/>
  <c r="E309" i="1" s="1"/>
  <c r="B310" i="1"/>
  <c r="T308" i="1" l="1"/>
  <c r="H309" i="1"/>
  <c r="G309" i="1"/>
  <c r="F309" i="1"/>
  <c r="P308" i="1"/>
  <c r="M308" i="1"/>
  <c r="J308" i="1"/>
  <c r="N308" i="1"/>
  <c r="I308" i="1"/>
  <c r="K308" i="1"/>
  <c r="L308" i="1"/>
  <c r="X310" i="1"/>
  <c r="A310" i="1"/>
  <c r="AB310" i="1"/>
  <c r="D310" i="1"/>
  <c r="E310" i="1" s="1"/>
  <c r="C310" i="1"/>
  <c r="Q310" i="1" s="1"/>
  <c r="R310" i="1" s="1"/>
  <c r="S310" i="1" s="1"/>
  <c r="B311" i="1"/>
  <c r="AA310" i="1"/>
  <c r="B277" i="13"/>
  <c r="C277" i="13"/>
  <c r="A277" i="13"/>
  <c r="V310" i="1"/>
  <c r="AC310" i="1" l="1"/>
  <c r="G310" i="1"/>
  <c r="H310" i="1"/>
  <c r="F310" i="1"/>
  <c r="L309" i="1"/>
  <c r="O309" i="1"/>
  <c r="T309" i="1"/>
  <c r="U309" i="1"/>
  <c r="K309" i="1"/>
  <c r="N309" i="1"/>
  <c r="J309" i="1"/>
  <c r="I309" i="1"/>
  <c r="M309" i="1"/>
  <c r="P309" i="1"/>
  <c r="C311" i="1"/>
  <c r="Q311" i="1" s="1"/>
  <c r="R311" i="1" s="1"/>
  <c r="S311" i="1" s="1"/>
  <c r="AB311" i="1"/>
  <c r="A311" i="1"/>
  <c r="X311" i="1"/>
  <c r="AA311" i="1"/>
  <c r="B312" i="1"/>
  <c r="D311" i="1"/>
  <c r="E311" i="1" s="1"/>
  <c r="G311" i="1" s="1"/>
  <c r="C278" i="13"/>
  <c r="A278" i="13"/>
  <c r="B278" i="13"/>
  <c r="V311" i="1"/>
  <c r="AC311" i="1" l="1"/>
  <c r="F311" i="1"/>
  <c r="T311" i="1"/>
  <c r="U311" i="1"/>
  <c r="U310" i="1"/>
  <c r="P310" i="1"/>
  <c r="J310" i="1"/>
  <c r="T310" i="1"/>
  <c r="N310" i="1"/>
  <c r="L310" i="1"/>
  <c r="I310" i="1"/>
  <c r="O310" i="1"/>
  <c r="M310" i="1"/>
  <c r="K310" i="1"/>
  <c r="H311" i="1"/>
  <c r="K311" i="1" s="1"/>
  <c r="D312" i="1"/>
  <c r="E312" i="1" s="1"/>
  <c r="AA312" i="1"/>
  <c r="X312" i="1"/>
  <c r="C312" i="1"/>
  <c r="F312" i="1" s="1"/>
  <c r="A312" i="1"/>
  <c r="AB312" i="1"/>
  <c r="AC312" i="1" s="1"/>
  <c r="B313" i="1"/>
  <c r="A279" i="13"/>
  <c r="C279" i="13"/>
  <c r="V312" i="1"/>
  <c r="B279" i="13"/>
  <c r="Q312" i="1" l="1"/>
  <c r="R312" i="1" s="1"/>
  <c r="S312" i="1" s="1"/>
  <c r="P311" i="1"/>
  <c r="O311" i="1"/>
  <c r="L311" i="1"/>
  <c r="N311" i="1"/>
  <c r="M311" i="1"/>
  <c r="J311" i="1"/>
  <c r="H312" i="1"/>
  <c r="G312" i="1"/>
  <c r="I311" i="1"/>
  <c r="V313" i="1"/>
  <c r="B280" i="13"/>
  <c r="C280" i="13"/>
  <c r="A280" i="13"/>
  <c r="AB313" i="1"/>
  <c r="B314" i="1"/>
  <c r="D313" i="1"/>
  <c r="E313" i="1" s="1"/>
  <c r="A313" i="1"/>
  <c r="AA313" i="1"/>
  <c r="C313" i="1"/>
  <c r="F313" i="1" s="1"/>
  <c r="X313" i="1"/>
  <c r="AC313" i="1" l="1"/>
  <c r="Q313" i="1"/>
  <c r="R313" i="1" s="1"/>
  <c r="S313" i="1" s="1"/>
  <c r="H313" i="1"/>
  <c r="G313" i="1"/>
  <c r="K312" i="1"/>
  <c r="I312" i="1"/>
  <c r="N312" i="1"/>
  <c r="U312" i="1"/>
  <c r="O312" i="1"/>
  <c r="J312" i="1"/>
  <c r="M312" i="1"/>
  <c r="L312" i="1"/>
  <c r="P312" i="1"/>
  <c r="T312" i="1"/>
  <c r="AA314" i="1"/>
  <c r="C314" i="1"/>
  <c r="F314" i="1" s="1"/>
  <c r="X314" i="1"/>
  <c r="B315" i="1"/>
  <c r="AB314" i="1"/>
  <c r="A314" i="1"/>
  <c r="D314" i="1"/>
  <c r="E314" i="1" s="1"/>
  <c r="B281" i="13"/>
  <c r="V314" i="1"/>
  <c r="C281" i="13"/>
  <c r="A281" i="13"/>
  <c r="AC314" i="1" l="1"/>
  <c r="Q314" i="1"/>
  <c r="R314" i="1" s="1"/>
  <c r="S314" i="1" s="1"/>
  <c r="G314" i="1"/>
  <c r="H314" i="1"/>
  <c r="K313" i="1"/>
  <c r="T313" i="1"/>
  <c r="I313" i="1"/>
  <c r="U313" i="1"/>
  <c r="N313" i="1"/>
  <c r="O313" i="1"/>
  <c r="P313" i="1"/>
  <c r="M313" i="1"/>
  <c r="L313" i="1"/>
  <c r="J313" i="1"/>
  <c r="X315" i="1"/>
  <c r="AA315" i="1"/>
  <c r="A315" i="1"/>
  <c r="C315" i="1"/>
  <c r="F315" i="1" s="1"/>
  <c r="B316" i="1"/>
  <c r="AB315" i="1"/>
  <c r="D315" i="1"/>
  <c r="E315" i="1" s="1"/>
  <c r="V315" i="1"/>
  <c r="C282" i="13"/>
  <c r="B282" i="13"/>
  <c r="A282" i="13"/>
  <c r="AC315" i="1" l="1"/>
  <c r="Q315" i="1"/>
  <c r="R315" i="1" s="1"/>
  <c r="S315" i="1" s="1"/>
  <c r="H315" i="1"/>
  <c r="G315" i="1"/>
  <c r="U314" i="1"/>
  <c r="O314" i="1"/>
  <c r="I314" i="1"/>
  <c r="P314" i="1"/>
  <c r="N314" i="1"/>
  <c r="K314" i="1"/>
  <c r="T314" i="1"/>
  <c r="L314" i="1"/>
  <c r="J314" i="1"/>
  <c r="M314" i="1"/>
  <c r="B283" i="13"/>
  <c r="C283" i="13"/>
  <c r="V316" i="1"/>
  <c r="A283" i="13"/>
  <c r="D316" i="1"/>
  <c r="E316" i="1" s="1"/>
  <c r="G316" i="1" s="1"/>
  <c r="AB316" i="1"/>
  <c r="C316" i="1"/>
  <c r="Q316" i="1" s="1"/>
  <c r="R316" i="1" s="1"/>
  <c r="S316" i="1" s="1"/>
  <c r="X316" i="1"/>
  <c r="A316" i="1"/>
  <c r="B317" i="1"/>
  <c r="AA316" i="1"/>
  <c r="AC316" i="1" l="1"/>
  <c r="F316" i="1"/>
  <c r="U316" i="1"/>
  <c r="T316" i="1"/>
  <c r="I315" i="1"/>
  <c r="U315" i="1"/>
  <c r="M315" i="1"/>
  <c r="K315" i="1"/>
  <c r="P315" i="1"/>
  <c r="N315" i="1"/>
  <c r="J315" i="1"/>
  <c r="T315" i="1"/>
  <c r="L315" i="1"/>
  <c r="O315" i="1"/>
  <c r="H316" i="1"/>
  <c r="N316" i="1" s="1"/>
  <c r="X317" i="1"/>
  <c r="A317" i="1"/>
  <c r="C317" i="1"/>
  <c r="Q317" i="1" s="1"/>
  <c r="R317" i="1" s="1"/>
  <c r="S317" i="1" s="1"/>
  <c r="B318" i="1"/>
  <c r="D317" i="1"/>
  <c r="E317" i="1" s="1"/>
  <c r="AB317" i="1"/>
  <c r="AA317" i="1"/>
  <c r="C284" i="13"/>
  <c r="A284" i="13"/>
  <c r="V317" i="1"/>
  <c r="B284" i="13"/>
  <c r="AC317" i="1" l="1"/>
  <c r="J316" i="1"/>
  <c r="M316" i="1"/>
  <c r="H317" i="1"/>
  <c r="G317" i="1"/>
  <c r="O316" i="1"/>
  <c r="P316" i="1"/>
  <c r="K316" i="1"/>
  <c r="L316" i="1"/>
  <c r="F317" i="1"/>
  <c r="I316" i="1"/>
  <c r="V318" i="1"/>
  <c r="B285" i="13"/>
  <c r="C285" i="13"/>
  <c r="A285" i="13"/>
  <c r="A318" i="1"/>
  <c r="AB318" i="1"/>
  <c r="D318" i="1"/>
  <c r="E318" i="1" s="1"/>
  <c r="B319" i="1"/>
  <c r="AA318" i="1"/>
  <c r="X318" i="1"/>
  <c r="C318" i="1"/>
  <c r="Q318" i="1" s="1"/>
  <c r="R318" i="1" s="1"/>
  <c r="S318" i="1" s="1"/>
  <c r="AC318" i="1" l="1"/>
  <c r="H318" i="1"/>
  <c r="G318" i="1"/>
  <c r="F318" i="1"/>
  <c r="L317" i="1"/>
  <c r="J317" i="1"/>
  <c r="O317" i="1"/>
  <c r="P317" i="1"/>
  <c r="T317" i="1"/>
  <c r="I317" i="1"/>
  <c r="M317" i="1"/>
  <c r="U317" i="1"/>
  <c r="N317" i="1"/>
  <c r="K317" i="1"/>
  <c r="AA319" i="1"/>
  <c r="A319" i="1"/>
  <c r="B320" i="1"/>
  <c r="X319" i="1"/>
  <c r="AB319" i="1"/>
  <c r="D319" i="1"/>
  <c r="E319" i="1" s="1"/>
  <c r="C319" i="1"/>
  <c r="Q319" i="1" s="1"/>
  <c r="R319" i="1" s="1"/>
  <c r="S319" i="1" s="1"/>
  <c r="A286" i="13"/>
  <c r="B286" i="13"/>
  <c r="C286" i="13"/>
  <c r="V319" i="1"/>
  <c r="AC319" i="1" l="1"/>
  <c r="F319" i="1"/>
  <c r="H319" i="1"/>
  <c r="G319" i="1"/>
  <c r="O318" i="1"/>
  <c r="T318" i="1"/>
  <c r="U318" i="1"/>
  <c r="K318" i="1"/>
  <c r="M318" i="1"/>
  <c r="P318" i="1"/>
  <c r="J318" i="1"/>
  <c r="N318" i="1"/>
  <c r="L318" i="1"/>
  <c r="I318" i="1"/>
  <c r="X320" i="1"/>
  <c r="D320" i="1"/>
  <c r="E320" i="1" s="1"/>
  <c r="H320" i="1" s="1"/>
  <c r="A320" i="1"/>
  <c r="AA320" i="1"/>
  <c r="B321" i="1"/>
  <c r="AB320" i="1"/>
  <c r="C320" i="1"/>
  <c r="F320" i="1" s="1"/>
  <c r="V320" i="1"/>
  <c r="A287" i="13"/>
  <c r="B287" i="13"/>
  <c r="C287" i="13"/>
  <c r="AC320" i="1" l="1"/>
  <c r="G320" i="1"/>
  <c r="M320" i="1" s="1"/>
  <c r="M319" i="1"/>
  <c r="L319" i="1"/>
  <c r="K319" i="1"/>
  <c r="J319" i="1"/>
  <c r="U319" i="1"/>
  <c r="O319" i="1"/>
  <c r="T319" i="1"/>
  <c r="P319" i="1"/>
  <c r="N319" i="1"/>
  <c r="I319" i="1"/>
  <c r="Q320" i="1"/>
  <c r="R320" i="1" s="1"/>
  <c r="S320" i="1" s="1"/>
  <c r="A288" i="13"/>
  <c r="B288" i="13"/>
  <c r="V321" i="1"/>
  <c r="C288" i="13"/>
  <c r="D321" i="1"/>
  <c r="E321" i="1" s="1"/>
  <c r="A321" i="1"/>
  <c r="B322" i="1"/>
  <c r="C321" i="1"/>
  <c r="F321" i="1" s="1"/>
  <c r="AA321" i="1"/>
  <c r="AB321" i="1"/>
  <c r="X321" i="1"/>
  <c r="AC321" i="1" l="1"/>
  <c r="P320" i="1"/>
  <c r="I320" i="1"/>
  <c r="N320" i="1"/>
  <c r="H321" i="1"/>
  <c r="G321" i="1"/>
  <c r="L320" i="1"/>
  <c r="J320" i="1"/>
  <c r="O320" i="1"/>
  <c r="T320" i="1"/>
  <c r="K320" i="1"/>
  <c r="U320" i="1"/>
  <c r="Q321" i="1"/>
  <c r="R321" i="1" s="1"/>
  <c r="S321" i="1" s="1"/>
  <c r="C289" i="13"/>
  <c r="V322" i="1"/>
  <c r="A289" i="13"/>
  <c r="B289" i="13"/>
  <c r="X322" i="1"/>
  <c r="AB322" i="1"/>
  <c r="A322" i="1"/>
  <c r="C322" i="1"/>
  <c r="F322" i="1" s="1"/>
  <c r="B323" i="1"/>
  <c r="D322" i="1"/>
  <c r="E322" i="1" s="1"/>
  <c r="G322" i="1" s="1"/>
  <c r="AA322" i="1"/>
  <c r="AC322" i="1" s="1"/>
  <c r="N321" i="1" l="1"/>
  <c r="M321" i="1"/>
  <c r="O321" i="1"/>
  <c r="P321" i="1"/>
  <c r="K321" i="1"/>
  <c r="I321" i="1"/>
  <c r="J321" i="1"/>
  <c r="U321" i="1"/>
  <c r="L321" i="1"/>
  <c r="Q322" i="1"/>
  <c r="R322" i="1" s="1"/>
  <c r="S322" i="1" s="1"/>
  <c r="U322" i="1" s="1"/>
  <c r="H322" i="1"/>
  <c r="N322" i="1" s="1"/>
  <c r="T321" i="1"/>
  <c r="B290" i="13"/>
  <c r="V323" i="1"/>
  <c r="C290" i="13"/>
  <c r="A290" i="13"/>
  <c r="X323" i="1"/>
  <c r="AB323" i="1"/>
  <c r="A323" i="1"/>
  <c r="AA323" i="1"/>
  <c r="C323" i="1"/>
  <c r="F323" i="1" s="1"/>
  <c r="D323" i="1"/>
  <c r="E323" i="1" s="1"/>
  <c r="B324" i="1"/>
  <c r="AC323" i="1" l="1"/>
  <c r="H323" i="1"/>
  <c r="G323" i="1"/>
  <c r="P322" i="1"/>
  <c r="O322" i="1"/>
  <c r="L322" i="1"/>
  <c r="K322" i="1"/>
  <c r="Q323" i="1"/>
  <c r="R323" i="1" s="1"/>
  <c r="S323" i="1" s="1"/>
  <c r="M322" i="1"/>
  <c r="T322" i="1"/>
  <c r="I322" i="1"/>
  <c r="J322" i="1"/>
  <c r="V324" i="1"/>
  <c r="C291" i="13"/>
  <c r="A291" i="13"/>
  <c r="B291" i="13"/>
  <c r="C324" i="1"/>
  <c r="F324" i="1" s="1"/>
  <c r="B325" i="1"/>
  <c r="X324" i="1"/>
  <c r="D324" i="1"/>
  <c r="E324" i="1" s="1"/>
  <c r="AB324" i="1"/>
  <c r="AA324" i="1"/>
  <c r="AC324" i="1" s="1"/>
  <c r="A324" i="1"/>
  <c r="Q324" i="1" l="1"/>
  <c r="R324" i="1" s="1"/>
  <c r="S324" i="1" s="1"/>
  <c r="H324" i="1"/>
  <c r="G324" i="1"/>
  <c r="O323" i="1"/>
  <c r="N323" i="1"/>
  <c r="T323" i="1"/>
  <c r="K323" i="1"/>
  <c r="P323" i="1"/>
  <c r="J323" i="1"/>
  <c r="L323" i="1"/>
  <c r="I323" i="1"/>
  <c r="M323" i="1"/>
  <c r="U323" i="1"/>
  <c r="AB325" i="1"/>
  <c r="A325" i="1"/>
  <c r="B326" i="1"/>
  <c r="D325" i="1"/>
  <c r="E325" i="1" s="1"/>
  <c r="X325" i="1"/>
  <c r="AA325" i="1"/>
  <c r="C325" i="1"/>
  <c r="Q325" i="1" s="1"/>
  <c r="R325" i="1" s="1"/>
  <c r="S325" i="1" s="1"/>
  <c r="C292" i="13"/>
  <c r="B292" i="13"/>
  <c r="A292" i="13"/>
  <c r="V325" i="1"/>
  <c r="AC325" i="1" l="1"/>
  <c r="F325" i="1"/>
  <c r="H325" i="1"/>
  <c r="G325" i="1"/>
  <c r="U325" i="1" s="1"/>
  <c r="P324" i="1"/>
  <c r="T324" i="1"/>
  <c r="U324" i="1"/>
  <c r="K324" i="1"/>
  <c r="J324" i="1"/>
  <c r="N324" i="1"/>
  <c r="L324" i="1"/>
  <c r="O324" i="1"/>
  <c r="I324" i="1"/>
  <c r="M324" i="1"/>
  <c r="A293" i="13"/>
  <c r="C293" i="13"/>
  <c r="V326" i="1"/>
  <c r="B293" i="13"/>
  <c r="AA326" i="1"/>
  <c r="X326" i="1"/>
  <c r="B327" i="1"/>
  <c r="A326" i="1"/>
  <c r="C326" i="1"/>
  <c r="Q326" i="1" s="1"/>
  <c r="R326" i="1" s="1"/>
  <c r="S326" i="1" s="1"/>
  <c r="D326" i="1"/>
  <c r="E326" i="1" s="1"/>
  <c r="H326" i="1" s="1"/>
  <c r="AB326" i="1"/>
  <c r="AC326" i="1" l="1"/>
  <c r="O325" i="1"/>
  <c r="T325" i="1"/>
  <c r="P325" i="1"/>
  <c r="I325" i="1"/>
  <c r="K325" i="1"/>
  <c r="M325" i="1"/>
  <c r="G326" i="1"/>
  <c r="N326" i="1" s="1"/>
  <c r="L325" i="1"/>
  <c r="N325" i="1"/>
  <c r="J325" i="1"/>
  <c r="F326" i="1"/>
  <c r="C294" i="13"/>
  <c r="B294" i="13"/>
  <c r="V327" i="1"/>
  <c r="A294" i="13"/>
  <c r="AB327" i="1"/>
  <c r="X327" i="1"/>
  <c r="C327" i="1"/>
  <c r="Q327" i="1" s="1"/>
  <c r="R327" i="1" s="1"/>
  <c r="S327" i="1" s="1"/>
  <c r="D327" i="1"/>
  <c r="E327" i="1" s="1"/>
  <c r="A327" i="1"/>
  <c r="B328" i="1"/>
  <c r="AA327" i="1"/>
  <c r="AC327" i="1" s="1"/>
  <c r="U326" i="1" l="1"/>
  <c r="I326" i="1"/>
  <c r="P326" i="1"/>
  <c r="T326" i="1"/>
  <c r="M326" i="1"/>
  <c r="O326" i="1"/>
  <c r="L326" i="1"/>
  <c r="J326" i="1"/>
  <c r="K326" i="1"/>
  <c r="F327" i="1"/>
  <c r="G327" i="1"/>
  <c r="H327" i="1"/>
  <c r="A295" i="13"/>
  <c r="B295" i="13"/>
  <c r="C295" i="13"/>
  <c r="V328" i="1"/>
  <c r="C328" i="1"/>
  <c r="Q328" i="1" s="1"/>
  <c r="R328" i="1" s="1"/>
  <c r="S328" i="1" s="1"/>
  <c r="A328" i="1"/>
  <c r="D328" i="1"/>
  <c r="E328" i="1" s="1"/>
  <c r="AB328" i="1"/>
  <c r="X328" i="1"/>
  <c r="B329" i="1"/>
  <c r="AA328" i="1"/>
  <c r="AC328" i="1" s="1"/>
  <c r="F328" i="1" l="1"/>
  <c r="H328" i="1"/>
  <c r="G328" i="1"/>
  <c r="P327" i="1"/>
  <c r="O327" i="1"/>
  <c r="N327" i="1"/>
  <c r="L327" i="1"/>
  <c r="I327" i="1"/>
  <c r="K327" i="1"/>
  <c r="M327" i="1"/>
  <c r="J327" i="1"/>
  <c r="T327" i="1"/>
  <c r="U327" i="1"/>
  <c r="AB329" i="1"/>
  <c r="X329" i="1"/>
  <c r="B330" i="1"/>
  <c r="A329" i="1"/>
  <c r="C329" i="1"/>
  <c r="Q329" i="1" s="1"/>
  <c r="R329" i="1" s="1"/>
  <c r="S329" i="1" s="1"/>
  <c r="D329" i="1"/>
  <c r="E329" i="1" s="1"/>
  <c r="G329" i="1" s="1"/>
  <c r="AA329" i="1"/>
  <c r="V329" i="1"/>
  <c r="A296" i="13"/>
  <c r="C296" i="13"/>
  <c r="B296" i="13"/>
  <c r="AC329" i="1" l="1"/>
  <c r="T329" i="1"/>
  <c r="U329" i="1"/>
  <c r="H329" i="1"/>
  <c r="K329" i="1" s="1"/>
  <c r="F329" i="1"/>
  <c r="O328" i="1"/>
  <c r="U328" i="1"/>
  <c r="K328" i="1"/>
  <c r="T328" i="1"/>
  <c r="M328" i="1"/>
  <c r="I328" i="1"/>
  <c r="J328" i="1"/>
  <c r="L328" i="1"/>
  <c r="N328" i="1"/>
  <c r="P328" i="1"/>
  <c r="B297" i="13"/>
  <c r="V330" i="1"/>
  <c r="C297" i="13"/>
  <c r="A297" i="13"/>
  <c r="AB330" i="1"/>
  <c r="X330" i="1"/>
  <c r="A330" i="1"/>
  <c r="AA330" i="1"/>
  <c r="AC330" i="1" s="1"/>
  <c r="D330" i="1"/>
  <c r="E330" i="1" s="1"/>
  <c r="B331" i="1"/>
  <c r="C330" i="1"/>
  <c r="F330" i="1" s="1"/>
  <c r="H330" i="1" l="1"/>
  <c r="G330" i="1"/>
  <c r="I329" i="1"/>
  <c r="J329" i="1"/>
  <c r="N329" i="1"/>
  <c r="O329" i="1"/>
  <c r="Q330" i="1"/>
  <c r="R330" i="1" s="1"/>
  <c r="S330" i="1" s="1"/>
  <c r="P329" i="1"/>
  <c r="M329" i="1"/>
  <c r="L329" i="1"/>
  <c r="D331" i="1"/>
  <c r="E331" i="1" s="1"/>
  <c r="A331" i="1"/>
  <c r="AA331" i="1"/>
  <c r="X331" i="1"/>
  <c r="B332" i="1"/>
  <c r="C331" i="1"/>
  <c r="F331" i="1" s="1"/>
  <c r="AB331" i="1"/>
  <c r="B298" i="13"/>
  <c r="V331" i="1"/>
  <c r="A298" i="13"/>
  <c r="C298" i="13"/>
  <c r="AC331" i="1" l="1"/>
  <c r="Q331" i="1"/>
  <c r="R331" i="1" s="1"/>
  <c r="S331" i="1" s="1"/>
  <c r="H331" i="1"/>
  <c r="G331" i="1"/>
  <c r="M330" i="1"/>
  <c r="O330" i="1"/>
  <c r="J330" i="1"/>
  <c r="L330" i="1"/>
  <c r="P330" i="1"/>
  <c r="U330" i="1"/>
  <c r="N330" i="1"/>
  <c r="K330" i="1"/>
  <c r="I330" i="1"/>
  <c r="T330" i="1"/>
  <c r="A299" i="13"/>
  <c r="B299" i="13"/>
  <c r="C299" i="13"/>
  <c r="V332" i="1"/>
  <c r="AB332" i="1"/>
  <c r="A332" i="1"/>
  <c r="C332" i="1"/>
  <c r="Q332" i="1" s="1"/>
  <c r="R332" i="1" s="1"/>
  <c r="S332" i="1" s="1"/>
  <c r="B333" i="1"/>
  <c r="D332" i="1"/>
  <c r="E332" i="1" s="1"/>
  <c r="AA332" i="1"/>
  <c r="AC332" i="1" s="1"/>
  <c r="X332" i="1"/>
  <c r="H332" i="1" l="1"/>
  <c r="G332" i="1"/>
  <c r="T331" i="1"/>
  <c r="O331" i="1"/>
  <c r="L331" i="1"/>
  <c r="K331" i="1"/>
  <c r="N331" i="1"/>
  <c r="P331" i="1"/>
  <c r="U331" i="1"/>
  <c r="I331" i="1"/>
  <c r="J331" i="1"/>
  <c r="M331" i="1"/>
  <c r="F332" i="1"/>
  <c r="B300" i="13"/>
  <c r="V333" i="1"/>
  <c r="A300" i="13"/>
  <c r="C300" i="13"/>
  <c r="AA333" i="1"/>
  <c r="X333" i="1"/>
  <c r="A333" i="1"/>
  <c r="B334" i="1"/>
  <c r="C333" i="1"/>
  <c r="F333" i="1" s="1"/>
  <c r="D333" i="1"/>
  <c r="E333" i="1" s="1"/>
  <c r="H333" i="1" s="1"/>
  <c r="AB333" i="1"/>
  <c r="AC333" i="1" l="1"/>
  <c r="Q333" i="1"/>
  <c r="R333" i="1" s="1"/>
  <c r="S333" i="1" s="1"/>
  <c r="G333" i="1"/>
  <c r="U332" i="1"/>
  <c r="N332" i="1"/>
  <c r="P332" i="1"/>
  <c r="O332" i="1"/>
  <c r="T332" i="1"/>
  <c r="L332" i="1"/>
  <c r="I332" i="1"/>
  <c r="J332" i="1"/>
  <c r="K332" i="1"/>
  <c r="M332" i="1"/>
  <c r="A301" i="13"/>
  <c r="C301" i="13"/>
  <c r="V334" i="1"/>
  <c r="B301" i="13"/>
  <c r="AB334" i="1"/>
  <c r="A334" i="1"/>
  <c r="B335" i="1"/>
  <c r="G338" i="1" s="1"/>
  <c r="AA334" i="1"/>
  <c r="C334" i="1"/>
  <c r="Q334" i="1" s="1"/>
  <c r="R334" i="1" s="1"/>
  <c r="S334" i="1" s="1"/>
  <c r="X334" i="1"/>
  <c r="D334" i="1"/>
  <c r="E334" i="1" s="1"/>
  <c r="T338" i="1"/>
  <c r="AC334" i="1" l="1"/>
  <c r="F334" i="1"/>
  <c r="G334" i="1"/>
  <c r="H334" i="1"/>
  <c r="O333" i="1"/>
  <c r="M333" i="1"/>
  <c r="J333" i="1"/>
  <c r="K333" i="1"/>
  <c r="T333" i="1"/>
  <c r="I333" i="1"/>
  <c r="P333" i="1"/>
  <c r="N333" i="1"/>
  <c r="L333" i="1"/>
  <c r="U333" i="1"/>
  <c r="AA335" i="1"/>
  <c r="C335" i="1"/>
  <c r="Q335" i="1" s="1"/>
  <c r="R335" i="1" s="1"/>
  <c r="S335" i="1" s="1"/>
  <c r="A335" i="1"/>
  <c r="AB335" i="1"/>
  <c r="D335" i="1"/>
  <c r="E335" i="1" s="1"/>
  <c r="AC335" i="1"/>
  <c r="C30" i="1" s="1"/>
  <c r="D27" i="6" s="1"/>
  <c r="X335" i="1"/>
  <c r="E338" i="1"/>
  <c r="U339" i="1"/>
  <c r="D338" i="1"/>
  <c r="D340" i="1"/>
  <c r="A302" i="13"/>
  <c r="V335" i="1"/>
  <c r="C302" i="13"/>
  <c r="B302" i="13"/>
  <c r="T339" i="1"/>
  <c r="G339" i="1"/>
  <c r="U338" i="1"/>
  <c r="C18" i="1" l="1"/>
  <c r="C14" i="1"/>
  <c r="C15" i="1" s="1"/>
  <c r="H335" i="1"/>
  <c r="G335" i="1"/>
  <c r="F335" i="1"/>
  <c r="U334" i="1"/>
  <c r="N334" i="1"/>
  <c r="J334" i="1"/>
  <c r="I334" i="1"/>
  <c r="P334" i="1"/>
  <c r="M334" i="1"/>
  <c r="K334" i="1"/>
  <c r="L334" i="1"/>
  <c r="O334" i="1"/>
  <c r="T334" i="1"/>
  <c r="A303" i="13"/>
  <c r="C303" i="13"/>
  <c r="B303" i="13"/>
  <c r="U335" i="1" l="1"/>
  <c r="P335" i="1"/>
  <c r="M335" i="1"/>
  <c r="K335" i="1"/>
  <c r="I335" i="1"/>
  <c r="T335" i="1"/>
  <c r="N335" i="1"/>
  <c r="L335" i="1"/>
  <c r="O335" i="1"/>
  <c r="J33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david.wang</author>
  </authors>
  <commentList>
    <comment ref="C1" authorId="0" shapeId="0" xr:uid="{00000000-0006-0000-0100-000001000000}">
      <text>
        <r>
          <rPr>
            <sz val="8"/>
            <color indexed="81"/>
            <rFont val="Tahoma"/>
            <family val="2"/>
          </rPr>
          <t xml:space="preserve">
Maximum Wall Loss = Original Thickness - Minimum Remaiing Thickness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Registered User</author>
  </authors>
  <commentList>
    <comment ref="C6" authorId="0" shapeId="0" xr:uid="{00000000-0006-0000-0200-000001000000}">
      <text>
        <r>
          <rPr>
            <b/>
            <sz val="8"/>
            <color indexed="81"/>
            <rFont val="Tahoma"/>
            <family val="2"/>
          </rPr>
          <t>Return priod = ratio of the size of total population to the size of a single sample.  In this case, one tube is one sample.    Therefore, the return period = N/1 = N</t>
        </r>
      </text>
    </comment>
  </commentList>
</comments>
</file>

<file path=xl/sharedStrings.xml><?xml version="1.0" encoding="utf-8"?>
<sst xmlns="http://schemas.openxmlformats.org/spreadsheetml/2006/main" count="154" uniqueCount="142">
  <si>
    <t>N =</t>
  </si>
  <si>
    <t>Rank: i</t>
  </si>
  <si>
    <t>Reduced Variate:      y=-ln(-ln(P))</t>
  </si>
  <si>
    <t>delta_mom =</t>
  </si>
  <si>
    <t>lambda_mom =</t>
  </si>
  <si>
    <t>Location parameter delta determined from Moment Method</t>
  </si>
  <si>
    <t>Scale parameter lambda determined from Moment Method</t>
  </si>
  <si>
    <t>Cumulative Probability: P=i/(N+1)</t>
  </si>
  <si>
    <t>delta_ML =</t>
  </si>
  <si>
    <t>lambda_ML =</t>
  </si>
  <si>
    <t>Sum of ln(f) =</t>
  </si>
  <si>
    <t>95% CI Lower Bound</t>
  </si>
  <si>
    <t>95% CI Upper Bound</t>
  </si>
  <si>
    <t>ln(Probability Density): ln(f(max wall loss, delta, lambda))</t>
  </si>
  <si>
    <t>Standard error for any max wall loss based on ML method</t>
  </si>
  <si>
    <t>EVA max wall loss =</t>
  </si>
  <si>
    <t>EVA probability =</t>
  </si>
  <si>
    <t>EVA reduced variate =</t>
  </si>
  <si>
    <t>Reduced variate corresponding to the above probability</t>
  </si>
  <si>
    <t>EVA standard error =</t>
  </si>
  <si>
    <t>Cumulative Distribution: F(max wall loss, delta, lambda)</t>
  </si>
  <si>
    <t>Probability in % corresponding to the above return period</t>
  </si>
  <si>
    <t>Reduced Variate:      y=-ln(-ln(F))</t>
  </si>
  <si>
    <t>Standard Error</t>
  </si>
  <si>
    <t xml:space="preserve"> 95% CI</t>
  </si>
  <si>
    <t>EVA predicted point on plot</t>
  </si>
  <si>
    <t>Cumulative Probability Plot</t>
  </si>
  <si>
    <t>Rank</t>
  </si>
  <si>
    <t>Equipment =</t>
  </si>
  <si>
    <t>Number of tubes inspected</t>
  </si>
  <si>
    <t>Use "Solver" in "Tools" to maximize the Sum of ln(f) value by changing delta_ML and lambda_ML values.</t>
  </si>
  <si>
    <t>How to use this program:</t>
  </si>
  <si>
    <t>t_80% =</t>
  </si>
  <si>
    <t>t_90% =</t>
  </si>
  <si>
    <t>t_95% =</t>
  </si>
  <si>
    <t>t_99% =</t>
  </si>
  <si>
    <t>n =</t>
  </si>
  <si>
    <t>Student's t value for EVA of inspection data from n tubes at 80% confidence level</t>
  </si>
  <si>
    <t>Student's t value for EVA of inspection data from n tubes at 90% confidence level</t>
  </si>
  <si>
    <t>Student's t value for EVA of inspection data from n tubes at 95% confidence level</t>
  </si>
  <si>
    <t>Student's t value for EVA of inspection data from n tubes at 100% confidence level</t>
  </si>
  <si>
    <t>80% Confidence =</t>
  </si>
  <si>
    <t>90% Confidence =</t>
  </si>
  <si>
    <t>95% Confidence =</t>
  </si>
  <si>
    <t>99% Confidence =</t>
  </si>
  <si>
    <t>Total number of tubes in the heat exchanger</t>
  </si>
  <si>
    <t>EVA Minimum Thickness =</t>
  </si>
  <si>
    <t xml:space="preserve">Max Wall Loss </t>
  </si>
  <si>
    <t>#</t>
  </si>
  <si>
    <t>Probability Density Function (PDF), f</t>
  </si>
  <si>
    <t>Cumulative Distribution Function (CDF), F</t>
  </si>
  <si>
    <t>Minimum Remaining Thickness</t>
  </si>
  <si>
    <t>Do not erase!</t>
  </si>
  <si>
    <t>Input Thickness Data into red boxes at left. Input in any order (note that program will sort in descending order).</t>
  </si>
  <si>
    <t>Use in formulas</t>
  </si>
  <si>
    <t>Formula Criteria</t>
  </si>
  <si>
    <r>
      <t xml:space="preserve">NOTE: </t>
    </r>
    <r>
      <rPr>
        <b/>
        <sz val="12"/>
        <color indexed="10"/>
        <rFont val="Arial"/>
        <family val="2"/>
      </rPr>
      <t>Input data are shown in red.</t>
    </r>
    <r>
      <rPr>
        <b/>
        <sz val="12"/>
        <color indexed="12"/>
        <rFont val="Arial"/>
        <family val="2"/>
      </rPr>
      <t xml:space="preserve">  Calculated results are shown in blue.  </t>
    </r>
    <r>
      <rPr>
        <sz val="12"/>
        <color indexed="20"/>
        <rFont val="Arial"/>
        <family val="2"/>
      </rPr>
      <t/>
    </r>
  </si>
  <si>
    <t>Calculation Area.  Do not modify this sheet.</t>
  </si>
  <si>
    <t xml:space="preserve"> </t>
  </si>
  <si>
    <r>
      <t xml:space="preserve">Enter all information requested in </t>
    </r>
    <r>
      <rPr>
        <b/>
        <sz val="12"/>
        <color indexed="10"/>
        <rFont val="Arial"/>
        <family val="2"/>
      </rPr>
      <t>red</t>
    </r>
    <r>
      <rPr>
        <b/>
        <sz val="12"/>
        <rFont val="Arial"/>
        <family val="2"/>
      </rPr>
      <t xml:space="preserve"> on the "Main" sheet</t>
    </r>
  </si>
  <si>
    <t>Beginning in cell B2, enter measured thicknesses in column B.  Note that readings can be entered in any order.  As part of the calculation, the readings will be automatically re-ordered in descending order.</t>
  </si>
  <si>
    <t>General Instructions</t>
  </si>
  <si>
    <t>Click on the "Calculate Button"</t>
  </si>
  <si>
    <t>Solver Additions</t>
  </si>
  <si>
    <t>Click through the menu items Tools - Add-ins.  Choose "Solver Add-in" and then click OK.</t>
  </si>
  <si>
    <t>Click through the menu items Tools - Macro - Visual Basic Editor</t>
  </si>
  <si>
    <t>Click through the menu items Tools - References.  Choose Solver and then click OK.</t>
  </si>
  <si>
    <t>Note:  This following should be a one-time procedure per user per computer.  Once performed, these steps should not need to be repeated.  However, logging on to a different computer may necessitate repeating these steps.  Receipt of a Visual Basic error is indicative that these steps need to be performed.</t>
  </si>
  <si>
    <t>Equipment Name/Number (Optional)</t>
  </si>
  <si>
    <t xml:space="preserve">Total Number of Tubes </t>
  </si>
  <si>
    <t>Note: This spreadsheet is best viewed with a minimum screen resolution of 1024x768.</t>
  </si>
  <si>
    <t>Now you're all set.</t>
  </si>
  <si>
    <t xml:space="preserve">First time users please read:  </t>
  </si>
  <si>
    <t>This spreadsheet utilizes VBA macros.  In order for these macros to work correctly, the "Solver Add-in" and the "Solver Reference" must be activated.  Some folks already have them activated and and some folks don't.  If you're not sure if these are activated on your computer, go to the main sheet and input two values (inputting just one won't work) and then click the calculate button.  If you get an answer, although it will be meaningless, you'll know the Add-in and Reference are both installed correctly.  However, if you get the following error, please click on the "Add-in" tab and follow the directions located in that sheet.</t>
  </si>
  <si>
    <t>Row C Plot</t>
  </si>
  <si>
    <t>Row E Plot</t>
  </si>
  <si>
    <t>Row D Plot</t>
  </si>
  <si>
    <t>80% CI Lower Bound</t>
  </si>
  <si>
    <t>80% CI Upper Bound</t>
  </si>
  <si>
    <t>90% CI Lower Bound</t>
  </si>
  <si>
    <t>90% CI Upper Bound</t>
  </si>
  <si>
    <t>99% CI Lower Bound</t>
  </si>
  <si>
    <t>99% CI Upper Bound</t>
  </si>
  <si>
    <t>Confidence Interval</t>
  </si>
  <si>
    <t>Corrosion Rate</t>
  </si>
  <si>
    <t>A</t>
  </si>
  <si>
    <t>B</t>
  </si>
  <si>
    <t>C</t>
  </si>
  <si>
    <t>D</t>
  </si>
  <si>
    <t>RBI Effectiveness</t>
  </si>
  <si>
    <t>Service Start Date</t>
  </si>
  <si>
    <t>Inspection Date</t>
  </si>
  <si>
    <r>
      <t xml:space="preserve">NOTE: </t>
    </r>
    <r>
      <rPr>
        <sz val="16"/>
        <color indexed="10"/>
        <rFont val="Arial"/>
        <family val="2"/>
      </rPr>
      <t xml:space="preserve"> Input data are shown in red.</t>
    </r>
    <r>
      <rPr>
        <sz val="16"/>
        <rFont val="Arial"/>
        <family val="2"/>
      </rPr>
      <t xml:space="preserve">  </t>
    </r>
    <r>
      <rPr>
        <sz val="16"/>
        <color indexed="12"/>
        <rFont val="Arial"/>
        <family val="2"/>
      </rPr>
      <t>Calculated results are shown in blue.</t>
    </r>
    <r>
      <rPr>
        <sz val="16"/>
        <rFont val="Arial"/>
        <family val="2"/>
      </rPr>
      <t xml:space="preserve">  </t>
    </r>
  </si>
  <si>
    <t>Number of Tubes Inspected</t>
  </si>
  <si>
    <t>Original Thickness</t>
  </si>
  <si>
    <t>Minimum Required Thickness</t>
  </si>
  <si>
    <t>End of Life</t>
  </si>
  <si>
    <t>Solver Additions - for Office 2007</t>
  </si>
  <si>
    <t>Click through the menu items Tools - References.  Uncheck "MISSING: SOLVER.XLA". Click "Browse…" and locate the correct version of library for solver through "C:\Program Files\Microsoft Office\Office12\Library\Solver". Select ".XLSM, .XLAM" as the Files of Type, and select "Solver.xlam". Click Open.  Click on arrow to move the priority of SOLVER reference over "MISSING: wizard15 1.0 Type Library" and other missing references. Finally, click "OK".</t>
  </si>
  <si>
    <t>Click the Office Button\Excel Options\Add-Ins\Solver Add-in\Go….  In the pop-up dialog box, check "Solver Add-in", then click on "OK".</t>
  </si>
  <si>
    <t>Open Visual Basic Editor. For example, click View\Macro\View Macros. In the pop-up dialog box, select "Run" and then click "Edit".</t>
  </si>
  <si>
    <t>Location parameter delta determined from Max Likelihood Method (maximizing sum of ln(f)) - Use delta_mom value as the initial value.</t>
  </si>
  <si>
    <t>Scale parameter lambda determined from Max Likelihood Method (maximizing sum of ln(f)) - Use lambda_mom value as the initial value.</t>
  </si>
  <si>
    <t>(2i-1)*(A+B)</t>
  </si>
  <si>
    <t>Anderson-Darling Fit=</t>
  </si>
  <si>
    <t>AD: Sample AVG=</t>
  </si>
  <si>
    <t>AD: Sample STDEV=</t>
  </si>
  <si>
    <t>Sample average generated for Anderson-Darling fit test</t>
  </si>
  <si>
    <t>Sample standard deviation generated for Anderson-Darling fit test</t>
  </si>
  <si>
    <t>Anderson-Darling Goodness of Fit Testing Parameters</t>
  </si>
  <si>
    <t/>
  </si>
  <si>
    <t>x</t>
  </si>
  <si>
    <t>Dist. Calc</t>
  </si>
  <si>
    <r>
      <t>F</t>
    </r>
    <r>
      <rPr>
        <vertAlign val="subscript"/>
        <sz val="11"/>
        <rFont val="Calibri"/>
        <family val="2"/>
      </rPr>
      <t>X</t>
    </r>
    <r>
      <rPr>
        <sz val="10"/>
        <rFont val="Arial"/>
        <family val="2"/>
      </rPr>
      <t>(x</t>
    </r>
    <r>
      <rPr>
        <vertAlign val="subscript"/>
        <sz val="11"/>
        <rFont val="Calibri"/>
        <family val="2"/>
      </rPr>
      <t>n+1-i</t>
    </r>
    <r>
      <rPr>
        <sz val="10"/>
        <rFont val="Arial"/>
        <family val="2"/>
      </rPr>
      <t>)</t>
    </r>
  </si>
  <si>
    <r>
      <t>F</t>
    </r>
    <r>
      <rPr>
        <vertAlign val="subscript"/>
        <sz val="11"/>
        <rFont val="Calibri"/>
        <family val="2"/>
      </rPr>
      <t>X</t>
    </r>
    <r>
      <rPr>
        <sz val="10"/>
        <rFont val="Arial"/>
        <family val="2"/>
      </rPr>
      <t>(x</t>
    </r>
    <r>
      <rPr>
        <vertAlign val="subscript"/>
        <sz val="11"/>
        <rFont val="Calibri"/>
        <family val="2"/>
      </rPr>
      <t>i</t>
    </r>
    <r>
      <rPr>
        <sz val="10"/>
        <rFont val="Arial"/>
        <family val="2"/>
      </rPr>
      <t>)</t>
    </r>
  </si>
  <si>
    <r>
      <t>ln[F</t>
    </r>
    <r>
      <rPr>
        <vertAlign val="subscript"/>
        <sz val="11"/>
        <rFont val="Calibri"/>
        <family val="2"/>
      </rPr>
      <t>X</t>
    </r>
    <r>
      <rPr>
        <sz val="10"/>
        <rFont val="Arial"/>
        <family val="2"/>
      </rPr>
      <t>(x</t>
    </r>
    <r>
      <rPr>
        <vertAlign val="subscript"/>
        <sz val="11"/>
        <rFont val="Calibri"/>
        <family val="2"/>
      </rPr>
      <t>i</t>
    </r>
    <r>
      <rPr>
        <sz val="10"/>
        <rFont val="Arial"/>
        <family val="2"/>
      </rPr>
      <t>)]</t>
    </r>
  </si>
  <si>
    <r>
      <t>ln[1-F</t>
    </r>
    <r>
      <rPr>
        <vertAlign val="subscript"/>
        <sz val="11"/>
        <rFont val="Calibri"/>
        <family val="2"/>
      </rPr>
      <t>X</t>
    </r>
    <r>
      <rPr>
        <sz val="10"/>
        <rFont val="Arial"/>
        <family val="2"/>
      </rPr>
      <t>(x</t>
    </r>
    <r>
      <rPr>
        <vertAlign val="subscript"/>
        <sz val="11"/>
        <rFont val="Calibri"/>
        <family val="2"/>
      </rPr>
      <t>n+1-i</t>
    </r>
    <r>
      <rPr>
        <sz val="10"/>
        <rFont val="Arial"/>
        <family val="2"/>
      </rPr>
      <t>)]</t>
    </r>
  </si>
  <si>
    <r>
      <t xml:space="preserve">Anderson-Darling fit test result.  Should be less than 0.757 for a significance level of </t>
    </r>
    <r>
      <rPr>
        <b/>
        <sz val="10"/>
        <rFont val="Calibri"/>
        <family val="2"/>
      </rPr>
      <t>α</t>
    </r>
    <r>
      <rPr>
        <b/>
        <sz val="10"/>
        <rFont val="Arial"/>
        <family val="2"/>
      </rPr>
      <t>=0.05</t>
    </r>
  </si>
  <si>
    <t>lambda_AD</t>
  </si>
  <si>
    <t>delta_AD</t>
  </si>
  <si>
    <t>Location Parameter for Gumbel for Anderson-Darling fit test</t>
  </si>
  <si>
    <t>Scale Parameter for Gumbel for Anderson-Darling Fit test</t>
  </si>
  <si>
    <t>Minimum Remaining Thickness (mm)</t>
  </si>
  <si>
    <t>(mm)</t>
  </si>
  <si>
    <t>mm</t>
  </si>
  <si>
    <t>(mmpy)</t>
  </si>
  <si>
    <t>Thickness (in mm) At Service Start Date</t>
  </si>
  <si>
    <t>Maximum Wall Loss (mm)</t>
  </si>
  <si>
    <t>Standard error of the EVA estimate (a function of n and N), mm</t>
  </si>
  <si>
    <t>EVA best estimate of the minimum remaining thickness of all the tubes in the bundle, mm</t>
  </si>
  <si>
    <t>EVA 80% Confidence Interval Lower Bound Value, mm</t>
  </si>
  <si>
    <t>EVA 90% Confidence Interval Lower Bound Value, mm</t>
  </si>
  <si>
    <t>EVA 95% Confidence Interval Lower Bound Value, mm</t>
  </si>
  <si>
    <t>EVA 99% Confidence Interval Lower Bound Value, mm</t>
  </si>
  <si>
    <t>Max wall loss in each set of measurement (mm)</t>
  </si>
  <si>
    <t>Best-fit max wall loss (mm): delta_ML*y+lambda_ML</t>
  </si>
  <si>
    <t>EVA best estimate of the maximum wall loss of all the tubes in the bundle, mm</t>
  </si>
  <si>
    <r>
      <t xml:space="preserve">(RBI - </t>
    </r>
    <r>
      <rPr>
        <b/>
        <sz val="10"/>
        <color indexed="12"/>
        <rFont val="Arial"/>
        <family val="2"/>
      </rPr>
      <t>A</t>
    </r>
    <r>
      <rPr>
        <sz val="10"/>
        <color indexed="12"/>
        <rFont val="Arial"/>
        <family val="2"/>
      </rPr>
      <t xml:space="preserve"> - Insp. Eff.) EVA 99% Confidence Interval Lower Bound Value, mm</t>
    </r>
  </si>
  <si>
    <r>
      <t xml:space="preserve">(RBI - </t>
    </r>
    <r>
      <rPr>
        <b/>
        <sz val="10"/>
        <color indexed="12"/>
        <rFont val="Arial"/>
        <family val="2"/>
      </rPr>
      <t>B</t>
    </r>
    <r>
      <rPr>
        <sz val="10"/>
        <color indexed="12"/>
        <rFont val="Arial"/>
        <family val="2"/>
      </rPr>
      <t xml:space="preserve"> - Insp. Eff.) EVA 95% Confidence Interval Lower Bound Value, mm</t>
    </r>
  </si>
  <si>
    <r>
      <t xml:space="preserve">(RBI - </t>
    </r>
    <r>
      <rPr>
        <b/>
        <sz val="10"/>
        <color indexed="12"/>
        <rFont val="Arial"/>
        <family val="2"/>
      </rPr>
      <t>C</t>
    </r>
    <r>
      <rPr>
        <sz val="10"/>
        <color indexed="12"/>
        <rFont val="Arial"/>
        <family val="2"/>
      </rPr>
      <t xml:space="preserve"> - Insp. Eff.) EVA 90% Confidence Interval Lower Bound Value, mm</t>
    </r>
  </si>
  <si>
    <r>
      <t xml:space="preserve">(RBI - </t>
    </r>
    <r>
      <rPr>
        <b/>
        <sz val="10"/>
        <color indexed="12"/>
        <rFont val="Arial"/>
        <family val="2"/>
      </rPr>
      <t>D</t>
    </r>
    <r>
      <rPr>
        <sz val="10"/>
        <color indexed="12"/>
        <rFont val="Arial"/>
        <family val="2"/>
      </rPr>
      <t xml:space="preserve"> - Insp. Eff.) EVA 80% Confidence Interval Lower Bound Value, mm</t>
    </r>
  </si>
  <si>
    <t>2E-3021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</si>
</sst>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64" formatCode="0.000"/>
    <numFmt numFmtId="165" formatCode="mmmm\ d\,\ yyyy"/>
    <numFmt numFmtId="166" formatCode="mm/dd/yy;@"/>
    <numFmt numFmtId="167" formatCode="&quot;80% Confidence Thickness =&quot;\ 0.000"/>
    <numFmt numFmtId="168" formatCode="&quot;90% Confidence Thickness =&quot;\ 0.000"/>
    <numFmt numFmtId="169" formatCode="&quot;95% Confidence Thickness =&quot;\ 0.000"/>
    <numFmt numFmtId="170" formatCode="&quot;Number of tubes measured = &quot;0\ &quot;    &quot;"/>
    <numFmt numFmtId="171" formatCode="&quot;99% Confidence Thickness =&quot;\ 0.000"/>
    <numFmt numFmtId="172" formatCode="mm/dd/yy"/>
    <numFmt numFmtId="173" formatCode="m/d/yy"/>
    <numFmt numFmtId="174" formatCode="#,##0.00;[Red]#,##0.00"/>
  </numFmts>
  <fonts count="35" x14ac:knownFonts="1">
    <font>
      <sz val="10"/>
      <name val="Arial"/>
    </font>
    <font>
      <sz val="10"/>
      <color indexed="8"/>
      <name val="Arial"/>
      <family val="2"/>
    </font>
    <font>
      <b/>
      <sz val="8"/>
      <color indexed="81"/>
      <name val="Tahoma"/>
      <family val="2"/>
    </font>
    <font>
      <b/>
      <sz val="10"/>
      <name val="Arial"/>
      <family val="2"/>
    </font>
    <font>
      <sz val="10"/>
      <color indexed="12"/>
      <name val="Arial"/>
      <family val="2"/>
    </font>
    <font>
      <b/>
      <sz val="10"/>
      <color indexed="8"/>
      <name val="Arial"/>
      <family val="2"/>
    </font>
    <font>
      <sz val="10"/>
      <name val="Arial"/>
      <family val="2"/>
    </font>
    <font>
      <sz val="12"/>
      <color indexed="8"/>
      <name val="Arial"/>
      <family val="2"/>
    </font>
    <font>
      <sz val="12"/>
      <color indexed="20"/>
      <name val="Arial"/>
      <family val="2"/>
    </font>
    <font>
      <b/>
      <sz val="10"/>
      <color indexed="12"/>
      <name val="Arial"/>
      <family val="2"/>
    </font>
    <font>
      <sz val="10"/>
      <color indexed="46"/>
      <name val="Arial"/>
      <family val="2"/>
    </font>
    <font>
      <b/>
      <sz val="12"/>
      <name val="Arial"/>
      <family val="2"/>
    </font>
    <font>
      <sz val="12"/>
      <name val="Arial"/>
      <family val="2"/>
    </font>
    <font>
      <b/>
      <sz val="12"/>
      <color indexed="8"/>
      <name val="Arial"/>
      <family val="2"/>
    </font>
    <font>
      <sz val="10"/>
      <color indexed="10"/>
      <name val="Arial"/>
      <family val="2"/>
    </font>
    <font>
      <sz val="8"/>
      <color indexed="81"/>
      <name val="Tahoma"/>
      <family val="2"/>
    </font>
    <font>
      <b/>
      <sz val="12"/>
      <color indexed="10"/>
      <name val="Arial"/>
      <family val="2"/>
    </font>
    <font>
      <b/>
      <sz val="12"/>
      <color indexed="12"/>
      <name val="Arial"/>
      <family val="2"/>
    </font>
    <font>
      <b/>
      <sz val="22"/>
      <color indexed="8"/>
      <name val="Arial"/>
      <family val="2"/>
    </font>
    <font>
      <b/>
      <sz val="22"/>
      <name val="Arial"/>
      <family val="2"/>
    </font>
    <font>
      <sz val="10"/>
      <color indexed="9"/>
      <name val="Arial"/>
      <family val="2"/>
    </font>
    <font>
      <b/>
      <u/>
      <sz val="16"/>
      <color indexed="12"/>
      <name val="Arial"/>
      <family val="2"/>
    </font>
    <font>
      <b/>
      <sz val="16"/>
      <color indexed="10"/>
      <name val="Arial"/>
      <family val="2"/>
    </font>
    <font>
      <b/>
      <i/>
      <u/>
      <sz val="14"/>
      <color indexed="10"/>
      <name val="Arial"/>
      <family val="2"/>
    </font>
    <font>
      <b/>
      <u/>
      <sz val="20"/>
      <color indexed="12"/>
      <name val="Arial"/>
      <family val="2"/>
    </font>
    <font>
      <b/>
      <i/>
      <u/>
      <sz val="16"/>
      <color indexed="10"/>
      <name val="Arial"/>
      <family val="2"/>
    </font>
    <font>
      <sz val="10"/>
      <color indexed="10"/>
      <name val="Arial"/>
      <family val="2"/>
    </font>
    <font>
      <sz val="16"/>
      <name val="Arial"/>
      <family val="2"/>
    </font>
    <font>
      <sz val="16"/>
      <color indexed="10"/>
      <name val="Arial"/>
      <family val="2"/>
    </font>
    <font>
      <sz val="16"/>
      <color indexed="12"/>
      <name val="Arial"/>
      <family val="2"/>
    </font>
    <font>
      <b/>
      <sz val="10"/>
      <name val="Calibri"/>
      <family val="2"/>
    </font>
    <font>
      <vertAlign val="subscript"/>
      <sz val="11"/>
      <name val="Calibri"/>
      <family val="2"/>
    </font>
    <font>
      <b/>
      <sz val="14"/>
      <color indexed="10"/>
      <name val="Arial"/>
      <family val="2"/>
    </font>
    <font>
      <sz val="10"/>
      <color rgb="FFFF0000"/>
      <name val="Arial"/>
      <family val="2"/>
    </font>
    <font>
      <sz val="9.85"/>
      <color indexed="8"/>
      <name val="Times New Roman"/>
      <family val="1"/>
    </font>
  </fonts>
  <fills count="4">
    <fill>
      <patternFill patternType="none"/>
    </fill>
    <fill>
      <patternFill patternType="gray125"/>
    </fill>
    <fill>
      <patternFill patternType="solid">
        <fgColor indexed="13"/>
        <bgColor indexed="64"/>
      </patternFill>
    </fill>
    <fill>
      <patternFill patternType="solid">
        <fgColor indexed="26"/>
        <bgColor indexed="64"/>
      </patternFill>
    </fill>
  </fills>
  <borders count="35">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12"/>
      </left>
      <right/>
      <top style="double">
        <color indexed="12"/>
      </top>
      <bottom/>
      <diagonal/>
    </border>
    <border>
      <left style="double">
        <color indexed="12"/>
      </left>
      <right/>
      <top/>
      <bottom/>
      <diagonal/>
    </border>
    <border>
      <left/>
      <right style="double">
        <color indexed="12"/>
      </right>
      <top/>
      <bottom/>
      <diagonal/>
    </border>
    <border>
      <left style="double">
        <color indexed="12"/>
      </left>
      <right/>
      <top/>
      <bottom style="double">
        <color indexed="12"/>
      </bottom>
      <diagonal/>
    </border>
    <border>
      <left/>
      <right style="double">
        <color indexed="12"/>
      </right>
      <top/>
      <bottom style="double">
        <color indexed="12"/>
      </bottom>
      <diagonal/>
    </border>
    <border>
      <left/>
      <right style="double">
        <color indexed="12"/>
      </right>
      <top style="double">
        <color indexed="12"/>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10"/>
      </left>
      <right style="medium">
        <color indexed="10"/>
      </right>
      <top style="medium">
        <color indexed="10"/>
      </top>
      <bottom/>
      <diagonal/>
    </border>
    <border>
      <left style="medium">
        <color indexed="10"/>
      </left>
      <right style="medium">
        <color indexed="10"/>
      </right>
      <top/>
      <bottom style="medium">
        <color indexed="10"/>
      </bottom>
      <diagonal/>
    </border>
    <border>
      <left/>
      <right style="thin">
        <color indexed="64"/>
      </right>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thin">
        <color indexed="22"/>
      </left>
      <right style="thin">
        <color indexed="22"/>
      </right>
      <top style="thin">
        <color indexed="22"/>
      </top>
      <bottom/>
      <diagonal/>
    </border>
    <border>
      <left style="thin">
        <color indexed="22"/>
      </left>
      <right style="thin">
        <color indexed="22"/>
      </right>
      <top/>
      <bottom style="thin">
        <color indexed="2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66">
    <xf numFmtId="0" fontId="0" fillId="0" borderId="0" xfId="0"/>
    <xf numFmtId="164" fontId="5" fillId="0" borderId="0" xfId="0" applyNumberFormat="1" applyFont="1" applyAlignment="1">
      <alignment horizontal="left"/>
    </xf>
    <xf numFmtId="0" fontId="1" fillId="0" borderId="0" xfId="0" applyFont="1" applyAlignment="1">
      <alignment horizontal="left"/>
    </xf>
    <xf numFmtId="0" fontId="1" fillId="0" borderId="0" xfId="0" applyFont="1" applyAlignment="1">
      <alignment horizontal="center"/>
    </xf>
    <xf numFmtId="164" fontId="1" fillId="0" borderId="0" xfId="0" applyNumberFormat="1" applyFont="1"/>
    <xf numFmtId="0" fontId="1" fillId="0" borderId="0" xfId="0" applyFont="1"/>
    <xf numFmtId="0" fontId="1" fillId="0" borderId="0" xfId="0" applyFont="1" applyAlignment="1">
      <alignment horizontal="right"/>
    </xf>
    <xf numFmtId="0" fontId="1" fillId="0" borderId="2" xfId="0" applyFont="1" applyBorder="1" applyAlignment="1">
      <alignment horizontal="center" vertical="center" wrapText="1"/>
    </xf>
    <xf numFmtId="164" fontId="1" fillId="0" borderId="2" xfId="0" applyNumberFormat="1" applyFont="1" applyBorder="1" applyAlignment="1">
      <alignment horizontal="center" vertical="center" wrapText="1"/>
    </xf>
    <xf numFmtId="164" fontId="1" fillId="0" borderId="0" xfId="0" applyNumberFormat="1" applyFont="1" applyAlignment="1">
      <alignment horizontal="center"/>
    </xf>
    <xf numFmtId="2" fontId="1" fillId="0" borderId="0" xfId="0" applyNumberFormat="1" applyFont="1" applyAlignment="1">
      <alignment horizontal="center"/>
    </xf>
    <xf numFmtId="164" fontId="0" fillId="0" borderId="0" xfId="0" applyNumberFormat="1"/>
    <xf numFmtId="164" fontId="0" fillId="0" borderId="2" xfId="0" applyNumberFormat="1" applyBorder="1" applyAlignment="1">
      <alignment horizontal="center" vertical="center" wrapText="1"/>
    </xf>
    <xf numFmtId="0" fontId="5" fillId="0" borderId="0" xfId="0" applyFont="1" applyAlignment="1">
      <alignment horizontal="center"/>
    </xf>
    <xf numFmtId="164" fontId="5" fillId="0" borderId="0" xfId="0" applyNumberFormat="1" applyFont="1"/>
    <xf numFmtId="0" fontId="5" fillId="0" borderId="0" xfId="0" applyFont="1"/>
    <xf numFmtId="164" fontId="3" fillId="0" borderId="0" xfId="0" applyNumberFormat="1" applyFont="1"/>
    <xf numFmtId="0" fontId="3" fillId="0" borderId="0" xfId="0" applyFont="1"/>
    <xf numFmtId="164" fontId="4" fillId="0" borderId="2" xfId="0" applyNumberFormat="1" applyFont="1" applyBorder="1" applyAlignment="1">
      <alignment horizontal="center"/>
    </xf>
    <xf numFmtId="2" fontId="4" fillId="0" borderId="2" xfId="0" applyNumberFormat="1" applyFont="1" applyBorder="1" applyAlignment="1">
      <alignment horizontal="center"/>
    </xf>
    <xf numFmtId="0" fontId="7" fillId="0" borderId="0" xfId="0" applyFont="1"/>
    <xf numFmtId="164" fontId="4" fillId="0" borderId="0" xfId="0" applyNumberFormat="1" applyFont="1" applyAlignment="1">
      <alignment horizontal="center"/>
    </xf>
    <xf numFmtId="164" fontId="9" fillId="0" borderId="2" xfId="0" applyNumberFormat="1" applyFont="1" applyBorder="1" applyAlignment="1">
      <alignment horizontal="center"/>
    </xf>
    <xf numFmtId="164" fontId="10" fillId="0" borderId="0" xfId="0" applyNumberFormat="1" applyFont="1"/>
    <xf numFmtId="0" fontId="6" fillId="0" borderId="0" xfId="0" applyFont="1"/>
    <xf numFmtId="0" fontId="3" fillId="0" borderId="0" xfId="0" applyFont="1" applyAlignment="1">
      <alignment horizontal="center"/>
    </xf>
    <xf numFmtId="0" fontId="11" fillId="0" borderId="0" xfId="0" applyFont="1"/>
    <xf numFmtId="0" fontId="11" fillId="0" borderId="0" xfId="0" applyFont="1" applyAlignment="1">
      <alignment horizontal="center"/>
    </xf>
    <xf numFmtId="0" fontId="12" fillId="0" borderId="0" xfId="0" applyFont="1"/>
    <xf numFmtId="164" fontId="5" fillId="0" borderId="2" xfId="0" applyNumberFormat="1" applyFont="1" applyBorder="1" applyAlignment="1">
      <alignment horizontal="center"/>
    </xf>
    <xf numFmtId="0" fontId="5" fillId="0" borderId="2" xfId="0" applyFont="1" applyBorder="1" applyAlignment="1">
      <alignment horizontal="center"/>
    </xf>
    <xf numFmtId="0" fontId="4" fillId="0" borderId="0" xfId="0" applyFont="1" applyAlignment="1">
      <alignment horizontal="center"/>
    </xf>
    <xf numFmtId="0" fontId="11" fillId="0" borderId="0" xfId="0" applyFont="1" applyAlignment="1">
      <alignment horizontal="center" vertical="center"/>
    </xf>
    <xf numFmtId="0" fontId="1" fillId="0" borderId="0" xfId="0" applyFont="1" applyAlignment="1">
      <alignment wrapText="1"/>
    </xf>
    <xf numFmtId="0" fontId="1" fillId="0" borderId="0" xfId="0" applyFont="1" applyAlignment="1">
      <alignment horizontal="right" wrapText="1"/>
    </xf>
    <xf numFmtId="0" fontId="4" fillId="0" borderId="2" xfId="0" applyFont="1" applyBorder="1" applyAlignment="1">
      <alignment horizontal="center" vertical="center" wrapText="1"/>
    </xf>
    <xf numFmtId="0" fontId="4" fillId="0" borderId="2" xfId="0" applyFont="1" applyBorder="1" applyAlignment="1">
      <alignment horizontal="center"/>
    </xf>
    <xf numFmtId="164" fontId="1" fillId="2" borderId="0" xfId="0" applyNumberFormat="1" applyFont="1" applyFill="1" applyAlignment="1">
      <alignment horizontal="center"/>
    </xf>
    <xf numFmtId="2" fontId="1" fillId="2" borderId="0" xfId="0" applyNumberFormat="1" applyFont="1" applyFill="1" applyAlignment="1">
      <alignment horizontal="center"/>
    </xf>
    <xf numFmtId="164" fontId="0" fillId="0" borderId="0" xfId="0" applyNumberFormat="1" applyAlignment="1">
      <alignment horizontal="center"/>
    </xf>
    <xf numFmtId="0" fontId="0" fillId="0" borderId="2" xfId="0" applyBorder="1" applyAlignment="1">
      <alignment horizontal="center"/>
    </xf>
    <xf numFmtId="1" fontId="4" fillId="0" borderId="2" xfId="0" applyNumberFormat="1" applyFont="1" applyBorder="1" applyAlignment="1">
      <alignment horizontal="center"/>
    </xf>
    <xf numFmtId="0" fontId="9" fillId="0" borderId="2" xfId="0" applyFont="1" applyBorder="1" applyAlignment="1">
      <alignment horizontal="center"/>
    </xf>
    <xf numFmtId="0" fontId="13" fillId="0" borderId="0" xfId="0" applyFont="1"/>
    <xf numFmtId="0" fontId="11" fillId="0" borderId="0" xfId="0" applyFont="1" applyAlignment="1">
      <alignment wrapText="1"/>
    </xf>
    <xf numFmtId="0" fontId="11" fillId="0" borderId="3" xfId="0" applyFont="1" applyBorder="1" applyAlignment="1">
      <alignment horizontal="center" vertical="center"/>
    </xf>
    <xf numFmtId="0" fontId="11" fillId="0" borderId="4" xfId="0" applyFont="1" applyBorder="1" applyAlignment="1">
      <alignment wrapText="1"/>
    </xf>
    <xf numFmtId="0" fontId="11" fillId="0" borderId="5" xfId="0" applyFont="1" applyBorder="1" applyAlignment="1">
      <alignment horizontal="center" vertical="center"/>
    </xf>
    <xf numFmtId="0" fontId="11" fillId="0" borderId="6" xfId="0" applyFont="1" applyBorder="1" applyAlignment="1">
      <alignment wrapText="1"/>
    </xf>
    <xf numFmtId="0" fontId="11" fillId="0" borderId="7" xfId="0" applyFont="1" applyBorder="1" applyAlignment="1">
      <alignment horizontal="center" vertical="center"/>
    </xf>
    <xf numFmtId="0" fontId="21" fillId="0" borderId="8" xfId="0" applyFont="1" applyBorder="1" applyAlignment="1">
      <alignment wrapText="1"/>
    </xf>
    <xf numFmtId="0" fontId="11" fillId="0" borderId="4" xfId="0" applyFont="1" applyBorder="1" applyAlignment="1">
      <alignment horizontal="left" vertical="center"/>
    </xf>
    <xf numFmtId="0" fontId="11" fillId="0" borderId="6" xfId="0" applyFont="1" applyBorder="1" applyAlignment="1">
      <alignment horizontal="center"/>
    </xf>
    <xf numFmtId="0" fontId="12" fillId="0" borderId="5" xfId="0" applyFont="1" applyBorder="1"/>
    <xf numFmtId="0" fontId="12" fillId="0" borderId="6" xfId="0" applyFont="1" applyBorder="1"/>
    <xf numFmtId="0" fontId="11" fillId="0" borderId="6" xfId="0" applyFont="1" applyBorder="1" applyAlignment="1">
      <alignment horizontal="center" vertical="center"/>
    </xf>
    <xf numFmtId="0" fontId="0" fillId="0" borderId="0" xfId="0" applyProtection="1">
      <protection locked="0"/>
    </xf>
    <xf numFmtId="0" fontId="4" fillId="0" borderId="0" xfId="0" applyFont="1"/>
    <xf numFmtId="164" fontId="3" fillId="0" borderId="0" xfId="0" applyNumberFormat="1" applyFont="1" applyAlignment="1" applyProtection="1">
      <alignment horizontal="center" vertical="center" wrapText="1"/>
      <protection locked="0"/>
    </xf>
    <xf numFmtId="164" fontId="14" fillId="0" borderId="0" xfId="0" applyNumberFormat="1" applyFont="1" applyAlignment="1" applyProtection="1">
      <alignment horizontal="center"/>
      <protection locked="0"/>
    </xf>
    <xf numFmtId="0" fontId="5" fillId="0" borderId="0" xfId="0" applyFont="1" applyAlignment="1">
      <alignment horizontal="center" vertical="center" wrapText="1"/>
    </xf>
    <xf numFmtId="0" fontId="1" fillId="0" borderId="0" xfId="0" applyFont="1" applyAlignment="1">
      <alignment horizontal="center" vertical="center" wrapText="1"/>
    </xf>
    <xf numFmtId="0" fontId="3" fillId="0" borderId="0" xfId="0" applyFont="1" applyAlignment="1">
      <alignment horizontal="center" vertical="center" wrapText="1"/>
    </xf>
    <xf numFmtId="0" fontId="13" fillId="0" borderId="0" xfId="0" applyFont="1" applyAlignment="1">
      <alignment horizontal="left"/>
    </xf>
    <xf numFmtId="0" fontId="5" fillId="0" borderId="0" xfId="0" applyFont="1" applyAlignment="1">
      <alignment horizontal="right"/>
    </xf>
    <xf numFmtId="0" fontId="1" fillId="0" borderId="0" xfId="0" quotePrefix="1" applyFont="1"/>
    <xf numFmtId="165" fontId="20" fillId="0" borderId="0" xfId="0" applyNumberFormat="1" applyFont="1" applyAlignment="1">
      <alignment horizontal="center"/>
    </xf>
    <xf numFmtId="0" fontId="0" fillId="0" borderId="0" xfId="0" applyAlignment="1">
      <alignment horizontal="center"/>
    </xf>
    <xf numFmtId="0" fontId="4" fillId="0" borderId="0" xfId="0" quotePrefix="1" applyFont="1"/>
    <xf numFmtId="0" fontId="20" fillId="0" borderId="0" xfId="0" applyFont="1"/>
    <xf numFmtId="0" fontId="6" fillId="0" borderId="0" xfId="0" applyFont="1" applyAlignment="1">
      <alignment horizontal="right"/>
    </xf>
    <xf numFmtId="0" fontId="23" fillId="0" borderId="0" xfId="0" applyFont="1" applyAlignment="1">
      <alignment wrapText="1"/>
    </xf>
    <xf numFmtId="0" fontId="11" fillId="0" borderId="9" xfId="0" applyFont="1" applyBorder="1" applyAlignment="1">
      <alignment horizontal="center"/>
    </xf>
    <xf numFmtId="0" fontId="11" fillId="0" borderId="10" xfId="0" applyFont="1" applyBorder="1" applyAlignment="1">
      <alignment horizontal="center" vertical="center"/>
    </xf>
    <xf numFmtId="0" fontId="11" fillId="0" borderId="11" xfId="0" applyFont="1" applyBorder="1" applyAlignment="1">
      <alignment wrapText="1"/>
    </xf>
    <xf numFmtId="0" fontId="11" fillId="0" borderId="12" xfId="0" applyFont="1" applyBorder="1" applyAlignment="1">
      <alignment horizontal="center" vertical="center"/>
    </xf>
    <xf numFmtId="0" fontId="11" fillId="0" borderId="13" xfId="0" applyFont="1" applyBorder="1" applyAlignment="1">
      <alignment wrapText="1"/>
    </xf>
    <xf numFmtId="0" fontId="24" fillId="0" borderId="14" xfId="0" applyFont="1" applyBorder="1"/>
    <xf numFmtId="0" fontId="25" fillId="0" borderId="0" xfId="0" applyFont="1" applyAlignment="1">
      <alignment wrapText="1"/>
    </xf>
    <xf numFmtId="170" fontId="9" fillId="0" borderId="0" xfId="0" applyNumberFormat="1" applyFont="1" applyAlignment="1">
      <alignment horizontal="right"/>
    </xf>
    <xf numFmtId="171" fontId="9" fillId="0" borderId="0" xfId="0" applyNumberFormat="1" applyFont="1" applyAlignment="1">
      <alignment horizontal="right"/>
    </xf>
    <xf numFmtId="0" fontId="4" fillId="0" borderId="0" xfId="0" applyFont="1" applyAlignment="1">
      <alignment horizontal="left"/>
    </xf>
    <xf numFmtId="169" fontId="9" fillId="0" borderId="0" xfId="0" applyNumberFormat="1" applyFont="1" applyAlignment="1">
      <alignment horizontal="right"/>
    </xf>
    <xf numFmtId="168" fontId="9" fillId="0" borderId="0" xfId="0" applyNumberFormat="1" applyFont="1" applyAlignment="1">
      <alignment horizontal="right"/>
    </xf>
    <xf numFmtId="167" fontId="9" fillId="0" borderId="0" xfId="0" applyNumberFormat="1" applyFont="1" applyAlignment="1">
      <alignment horizontal="right"/>
    </xf>
    <xf numFmtId="165" fontId="9" fillId="0" borderId="0" xfId="0" applyNumberFormat="1" applyFont="1" applyAlignment="1">
      <alignment horizontal="center"/>
    </xf>
    <xf numFmtId="0" fontId="27" fillId="0" borderId="0" xfId="0" applyFont="1" applyAlignment="1">
      <alignment wrapText="1"/>
    </xf>
    <xf numFmtId="0" fontId="4" fillId="0" borderId="1" xfId="0" applyFont="1" applyBorder="1"/>
    <xf numFmtId="0" fontId="1" fillId="0" borderId="1" xfId="0" applyFont="1" applyBorder="1" applyAlignment="1">
      <alignment horizontal="center"/>
    </xf>
    <xf numFmtId="165" fontId="1" fillId="0" borderId="1" xfId="0" applyNumberFormat="1" applyFont="1" applyBorder="1" applyAlignment="1">
      <alignment horizontal="center"/>
    </xf>
    <xf numFmtId="0" fontId="1" fillId="0" borderId="1" xfId="0" applyFont="1" applyBorder="1" applyAlignment="1">
      <alignment horizontal="center" vertical="center" wrapText="1"/>
    </xf>
    <xf numFmtId="165" fontId="1" fillId="0" borderId="1" xfId="0" applyNumberFormat="1" applyFont="1" applyBorder="1" applyAlignment="1">
      <alignment horizontal="center" vertical="center" wrapText="1"/>
    </xf>
    <xf numFmtId="9" fontId="1" fillId="0" borderId="1" xfId="0" applyNumberFormat="1" applyFont="1" applyBorder="1" applyAlignment="1">
      <alignment horizontal="center"/>
    </xf>
    <xf numFmtId="0" fontId="27" fillId="0" borderId="0" xfId="0" applyFont="1" applyAlignment="1">
      <alignment horizontal="center" wrapText="1"/>
    </xf>
    <xf numFmtId="0" fontId="0" fillId="0" borderId="1" xfId="0" applyBorder="1" applyAlignment="1">
      <alignment horizontal="center"/>
    </xf>
    <xf numFmtId="164" fontId="4" fillId="0" borderId="1" xfId="0" applyNumberFormat="1" applyFont="1" applyBorder="1" applyAlignment="1">
      <alignment horizontal="center"/>
    </xf>
    <xf numFmtId="172" fontId="26" fillId="0" borderId="1" xfId="0" applyNumberFormat="1" applyFont="1" applyBorder="1" applyAlignment="1">
      <alignment horizontal="center"/>
    </xf>
    <xf numFmtId="164" fontId="26" fillId="0" borderId="1" xfId="0" applyNumberFormat="1" applyFont="1" applyBorder="1" applyAlignment="1">
      <alignment horizontal="center"/>
    </xf>
    <xf numFmtId="2" fontId="0" fillId="0" borderId="1" xfId="0" applyNumberFormat="1" applyBorder="1" applyAlignment="1">
      <alignment horizontal="center" vertical="center" wrapText="1"/>
    </xf>
    <xf numFmtId="165" fontId="9"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164" fontId="26" fillId="0" borderId="1" xfId="0" applyNumberFormat="1" applyFont="1" applyBorder="1" applyAlignment="1">
      <alignment horizontal="center" vertical="center" wrapText="1"/>
    </xf>
    <xf numFmtId="173" fontId="4" fillId="0" borderId="1" xfId="0" applyNumberFormat="1" applyFont="1" applyBorder="1" applyAlignment="1">
      <alignment horizontal="center"/>
    </xf>
    <xf numFmtId="0" fontId="11" fillId="0" borderId="4" xfId="0" applyFont="1" applyBorder="1" applyAlignment="1">
      <alignment horizontal="left" vertical="center" wrapText="1"/>
    </xf>
    <xf numFmtId="0" fontId="11" fillId="0" borderId="4" xfId="0" applyFont="1" applyBorder="1" applyAlignment="1">
      <alignment horizontal="center"/>
    </xf>
    <xf numFmtId="0" fontId="11" fillId="0" borderId="3" xfId="0" applyFont="1" applyBorder="1" applyAlignment="1">
      <alignment horizontal="center" vertical="top"/>
    </xf>
    <xf numFmtId="0" fontId="11" fillId="0" borderId="7" xfId="0" applyFont="1" applyBorder="1" applyAlignment="1">
      <alignment horizontal="center" vertical="top"/>
    </xf>
    <xf numFmtId="0" fontId="33" fillId="0" borderId="0" xfId="0" applyFont="1" applyAlignment="1">
      <alignment horizontal="left"/>
    </xf>
    <xf numFmtId="0" fontId="3" fillId="0" borderId="0" xfId="0" applyFont="1" applyAlignment="1">
      <alignment horizontal="left"/>
    </xf>
    <xf numFmtId="164" fontId="0" fillId="0" borderId="0" xfId="0" applyNumberFormat="1" applyAlignment="1">
      <alignment horizontal="right"/>
    </xf>
    <xf numFmtId="164" fontId="3" fillId="0" borderId="0" xfId="0" applyNumberFormat="1" applyFont="1" applyAlignment="1">
      <alignment horizontal="center" vertical="center" wrapText="1"/>
    </xf>
    <xf numFmtId="164" fontId="7" fillId="0" borderId="0" xfId="0" applyNumberFormat="1" applyFont="1" applyAlignment="1">
      <alignment horizontal="right"/>
    </xf>
    <xf numFmtId="164" fontId="3" fillId="0" borderId="0" xfId="0" applyNumberFormat="1" applyFont="1" applyAlignment="1">
      <alignment horizontal="right"/>
    </xf>
    <xf numFmtId="164" fontId="3" fillId="0" borderId="15" xfId="0" applyNumberFormat="1" applyFont="1" applyBorder="1" applyAlignment="1">
      <alignment horizontal="left"/>
    </xf>
    <xf numFmtId="164" fontId="0" fillId="0" borderId="16" xfId="0" applyNumberFormat="1" applyBorder="1" applyAlignment="1">
      <alignment horizontal="right"/>
    </xf>
    <xf numFmtId="164" fontId="0" fillId="0" borderId="17" xfId="0" applyNumberFormat="1" applyBorder="1" applyAlignment="1">
      <alignment horizontal="right"/>
    </xf>
    <xf numFmtId="164" fontId="7" fillId="0" borderId="2" xfId="0" applyNumberFormat="1" applyFont="1" applyBorder="1" applyAlignment="1">
      <alignment horizontal="center" vertical="center"/>
    </xf>
    <xf numFmtId="164" fontId="6" fillId="0" borderId="2" xfId="0" applyNumberFormat="1" applyFont="1" applyBorder="1" applyAlignment="1">
      <alignment horizontal="center" vertical="center" wrapText="1"/>
    </xf>
    <xf numFmtId="166" fontId="4" fillId="0" borderId="1" xfId="0" applyNumberFormat="1" applyFont="1" applyBorder="1" applyAlignment="1">
      <alignment horizontal="center"/>
    </xf>
    <xf numFmtId="174" fontId="34" fillId="0" borderId="2" xfId="0" applyNumberFormat="1" applyFont="1" applyBorder="1" applyAlignment="1" applyProtection="1">
      <alignment horizontal="center" vertical="center"/>
      <protection locked="0"/>
    </xf>
    <xf numFmtId="1" fontId="16" fillId="0" borderId="18" xfId="0" applyNumberFormat="1" applyFont="1" applyBorder="1" applyAlignment="1">
      <alignment horizontal="center" vertical="center"/>
    </xf>
    <xf numFmtId="1" fontId="16" fillId="0" borderId="19" xfId="0" applyNumberFormat="1" applyFont="1" applyBorder="1" applyAlignment="1">
      <alignment horizontal="center" vertical="center"/>
    </xf>
    <xf numFmtId="1" fontId="22" fillId="0" borderId="18" xfId="0" applyNumberFormat="1" applyFont="1" applyBorder="1" applyAlignment="1" applyProtection="1">
      <alignment horizontal="center" vertical="center"/>
      <protection locked="0"/>
    </xf>
    <xf numFmtId="1" fontId="22" fillId="0" borderId="19" xfId="0" applyNumberFormat="1" applyFont="1" applyBorder="1" applyAlignment="1" applyProtection="1">
      <alignment horizontal="center" vertical="center"/>
      <protection locked="0"/>
    </xf>
    <xf numFmtId="0" fontId="16" fillId="0" borderId="0" xfId="0" applyFont="1" applyAlignment="1">
      <alignment horizontal="left" vertical="center"/>
    </xf>
    <xf numFmtId="1" fontId="32" fillId="0" borderId="18" xfId="0" applyNumberFormat="1" applyFont="1" applyBorder="1" applyAlignment="1" applyProtection="1">
      <alignment horizontal="center" vertical="center"/>
      <protection locked="0"/>
    </xf>
    <xf numFmtId="1" fontId="32" fillId="0" borderId="19" xfId="0" applyNumberFormat="1" applyFont="1" applyBorder="1" applyAlignment="1" applyProtection="1">
      <alignment horizontal="center" vertical="center"/>
      <protection locked="0"/>
    </xf>
    <xf numFmtId="164" fontId="22" fillId="0" borderId="18" xfId="0" applyNumberFormat="1" applyFont="1" applyBorder="1" applyAlignment="1" applyProtection="1">
      <alignment horizontal="center" vertical="center"/>
      <protection locked="0"/>
    </xf>
    <xf numFmtId="164" fontId="22" fillId="0" borderId="19" xfId="0" applyNumberFormat="1" applyFont="1" applyBorder="1" applyAlignment="1" applyProtection="1">
      <alignment horizontal="center" vertical="center"/>
      <protection locked="0"/>
    </xf>
    <xf numFmtId="0" fontId="13" fillId="0" borderId="0" xfId="0" applyFont="1"/>
    <xf numFmtId="0" fontId="0" fillId="0" borderId="0" xfId="0"/>
    <xf numFmtId="1" fontId="1" fillId="0" borderId="5" xfId="0" applyNumberFormat="1" applyFont="1" applyBorder="1" applyAlignment="1">
      <alignment horizontal="center"/>
    </xf>
    <xf numFmtId="1" fontId="1" fillId="0" borderId="22" xfId="0" applyNumberFormat="1" applyFont="1" applyBorder="1" applyAlignment="1">
      <alignment horizontal="center"/>
    </xf>
    <xf numFmtId="1" fontId="1" fillId="0" borderId="6" xfId="0" applyNumberFormat="1" applyFont="1" applyBorder="1" applyAlignment="1">
      <alignment horizontal="center"/>
    </xf>
    <xf numFmtId="164" fontId="1" fillId="0" borderId="23" xfId="0" applyNumberFormat="1" applyFont="1" applyBorder="1" applyAlignment="1">
      <alignment horizontal="center"/>
    </xf>
    <xf numFmtId="164" fontId="1" fillId="0" borderId="24" xfId="0" applyNumberFormat="1" applyFont="1" applyBorder="1" applyAlignment="1">
      <alignment horizontal="center"/>
    </xf>
    <xf numFmtId="164" fontId="1" fillId="0" borderId="25" xfId="0" applyNumberFormat="1" applyFont="1" applyBorder="1" applyAlignment="1">
      <alignment horizontal="center"/>
    </xf>
    <xf numFmtId="164" fontId="0" fillId="0" borderId="3" xfId="0" applyNumberFormat="1" applyBorder="1" applyAlignment="1">
      <alignment horizontal="center"/>
    </xf>
    <xf numFmtId="164" fontId="0" fillId="0" borderId="0" xfId="0" applyNumberFormat="1" applyAlignment="1">
      <alignment horizontal="center"/>
    </xf>
    <xf numFmtId="164" fontId="0" fillId="0" borderId="4" xfId="0" applyNumberFormat="1" applyBorder="1" applyAlignment="1">
      <alignment horizontal="center"/>
    </xf>
    <xf numFmtId="164" fontId="0" fillId="0" borderId="5" xfId="0" applyNumberFormat="1" applyBorder="1" applyAlignment="1">
      <alignment horizontal="center"/>
    </xf>
    <xf numFmtId="164" fontId="0" fillId="0" borderId="22" xfId="0" applyNumberFormat="1" applyBorder="1" applyAlignment="1">
      <alignment horizontal="center"/>
    </xf>
    <xf numFmtId="164" fontId="0" fillId="0" borderId="6" xfId="0" applyNumberFormat="1" applyBorder="1" applyAlignment="1">
      <alignment horizontal="center"/>
    </xf>
    <xf numFmtId="0" fontId="1" fillId="0" borderId="20" xfId="0" applyFont="1" applyBorder="1" applyAlignment="1">
      <alignment horizontal="right"/>
    </xf>
    <xf numFmtId="0" fontId="1" fillId="0" borderId="21" xfId="0" applyFont="1" applyBorder="1"/>
    <xf numFmtId="0" fontId="1" fillId="0" borderId="7" xfId="0" applyFont="1" applyBorder="1" applyAlignment="1">
      <alignment horizontal="center" vertical="center" wrapText="1"/>
    </xf>
    <xf numFmtId="0" fontId="1" fillId="0" borderId="26" xfId="0" applyFont="1" applyBorder="1" applyAlignment="1">
      <alignment horizontal="center" vertical="center" wrapText="1"/>
    </xf>
    <xf numFmtId="0" fontId="1" fillId="0" borderId="8" xfId="0" applyFont="1" applyBorder="1" applyAlignment="1">
      <alignment horizontal="center" vertical="center" wrapText="1"/>
    </xf>
    <xf numFmtId="0" fontId="18" fillId="0" borderId="0" xfId="0" applyFont="1" applyAlignment="1">
      <alignment horizontal="left" vertical="center" wrapText="1"/>
    </xf>
    <xf numFmtId="0" fontId="19" fillId="0" borderId="0" xfId="0" applyFont="1" applyAlignment="1">
      <alignment horizontal="left" vertical="center" wrapText="1"/>
    </xf>
    <xf numFmtId="0" fontId="19" fillId="0" borderId="0" xfId="0" applyFont="1" applyAlignment="1">
      <alignment wrapText="1"/>
    </xf>
    <xf numFmtId="0" fontId="33" fillId="0" borderId="0" xfId="0" applyFont="1" applyAlignment="1">
      <alignment horizontal="right"/>
    </xf>
    <xf numFmtId="0" fontId="0" fillId="0" borderId="20" xfId="0" applyBorder="1"/>
    <xf numFmtId="0" fontId="1" fillId="0" borderId="0" xfId="0" applyFont="1" applyAlignment="1">
      <alignment horizontal="right"/>
    </xf>
    <xf numFmtId="0" fontId="3" fillId="0" borderId="20" xfId="0" applyFont="1" applyBorder="1" applyAlignment="1">
      <alignment horizontal="right"/>
    </xf>
    <xf numFmtId="0" fontId="3" fillId="0" borderId="21" xfId="0" applyFont="1" applyBorder="1"/>
    <xf numFmtId="0" fontId="1" fillId="0" borderId="27" xfId="0" applyFont="1" applyBorder="1" applyAlignment="1">
      <alignment horizontal="center" vertical="center" wrapText="1"/>
    </xf>
    <xf numFmtId="0" fontId="0" fillId="0" borderId="28" xfId="0" applyBorder="1" applyAlignment="1">
      <alignment horizont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27" fillId="3" borderId="29" xfId="0" applyFont="1" applyFill="1" applyBorder="1" applyAlignment="1">
      <alignment horizontal="left" vertical="center" wrapText="1"/>
    </xf>
    <xf numFmtId="0" fontId="27" fillId="3" borderId="30" xfId="0" applyFont="1" applyFill="1" applyBorder="1" applyAlignment="1">
      <alignment horizontal="left" vertical="center" wrapText="1"/>
    </xf>
    <xf numFmtId="0" fontId="27" fillId="3" borderId="31" xfId="0" applyFont="1" applyFill="1" applyBorder="1" applyAlignment="1">
      <alignment horizontal="left" vertical="center" wrapText="1"/>
    </xf>
    <xf numFmtId="0" fontId="27" fillId="3" borderId="32" xfId="0" applyFont="1" applyFill="1" applyBorder="1" applyAlignment="1">
      <alignment horizontal="left" vertical="center" wrapText="1"/>
    </xf>
    <xf numFmtId="0" fontId="27" fillId="3" borderId="33" xfId="0" applyFont="1" applyFill="1" applyBorder="1" applyAlignment="1">
      <alignment horizontal="left" vertical="center" wrapText="1"/>
    </xf>
    <xf numFmtId="0" fontId="27" fillId="3" borderId="34" xfId="0" applyFont="1" applyFill="1" applyBorder="1" applyAlignment="1">
      <alignment horizontal="left" vertical="center" wrapText="1"/>
    </xf>
  </cellXfs>
  <cellStyles count="1">
    <cellStyle name="Normal" xfId="0" builtinId="0"/>
  </cellStyles>
  <dxfs count="8">
    <dxf>
      <font>
        <condense val="0"/>
        <extend val="0"/>
        <color indexed="9"/>
      </font>
      <fill>
        <patternFill>
          <bgColor indexed="9"/>
        </patternFill>
      </fill>
      <border>
        <left/>
        <right/>
        <top/>
        <bottom/>
      </border>
    </dxf>
    <dxf>
      <font>
        <condense val="0"/>
        <extend val="0"/>
        <color rgb="FF9C0006"/>
      </font>
      <fill>
        <patternFill>
          <bgColor rgb="FFFFC7CE"/>
        </patternFill>
      </fill>
    </dxf>
    <dxf>
      <font>
        <condense val="0"/>
        <extend val="0"/>
        <color rgb="FF006100"/>
      </font>
      <fill>
        <patternFill>
          <bgColor rgb="FFC6EFCE"/>
        </patternFill>
      </fill>
    </dxf>
    <dxf>
      <font>
        <condense val="0"/>
        <extend val="0"/>
        <color indexed="9"/>
      </font>
      <fill>
        <patternFill patternType="solid">
          <bgColor indexed="9"/>
        </patternFill>
      </fill>
      <border>
        <left/>
        <right/>
        <top/>
        <bottom/>
      </border>
    </dxf>
    <dxf>
      <font>
        <condense val="0"/>
        <extend val="0"/>
        <color indexed="9"/>
      </font>
      <fill>
        <patternFill>
          <bgColor indexed="9"/>
        </patternFill>
      </fill>
      <border>
        <left/>
        <right/>
        <top/>
        <bottom/>
      </border>
    </dxf>
    <dxf>
      <font>
        <condense val="0"/>
        <extend val="0"/>
        <color rgb="FF006100"/>
      </font>
      <fill>
        <patternFill>
          <bgColor rgb="FFC6EFCE"/>
        </patternFill>
      </fill>
    </dxf>
    <dxf>
      <font>
        <condense val="0"/>
        <extend val="0"/>
        <color rgb="FF9C0006"/>
      </font>
      <fill>
        <patternFill>
          <bgColor rgb="FFFFC7CE"/>
        </patternFill>
      </fill>
    </dxf>
    <dxf>
      <font>
        <condense val="0"/>
        <extend val="0"/>
        <color indexed="9"/>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5.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4.xml"/><Relationship Id="rId11" Type="http://schemas.openxmlformats.org/officeDocument/2006/relationships/chartsheet" Target="chartsheets/sheet3.xml"/><Relationship Id="rId5" Type="http://schemas.openxmlformats.org/officeDocument/2006/relationships/chartsheet" Target="chartsheets/sheet2.xml"/><Relationship Id="rId15" Type="http://schemas.openxmlformats.org/officeDocument/2006/relationships/calcChain" Target="calcChain.xml"/><Relationship Id="rId10" Type="http://schemas.openxmlformats.org/officeDocument/2006/relationships/worksheet" Target="worksheets/sheet8.xml"/><Relationship Id="rId4" Type="http://schemas.openxmlformats.org/officeDocument/2006/relationships/chartsheet" Target="chartsheets/sheet1.xml"/><Relationship Id="rId9" Type="http://schemas.openxmlformats.org/officeDocument/2006/relationships/worksheet" Target="worksheets/sheet7.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2000" b="1" i="0" u="none" strike="noStrike" baseline="0">
                <a:solidFill>
                  <a:srgbClr val="000000"/>
                </a:solidFill>
                <a:latin typeface="Arial"/>
                <a:cs typeface="Arial"/>
              </a:rPr>
              <a:t>Heat Exchanger Tube Inspection Data</a:t>
            </a:r>
            <a:endParaRPr lang="en-US" sz="1400" b="1" i="0" u="none" strike="noStrike" baseline="0">
              <a:solidFill>
                <a:srgbClr val="000000"/>
              </a:solidFill>
              <a:latin typeface="Arial"/>
              <a:cs typeface="Arial"/>
            </a:endParaRP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Gumbel Plot of Max Wall Loss</a:t>
            </a:r>
          </a:p>
        </c:rich>
      </c:tx>
      <c:layout>
        <c:manualLayout>
          <c:xMode val="edge"/>
          <c:yMode val="edge"/>
          <c:x val="0.2219756197142024"/>
          <c:y val="1.3093215968091326E-2"/>
        </c:manualLayout>
      </c:layout>
      <c:overlay val="0"/>
      <c:spPr>
        <a:noFill/>
        <a:ln w="25400">
          <a:noFill/>
        </a:ln>
      </c:spPr>
    </c:title>
    <c:autoTitleDeleted val="0"/>
    <c:plotArea>
      <c:layout>
        <c:manualLayout>
          <c:layoutTarget val="inner"/>
          <c:xMode val="edge"/>
          <c:yMode val="edge"/>
          <c:x val="0.14206437291897892"/>
          <c:y val="0.14402618657937807"/>
          <c:w val="0.80799112097669257"/>
          <c:h val="0.61702127659574468"/>
        </c:manualLayout>
      </c:layout>
      <c:scatterChart>
        <c:scatterStyle val="lineMarker"/>
        <c:varyColors val="0"/>
        <c:ser>
          <c:idx val="0"/>
          <c:order val="0"/>
          <c:tx>
            <c:v>Measured</c:v>
          </c:tx>
          <c:spPr>
            <a:ln w="28575">
              <a:noFill/>
            </a:ln>
          </c:spPr>
          <c:marker>
            <c:symbol val="circle"/>
            <c:size val="7"/>
            <c:spPr>
              <a:solidFill>
                <a:srgbClr val="0000FF"/>
              </a:solidFill>
              <a:ln>
                <a:solidFill>
                  <a:srgbClr val="0000FF"/>
                </a:solidFill>
                <a:prstDash val="solid"/>
              </a:ln>
            </c:spPr>
          </c:marker>
          <c:xVal>
            <c:numRef>
              <c:f>HiddenPlotData!$A$3:$A$303</c:f>
              <c:numCache>
                <c:formatCode>General</c:formatCode>
                <c:ptCount val="301"/>
                <c:pt idx="0">
                  <c:v>7.2299999999999809E-2</c:v>
                </c:pt>
                <c:pt idx="1">
                  <c:v>7.2299999999999809E-2</c:v>
                </c:pt>
                <c:pt idx="2">
                  <c:v>9.6400000000000041E-2</c:v>
                </c:pt>
                <c:pt idx="3">
                  <c:v>9.6400000000000041E-2</c:v>
                </c:pt>
                <c:pt idx="4">
                  <c:v>0.12049999999999983</c:v>
                </c:pt>
                <c:pt idx="5">
                  <c:v>0.12049999999999983</c:v>
                </c:pt>
                <c:pt idx="6">
                  <c:v>0.12049999999999983</c:v>
                </c:pt>
                <c:pt idx="7">
                  <c:v>0.12049999999999983</c:v>
                </c:pt>
                <c:pt idx="8">
                  <c:v>0.12049999999999983</c:v>
                </c:pt>
                <c:pt idx="9">
                  <c:v>0.12049999999999983</c:v>
                </c:pt>
                <c:pt idx="10">
                  <c:v>0.12049999999999983</c:v>
                </c:pt>
                <c:pt idx="11">
                  <c:v>0.12049999999999983</c:v>
                </c:pt>
                <c:pt idx="12">
                  <c:v>0.12049999999999983</c:v>
                </c:pt>
                <c:pt idx="13">
                  <c:v>0.12049999999999983</c:v>
                </c:pt>
                <c:pt idx="14">
                  <c:v>0.12049999999999983</c:v>
                </c:pt>
                <c:pt idx="15">
                  <c:v>0.12049999999999983</c:v>
                </c:pt>
                <c:pt idx="16">
                  <c:v>0.12049999999999983</c:v>
                </c:pt>
                <c:pt idx="17">
                  <c:v>0.12049999999999983</c:v>
                </c:pt>
                <c:pt idx="18">
                  <c:v>0.12049999999999983</c:v>
                </c:pt>
                <c:pt idx="19">
                  <c:v>0.12049999999999983</c:v>
                </c:pt>
                <c:pt idx="20">
                  <c:v>0.12049999999999983</c:v>
                </c:pt>
                <c:pt idx="21">
                  <c:v>0.12049999999999983</c:v>
                </c:pt>
                <c:pt idx="22">
                  <c:v>0.12049999999999983</c:v>
                </c:pt>
                <c:pt idx="23">
                  <c:v>0.12049999999999983</c:v>
                </c:pt>
                <c:pt idx="24">
                  <c:v>0.12049999999999983</c:v>
                </c:pt>
                <c:pt idx="25">
                  <c:v>0.12049999999999983</c:v>
                </c:pt>
                <c:pt idx="26">
                  <c:v>0.12049999999999983</c:v>
                </c:pt>
                <c:pt idx="27">
                  <c:v>0.12049999999999983</c:v>
                </c:pt>
                <c:pt idx="28">
                  <c:v>0.12049999999999983</c:v>
                </c:pt>
                <c:pt idx="29">
                  <c:v>0.12049999999999983</c:v>
                </c:pt>
                <c:pt idx="30">
                  <c:v>0.12049999999999983</c:v>
                </c:pt>
                <c:pt idx="31">
                  <c:v>0.12049999999999983</c:v>
                </c:pt>
                <c:pt idx="32">
                  <c:v>0.14460000000000006</c:v>
                </c:pt>
                <c:pt idx="33">
                  <c:v>0.14460000000000006</c:v>
                </c:pt>
                <c:pt idx="34">
                  <c:v>0.14460000000000006</c:v>
                </c:pt>
                <c:pt idx="35">
                  <c:v>0.14460000000000006</c:v>
                </c:pt>
                <c:pt idx="36">
                  <c:v>0.14460000000000006</c:v>
                </c:pt>
                <c:pt idx="37">
                  <c:v>0.14460000000000006</c:v>
                </c:pt>
                <c:pt idx="38">
                  <c:v>0.14460000000000006</c:v>
                </c:pt>
                <c:pt idx="39">
                  <c:v>0.14460000000000006</c:v>
                </c:pt>
                <c:pt idx="40">
                  <c:v>0.14460000000000006</c:v>
                </c:pt>
                <c:pt idx="41">
                  <c:v>0.14460000000000006</c:v>
                </c:pt>
                <c:pt idx="42">
                  <c:v>0.14460000000000006</c:v>
                </c:pt>
                <c:pt idx="43">
                  <c:v>0.14460000000000006</c:v>
                </c:pt>
                <c:pt idx="44">
                  <c:v>0.14460000000000006</c:v>
                </c:pt>
                <c:pt idx="45">
                  <c:v>0.14460000000000006</c:v>
                </c:pt>
                <c:pt idx="46">
                  <c:v>0.14460000000000006</c:v>
                </c:pt>
                <c:pt idx="47">
                  <c:v>0.14460000000000006</c:v>
                </c:pt>
                <c:pt idx="48">
                  <c:v>0.14460000000000006</c:v>
                </c:pt>
                <c:pt idx="49">
                  <c:v>0.14460000000000006</c:v>
                </c:pt>
                <c:pt idx="50">
                  <c:v>0.14460000000000006</c:v>
                </c:pt>
                <c:pt idx="51">
                  <c:v>0.14460000000000006</c:v>
                </c:pt>
                <c:pt idx="52">
                  <c:v>0.14460000000000006</c:v>
                </c:pt>
                <c:pt idx="53">
                  <c:v>0.14460000000000006</c:v>
                </c:pt>
                <c:pt idx="54">
                  <c:v>0.14460000000000006</c:v>
                </c:pt>
                <c:pt idx="55">
                  <c:v>0.14460000000000006</c:v>
                </c:pt>
                <c:pt idx="56">
                  <c:v>0.14460000000000006</c:v>
                </c:pt>
                <c:pt idx="57">
                  <c:v>0.14460000000000006</c:v>
                </c:pt>
                <c:pt idx="58">
                  <c:v>0.14460000000000006</c:v>
                </c:pt>
                <c:pt idx="59">
                  <c:v>0.14460000000000006</c:v>
                </c:pt>
                <c:pt idx="60">
                  <c:v>0.14460000000000006</c:v>
                </c:pt>
                <c:pt idx="61">
                  <c:v>0.14460000000000006</c:v>
                </c:pt>
                <c:pt idx="62">
                  <c:v>0.14460000000000006</c:v>
                </c:pt>
                <c:pt idx="63">
                  <c:v>0.14460000000000006</c:v>
                </c:pt>
                <c:pt idx="64">
                  <c:v>0.14460000000000006</c:v>
                </c:pt>
                <c:pt idx="65">
                  <c:v>0.14460000000000006</c:v>
                </c:pt>
                <c:pt idx="66">
                  <c:v>0.14460000000000006</c:v>
                </c:pt>
                <c:pt idx="67">
                  <c:v>0.14460000000000006</c:v>
                </c:pt>
                <c:pt idx="68">
                  <c:v>0.14460000000000006</c:v>
                </c:pt>
                <c:pt idx="69">
                  <c:v>0.14460000000000006</c:v>
                </c:pt>
                <c:pt idx="70">
                  <c:v>0.14460000000000006</c:v>
                </c:pt>
                <c:pt idx="71">
                  <c:v>0.16869999999999985</c:v>
                </c:pt>
                <c:pt idx="72">
                  <c:v>0.16869999999999985</c:v>
                </c:pt>
                <c:pt idx="73">
                  <c:v>0.16869999999999985</c:v>
                </c:pt>
                <c:pt idx="74">
                  <c:v>0.16869999999999985</c:v>
                </c:pt>
                <c:pt idx="75">
                  <c:v>0.16869999999999985</c:v>
                </c:pt>
                <c:pt idx="76">
                  <c:v>0.16869999999999985</c:v>
                </c:pt>
                <c:pt idx="77">
                  <c:v>0.16869999999999985</c:v>
                </c:pt>
                <c:pt idx="78">
                  <c:v>0.16869999999999985</c:v>
                </c:pt>
                <c:pt idx="79">
                  <c:v>0.16869999999999985</c:v>
                </c:pt>
                <c:pt idx="80">
                  <c:v>0.16869999999999985</c:v>
                </c:pt>
                <c:pt idx="81">
                  <c:v>0.16869999999999985</c:v>
                </c:pt>
                <c:pt idx="82">
                  <c:v>0.16869999999999985</c:v>
                </c:pt>
                <c:pt idx="83">
                  <c:v>0.16869999999999985</c:v>
                </c:pt>
                <c:pt idx="84">
                  <c:v>0.16869999999999985</c:v>
                </c:pt>
                <c:pt idx="85">
                  <c:v>0.16869999999999985</c:v>
                </c:pt>
                <c:pt idx="86">
                  <c:v>0.16869999999999985</c:v>
                </c:pt>
                <c:pt idx="87">
                  <c:v>0.16869999999999985</c:v>
                </c:pt>
                <c:pt idx="88">
                  <c:v>0.19280000000000008</c:v>
                </c:pt>
                <c:pt idx="89">
                  <c:v>0.19280000000000008</c:v>
                </c:pt>
                <c:pt idx="90">
                  <c:v>0.19280000000000008</c:v>
                </c:pt>
                <c:pt idx="91">
                  <c:v>0.19280000000000008</c:v>
                </c:pt>
                <c:pt idx="92">
                  <c:v>0.19280000000000008</c:v>
                </c:pt>
                <c:pt idx="93">
                  <c:v>0.19280000000000008</c:v>
                </c:pt>
                <c:pt idx="94">
                  <c:v>0.19280000000000008</c:v>
                </c:pt>
                <c:pt idx="95">
                  <c:v>0.19280000000000008</c:v>
                </c:pt>
                <c:pt idx="96">
                  <c:v>0.19280000000000008</c:v>
                </c:pt>
                <c:pt idx="97">
                  <c:v>0.19280000000000008</c:v>
                </c:pt>
                <c:pt idx="98">
                  <c:v>0.19280000000000008</c:v>
                </c:pt>
                <c:pt idx="99">
                  <c:v>0.19280000000000008</c:v>
                </c:pt>
                <c:pt idx="100">
                  <c:v>0.19280000000000008</c:v>
                </c:pt>
                <c:pt idx="101">
                  <c:v>0.19280000000000008</c:v>
                </c:pt>
                <c:pt idx="102">
                  <c:v>0.19280000000000008</c:v>
                </c:pt>
                <c:pt idx="103">
                  <c:v>0.19280000000000008</c:v>
                </c:pt>
                <c:pt idx="104">
                  <c:v>0.19280000000000008</c:v>
                </c:pt>
                <c:pt idx="105">
                  <c:v>0.21689999999999987</c:v>
                </c:pt>
                <c:pt idx="106">
                  <c:v>0.21689999999999987</c:v>
                </c:pt>
                <c:pt idx="107">
                  <c:v>0.21689999999999987</c:v>
                </c:pt>
                <c:pt idx="108">
                  <c:v>0.21689999999999987</c:v>
                </c:pt>
                <c:pt idx="109">
                  <c:v>0.21689999999999987</c:v>
                </c:pt>
                <c:pt idx="110">
                  <c:v>0.21689999999999987</c:v>
                </c:pt>
                <c:pt idx="111">
                  <c:v>0.21689999999999987</c:v>
                </c:pt>
                <c:pt idx="112">
                  <c:v>0.21689999999999987</c:v>
                </c:pt>
                <c:pt idx="113">
                  <c:v>0.21689999999999987</c:v>
                </c:pt>
                <c:pt idx="114">
                  <c:v>0.21689999999999987</c:v>
                </c:pt>
                <c:pt idx="115">
                  <c:v>0.2410000000000001</c:v>
                </c:pt>
                <c:pt idx="116">
                  <c:v>0.2410000000000001</c:v>
                </c:pt>
                <c:pt idx="117">
                  <c:v>0.2410000000000001</c:v>
                </c:pt>
                <c:pt idx="118">
                  <c:v>0.2410000000000001</c:v>
                </c:pt>
                <c:pt idx="119">
                  <c:v>0.2410000000000001</c:v>
                </c:pt>
                <c:pt idx="120">
                  <c:v>0.2410000000000001</c:v>
                </c:pt>
                <c:pt idx="121">
                  <c:v>0.2410000000000001</c:v>
                </c:pt>
                <c:pt idx="122">
                  <c:v>0.2410000000000001</c:v>
                </c:pt>
                <c:pt idx="123">
                  <c:v>0.2410000000000001</c:v>
                </c:pt>
                <c:pt idx="124">
                  <c:v>0.2410000000000001</c:v>
                </c:pt>
                <c:pt idx="125">
                  <c:v>0.2410000000000001</c:v>
                </c:pt>
                <c:pt idx="126">
                  <c:v>0.2410000000000001</c:v>
                </c:pt>
                <c:pt idx="127">
                  <c:v>0.2410000000000001</c:v>
                </c:pt>
                <c:pt idx="128">
                  <c:v>0.2410000000000001</c:v>
                </c:pt>
                <c:pt idx="129">
                  <c:v>0.2410000000000001</c:v>
                </c:pt>
                <c:pt idx="130">
                  <c:v>0.2410000000000001</c:v>
                </c:pt>
                <c:pt idx="131">
                  <c:v>0.2410000000000001</c:v>
                </c:pt>
                <c:pt idx="132">
                  <c:v>0.2410000000000001</c:v>
                </c:pt>
                <c:pt idx="133">
                  <c:v>0.2410000000000001</c:v>
                </c:pt>
                <c:pt idx="134">
                  <c:v>0.2410000000000001</c:v>
                </c:pt>
                <c:pt idx="135">
                  <c:v>0.2410000000000001</c:v>
                </c:pt>
                <c:pt idx="136">
                  <c:v>0.2410000000000001</c:v>
                </c:pt>
                <c:pt idx="137">
                  <c:v>0.2410000000000001</c:v>
                </c:pt>
                <c:pt idx="138">
                  <c:v>0.2410000000000001</c:v>
                </c:pt>
                <c:pt idx="139">
                  <c:v>0.2410000000000001</c:v>
                </c:pt>
                <c:pt idx="140">
                  <c:v>0.2410000000000001</c:v>
                </c:pt>
                <c:pt idx="141">
                  <c:v>0.2410000000000001</c:v>
                </c:pt>
                <c:pt idx="142">
                  <c:v>0.2410000000000001</c:v>
                </c:pt>
                <c:pt idx="143">
                  <c:v>0.2410000000000001</c:v>
                </c:pt>
                <c:pt idx="144">
                  <c:v>0.2410000000000001</c:v>
                </c:pt>
                <c:pt idx="145">
                  <c:v>0.2410000000000001</c:v>
                </c:pt>
                <c:pt idx="146">
                  <c:v>0.2410000000000001</c:v>
                </c:pt>
                <c:pt idx="147">
                  <c:v>0.2410000000000001</c:v>
                </c:pt>
                <c:pt idx="148">
                  <c:v>0.2410000000000001</c:v>
                </c:pt>
                <c:pt idx="149">
                  <c:v>0.2410000000000001</c:v>
                </c:pt>
                <c:pt idx="150">
                  <c:v>0.2410000000000001</c:v>
                </c:pt>
                <c:pt idx="151">
                  <c:v>0.2410000000000001</c:v>
                </c:pt>
                <c:pt idx="152">
                  <c:v>0.2410000000000001</c:v>
                </c:pt>
                <c:pt idx="153">
                  <c:v>0.2410000000000001</c:v>
                </c:pt>
                <c:pt idx="154">
                  <c:v>0.2410000000000001</c:v>
                </c:pt>
                <c:pt idx="155">
                  <c:v>0.2410000000000001</c:v>
                </c:pt>
                <c:pt idx="156">
                  <c:v>0.2410000000000001</c:v>
                </c:pt>
                <c:pt idx="157">
                  <c:v>0.2410000000000001</c:v>
                </c:pt>
                <c:pt idx="158">
                  <c:v>0.2410000000000001</c:v>
                </c:pt>
                <c:pt idx="159">
                  <c:v>0.26509999999999989</c:v>
                </c:pt>
                <c:pt idx="160">
                  <c:v>0.26509999999999989</c:v>
                </c:pt>
                <c:pt idx="161">
                  <c:v>0.26509999999999989</c:v>
                </c:pt>
                <c:pt idx="162">
                  <c:v>0.26509999999999989</c:v>
                </c:pt>
                <c:pt idx="163">
                  <c:v>0.26509999999999989</c:v>
                </c:pt>
                <c:pt idx="164">
                  <c:v>0.26509999999999989</c:v>
                </c:pt>
                <c:pt idx="165">
                  <c:v>0.26509999999999989</c:v>
                </c:pt>
                <c:pt idx="166">
                  <c:v>0.26509999999999989</c:v>
                </c:pt>
                <c:pt idx="167">
                  <c:v>0.26509999999999989</c:v>
                </c:pt>
                <c:pt idx="168">
                  <c:v>0.26509999999999989</c:v>
                </c:pt>
                <c:pt idx="169">
                  <c:v>0.26509999999999989</c:v>
                </c:pt>
                <c:pt idx="170">
                  <c:v>0.26509999999999989</c:v>
                </c:pt>
                <c:pt idx="171">
                  <c:v>0.26509999999999989</c:v>
                </c:pt>
                <c:pt idx="172">
                  <c:v>0.26509999999999989</c:v>
                </c:pt>
                <c:pt idx="173">
                  <c:v>0.26509999999999989</c:v>
                </c:pt>
                <c:pt idx="174">
                  <c:v>0.26509999999999989</c:v>
                </c:pt>
                <c:pt idx="175">
                  <c:v>0.26509999999999989</c:v>
                </c:pt>
                <c:pt idx="176">
                  <c:v>0.26509999999999989</c:v>
                </c:pt>
                <c:pt idx="177">
                  <c:v>0.26509999999999989</c:v>
                </c:pt>
                <c:pt idx="178">
                  <c:v>0.26509999999999989</c:v>
                </c:pt>
                <c:pt idx="179">
                  <c:v>0.26509999999999989</c:v>
                </c:pt>
                <c:pt idx="180">
                  <c:v>0.26509999999999989</c:v>
                </c:pt>
                <c:pt idx="181">
                  <c:v>0.26509999999999989</c:v>
                </c:pt>
                <c:pt idx="182">
                  <c:v>0.26509999999999989</c:v>
                </c:pt>
                <c:pt idx="183">
                  <c:v>0.26509999999999989</c:v>
                </c:pt>
                <c:pt idx="184">
                  <c:v>0.26509999999999989</c:v>
                </c:pt>
                <c:pt idx="185">
                  <c:v>0.26509999999999989</c:v>
                </c:pt>
                <c:pt idx="186">
                  <c:v>0.28920000000000012</c:v>
                </c:pt>
                <c:pt idx="187">
                  <c:v>0.28920000000000012</c:v>
                </c:pt>
                <c:pt idx="188">
                  <c:v>0.28920000000000012</c:v>
                </c:pt>
                <c:pt idx="189">
                  <c:v>0.28920000000000012</c:v>
                </c:pt>
                <c:pt idx="190">
                  <c:v>0.28920000000000012</c:v>
                </c:pt>
                <c:pt idx="191">
                  <c:v>0.28920000000000012</c:v>
                </c:pt>
                <c:pt idx="192">
                  <c:v>0.28920000000000012</c:v>
                </c:pt>
                <c:pt idx="193">
                  <c:v>0.28920000000000012</c:v>
                </c:pt>
                <c:pt idx="194">
                  <c:v>0.28920000000000012</c:v>
                </c:pt>
                <c:pt idx="195">
                  <c:v>0.28920000000000012</c:v>
                </c:pt>
                <c:pt idx="196">
                  <c:v>0.28920000000000012</c:v>
                </c:pt>
                <c:pt idx="197">
                  <c:v>0.28920000000000012</c:v>
                </c:pt>
                <c:pt idx="198">
                  <c:v>0.28920000000000012</c:v>
                </c:pt>
                <c:pt idx="199">
                  <c:v>0.28920000000000012</c:v>
                </c:pt>
                <c:pt idx="200">
                  <c:v>0.28920000000000012</c:v>
                </c:pt>
                <c:pt idx="201">
                  <c:v>0.28920000000000012</c:v>
                </c:pt>
                <c:pt idx="202">
                  <c:v>0.28920000000000012</c:v>
                </c:pt>
                <c:pt idx="203">
                  <c:v>0.28920000000000012</c:v>
                </c:pt>
                <c:pt idx="204">
                  <c:v>0.28920000000000012</c:v>
                </c:pt>
                <c:pt idx="205">
                  <c:v>0.28920000000000012</c:v>
                </c:pt>
                <c:pt idx="206">
                  <c:v>0.28920000000000012</c:v>
                </c:pt>
                <c:pt idx="207">
                  <c:v>0.28920000000000012</c:v>
                </c:pt>
                <c:pt idx="208">
                  <c:v>0.28920000000000012</c:v>
                </c:pt>
                <c:pt idx="209">
                  <c:v>0.28920000000000012</c:v>
                </c:pt>
                <c:pt idx="210">
                  <c:v>0.28920000000000012</c:v>
                </c:pt>
                <c:pt idx="211">
                  <c:v>0.28920000000000012</c:v>
                </c:pt>
                <c:pt idx="212">
                  <c:v>0.28920000000000012</c:v>
                </c:pt>
                <c:pt idx="213">
                  <c:v>0.28920000000000012</c:v>
                </c:pt>
                <c:pt idx="214">
                  <c:v>0.28920000000000012</c:v>
                </c:pt>
                <c:pt idx="215">
                  <c:v>0.28920000000000012</c:v>
                </c:pt>
                <c:pt idx="216">
                  <c:v>0.28920000000000012</c:v>
                </c:pt>
                <c:pt idx="217">
                  <c:v>0.28920000000000012</c:v>
                </c:pt>
                <c:pt idx="218">
                  <c:v>0.28920000000000012</c:v>
                </c:pt>
                <c:pt idx="219">
                  <c:v>0.28920000000000012</c:v>
                </c:pt>
                <c:pt idx="220">
                  <c:v>0.28920000000000012</c:v>
                </c:pt>
                <c:pt idx="221">
                  <c:v>0.28920000000000012</c:v>
                </c:pt>
                <c:pt idx="222">
                  <c:v>0.28920000000000012</c:v>
                </c:pt>
                <c:pt idx="223">
                  <c:v>0.28920000000000012</c:v>
                </c:pt>
                <c:pt idx="224">
                  <c:v>0.28920000000000012</c:v>
                </c:pt>
                <c:pt idx="225">
                  <c:v>0.28920000000000012</c:v>
                </c:pt>
                <c:pt idx="226">
                  <c:v>0.28920000000000012</c:v>
                </c:pt>
                <c:pt idx="227">
                  <c:v>0.28920000000000012</c:v>
                </c:pt>
                <c:pt idx="228">
                  <c:v>0.28920000000000012</c:v>
                </c:pt>
                <c:pt idx="229">
                  <c:v>0.28920000000000012</c:v>
                </c:pt>
                <c:pt idx="230">
                  <c:v>0.28920000000000012</c:v>
                </c:pt>
                <c:pt idx="231">
                  <c:v>0.28920000000000012</c:v>
                </c:pt>
                <c:pt idx="232">
                  <c:v>0.28920000000000012</c:v>
                </c:pt>
                <c:pt idx="233">
                  <c:v>0.28920000000000012</c:v>
                </c:pt>
                <c:pt idx="234">
                  <c:v>0.28920000000000012</c:v>
                </c:pt>
                <c:pt idx="235">
                  <c:v>0.28920000000000012</c:v>
                </c:pt>
                <c:pt idx="236">
                  <c:v>0.28920000000000012</c:v>
                </c:pt>
                <c:pt idx="237">
                  <c:v>0.28920000000000012</c:v>
                </c:pt>
                <c:pt idx="238">
                  <c:v>0.28920000000000012</c:v>
                </c:pt>
                <c:pt idx="239">
                  <c:v>0.28920000000000012</c:v>
                </c:pt>
                <c:pt idx="240">
                  <c:v>0.31329999999999991</c:v>
                </c:pt>
                <c:pt idx="241">
                  <c:v>0.31329999999999991</c:v>
                </c:pt>
                <c:pt idx="242">
                  <c:v>0.31329999999999991</c:v>
                </c:pt>
                <c:pt idx="243">
                  <c:v>0.31329999999999991</c:v>
                </c:pt>
                <c:pt idx="244">
                  <c:v>0.31329999999999991</c:v>
                </c:pt>
                <c:pt idx="245">
                  <c:v>0.31329999999999991</c:v>
                </c:pt>
                <c:pt idx="246">
                  <c:v>0.31329999999999991</c:v>
                </c:pt>
                <c:pt idx="247">
                  <c:v>0.31329999999999991</c:v>
                </c:pt>
                <c:pt idx="248">
                  <c:v>0.31329999999999991</c:v>
                </c:pt>
                <c:pt idx="249">
                  <c:v>0.31329999999999991</c:v>
                </c:pt>
                <c:pt idx="250">
                  <c:v>0.31329999999999991</c:v>
                </c:pt>
                <c:pt idx="251">
                  <c:v>0.31329999999999991</c:v>
                </c:pt>
                <c:pt idx="252">
                  <c:v>0.31329999999999991</c:v>
                </c:pt>
                <c:pt idx="253">
                  <c:v>0.31329999999999991</c:v>
                </c:pt>
                <c:pt idx="254">
                  <c:v>0.31329999999999991</c:v>
                </c:pt>
                <c:pt idx="255">
                  <c:v>0.31329999999999991</c:v>
                </c:pt>
                <c:pt idx="256">
                  <c:v>0.31329999999999991</c:v>
                </c:pt>
                <c:pt idx="257">
                  <c:v>0.31329999999999991</c:v>
                </c:pt>
                <c:pt idx="258">
                  <c:v>0.31329999999999991</c:v>
                </c:pt>
                <c:pt idx="259">
                  <c:v>0.31329999999999991</c:v>
                </c:pt>
                <c:pt idx="260">
                  <c:v>0.31329999999999991</c:v>
                </c:pt>
                <c:pt idx="261">
                  <c:v>0.31329999999999991</c:v>
                </c:pt>
                <c:pt idx="262">
                  <c:v>0.31329999999999991</c:v>
                </c:pt>
                <c:pt idx="263">
                  <c:v>0.31329999999999991</c:v>
                </c:pt>
                <c:pt idx="264">
                  <c:v>0.31329999999999991</c:v>
                </c:pt>
                <c:pt idx="265">
                  <c:v>0.31329999999999991</c:v>
                </c:pt>
                <c:pt idx="266">
                  <c:v>0.31329999999999991</c:v>
                </c:pt>
                <c:pt idx="267">
                  <c:v>0.31329999999999991</c:v>
                </c:pt>
                <c:pt idx="268">
                  <c:v>0.31329999999999991</c:v>
                </c:pt>
                <c:pt idx="269">
                  <c:v>0.31329999999999991</c:v>
                </c:pt>
                <c:pt idx="270">
                  <c:v>0.31329999999999991</c:v>
                </c:pt>
                <c:pt idx="271">
                  <c:v>0.31329999999999991</c:v>
                </c:pt>
                <c:pt idx="272">
                  <c:v>0.31329999999999991</c:v>
                </c:pt>
                <c:pt idx="273">
                  <c:v>0.31329999999999991</c:v>
                </c:pt>
                <c:pt idx="274">
                  <c:v>0.31329999999999991</c:v>
                </c:pt>
                <c:pt idx="275">
                  <c:v>0.33740000000000014</c:v>
                </c:pt>
                <c:pt idx="276">
                  <c:v>0.33740000000000014</c:v>
                </c:pt>
                <c:pt idx="277">
                  <c:v>0.33740000000000014</c:v>
                </c:pt>
                <c:pt idx="278">
                  <c:v>0.33740000000000014</c:v>
                </c:pt>
                <c:pt idx="279">
                  <c:v>0.33740000000000014</c:v>
                </c:pt>
                <c:pt idx="280">
                  <c:v>0.33740000000000014</c:v>
                </c:pt>
                <c:pt idx="281">
                  <c:v>0.33740000000000014</c:v>
                </c:pt>
                <c:pt idx="282">
                  <c:v>0.33740000000000014</c:v>
                </c:pt>
                <c:pt idx="283">
                  <c:v>0.33740000000000014</c:v>
                </c:pt>
                <c:pt idx="284">
                  <c:v>0.33740000000000014</c:v>
                </c:pt>
                <c:pt idx="285">
                  <c:v>0.33740000000000014</c:v>
                </c:pt>
                <c:pt idx="286">
                  <c:v>0.33740000000000014</c:v>
                </c:pt>
                <c:pt idx="287">
                  <c:v>0.33740000000000014</c:v>
                </c:pt>
                <c:pt idx="288">
                  <c:v>0.33740000000000014</c:v>
                </c:pt>
                <c:pt idx="289">
                  <c:v>0.33740000000000014</c:v>
                </c:pt>
                <c:pt idx="290">
                  <c:v>0.33740000000000014</c:v>
                </c:pt>
                <c:pt idx="291">
                  <c:v>0.33740000000000014</c:v>
                </c:pt>
                <c:pt idx="292">
                  <c:v>0.33740000000000014</c:v>
                </c:pt>
                <c:pt idx="293">
                  <c:v>0.33740000000000014</c:v>
                </c:pt>
                <c:pt idx="294">
                  <c:v>0.33740000000000014</c:v>
                </c:pt>
                <c:pt idx="295">
                  <c:v>0.33740000000000014</c:v>
                </c:pt>
                <c:pt idx="296">
                  <c:v>0.33740000000000014</c:v>
                </c:pt>
                <c:pt idx="297">
                  <c:v>0.33740000000000014</c:v>
                </c:pt>
                <c:pt idx="298">
                  <c:v>0.33740000000000014</c:v>
                </c:pt>
                <c:pt idx="299">
                  <c:v>0.33740000000000014</c:v>
                </c:pt>
                <c:pt idx="300">
                  <c:v>0</c:v>
                </c:pt>
              </c:numCache>
            </c:numRef>
          </c:xVal>
          <c:yVal>
            <c:numRef>
              <c:f>HiddenPlotData!$C$3:$C$303</c:f>
              <c:numCache>
                <c:formatCode>General</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0-DEB8-46AA-A96E-0482BD366A3C}"/>
            </c:ext>
          </c:extLst>
        </c:ser>
        <c:ser>
          <c:idx val="1"/>
          <c:order val="1"/>
          <c:tx>
            <c:v>Best Fit</c:v>
          </c:tx>
          <c:spPr>
            <a:ln w="25400">
              <a:solidFill>
                <a:srgbClr val="800000"/>
              </a:solidFill>
              <a:prstDash val="solid"/>
            </a:ln>
          </c:spPr>
          <c:marker>
            <c:symbol val="none"/>
          </c:marker>
          <c:xVal>
            <c:numRef>
              <c:f>'EVA Calcs'!$G$35:$G$335</c:f>
              <c:numCache>
                <c:formatCode>0.000</c:formatCode>
                <c:ptCount val="301"/>
                <c:pt idx="0">
                  <c:v>6.5225784066722831E-2</c:v>
                </c:pt>
                <c:pt idx="1">
                  <c:v>7.4453748813920514E-2</c:v>
                </c:pt>
                <c:pt idx="2">
                  <c:v>8.0439171796322706E-2</c:v>
                </c:pt>
                <c:pt idx="3">
                  <c:v>8.5000492860507856E-2</c:v>
                </c:pt>
                <c:pt idx="4">
                  <c:v>8.8743168229237418E-2</c:v>
                </c:pt>
                <c:pt idx="5">
                  <c:v>9.1948414963674396E-2</c:v>
                </c:pt>
                <c:pt idx="6">
                  <c:v>9.4771261660117317E-2</c:v>
                </c:pt>
                <c:pt idx="7">
                  <c:v>9.7306819500575473E-2</c:v>
                </c:pt>
                <c:pt idx="8">
                  <c:v>9.9617905540232296E-2</c:v>
                </c:pt>
                <c:pt idx="9">
                  <c:v>0.10174831558125123</c:v>
                </c:pt>
                <c:pt idx="10">
                  <c:v>0.10372987801389359</c:v>
                </c:pt>
                <c:pt idx="11">
                  <c:v>0.10558649715809203</c:v>
                </c:pt>
                <c:pt idx="12">
                  <c:v>0.10733661199939877</c:v>
                </c:pt>
                <c:pt idx="13">
                  <c:v>0.10899476408510776</c:v>
                </c:pt>
                <c:pt idx="14">
                  <c:v>0.11057263720506631</c:v>
                </c:pt>
                <c:pt idx="15">
                  <c:v>0.11207976976759328</c:v>
                </c:pt>
                <c:pt idx="16">
                  <c:v>0.11352405670284252</c:v>
                </c:pt>
                <c:pt idx="17">
                  <c:v>0.11491211166871176</c:v>
                </c:pt>
                <c:pt idx="18">
                  <c:v>0.11624953396244267</c:v>
                </c:pt>
                <c:pt idx="19">
                  <c:v>0.11754110885496521</c:v>
                </c:pt>
                <c:pt idx="20">
                  <c:v>0.11879096042103733</c:v>
                </c:pt>
                <c:pt idx="21">
                  <c:v>0.1200026698342062</c:v>
                </c:pt>
                <c:pt idx="22">
                  <c:v>0.12117936813150795</c:v>
                </c:pt>
                <c:pt idx="23">
                  <c:v>0.12232380981868568</c:v>
                </c:pt>
                <c:pt idx="24">
                  <c:v>0.12343843189990877</c:v>
                </c:pt>
                <c:pt idx="25">
                  <c:v>0.12452540168120164</c:v>
                </c:pt>
                <c:pt idx="26">
                  <c:v>0.12558665582896833</c:v>
                </c:pt>
                <c:pt idx="27">
                  <c:v>0.12662393254562343</c:v>
                </c:pt>
                <c:pt idx="28">
                  <c:v>0.12763879827600694</c:v>
                </c:pt>
                <c:pt idx="29">
                  <c:v>0.12863267002950945</c:v>
                </c:pt>
                <c:pt idx="30">
                  <c:v>0.12960683415887042</c:v>
                </c:pt>
                <c:pt idx="31">
                  <c:v>0.13056246225355617</c:v>
                </c:pt>
                <c:pt idx="32">
                  <c:v>0.13150062466685603</c:v>
                </c:pt>
                <c:pt idx="33">
                  <c:v>0.13242230208962563</c:v>
                </c:pt>
                <c:pt idx="34">
                  <c:v>0.1333283955015957</c:v>
                </c:pt>
                <c:pt idx="35">
                  <c:v>0.13421973476730248</c:v>
                </c:pt>
                <c:pt idx="36">
                  <c:v>0.13509708609358317</c:v>
                </c:pt>
                <c:pt idx="37">
                  <c:v>0.13596115852596147</c:v>
                </c:pt>
                <c:pt idx="38">
                  <c:v>0.13681260962971123</c:v>
                </c:pt>
                <c:pt idx="39">
                  <c:v>0.13765205047612175</c:v>
                </c:pt>
                <c:pt idx="40">
                  <c:v>0.13848005003411654</c:v>
                </c:pt>
                <c:pt idx="41">
                  <c:v>0.1392971390508638</c:v>
                </c:pt>
                <c:pt idx="42">
                  <c:v>0.14010381349154938</c:v>
                </c:pt>
                <c:pt idx="43">
                  <c:v>0.14090053759744775</c:v>
                </c:pt>
                <c:pt idx="44">
                  <c:v>0.14168774661233491</c:v>
                </c:pt>
                <c:pt idx="45">
                  <c:v>0.14246584921976513</c:v>
                </c:pt>
                <c:pt idx="46">
                  <c:v>0.14323522972747951</c:v>
                </c:pt>
                <c:pt idx="47">
                  <c:v>0.14399625002999278</c:v>
                </c:pt>
                <c:pt idx="48">
                  <c:v>0.14474925137602859</c:v>
                </c:pt>
                <c:pt idx="49">
                  <c:v>0.14549455596378971</c:v>
                </c:pt>
                <c:pt idx="50">
                  <c:v>0.14623246838393883</c:v>
                </c:pt>
                <c:pt idx="51">
                  <c:v>0.14696327692752698</c:v>
                </c:pt>
                <c:pt idx="52">
                  <c:v>0.14768725477386313</c:v>
                </c:pt>
                <c:pt idx="53">
                  <c:v>0.14840466107140421</c:v>
                </c:pt>
                <c:pt idx="54">
                  <c:v>0.14911574192310345</c:v>
                </c:pt>
                <c:pt idx="55">
                  <c:v>0.14982073128624868</c:v>
                </c:pt>
                <c:pt idx="56">
                  <c:v>0.1505198517956079</c:v>
                </c:pt>
                <c:pt idx="57">
                  <c:v>0.15121331551765324</c:v>
                </c:pt>
                <c:pt idx="58">
                  <c:v>0.15190132464272577</c:v>
                </c:pt>
                <c:pt idx="59">
                  <c:v>0.15258407212121747</c:v>
                </c:pt>
                <c:pt idx="60">
                  <c:v>0.15326174224915928</c:v>
                </c:pt>
                <c:pt idx="61">
                  <c:v>0.15393451120800747</c:v>
                </c:pt>
                <c:pt idx="62">
                  <c:v>0.15460254756289527</c:v>
                </c:pt>
                <c:pt idx="63">
                  <c:v>0.15526601272315979</c:v>
                </c:pt>
                <c:pt idx="64">
                  <c:v>0.15592506136854947</c:v>
                </c:pt>
                <c:pt idx="65">
                  <c:v>0.15657984184416351</c:v>
                </c:pt>
                <c:pt idx="66">
                  <c:v>0.15723049652686097</c:v>
                </c:pt>
                <c:pt idx="67">
                  <c:v>0.15787716216560069</c:v>
                </c:pt>
                <c:pt idx="68">
                  <c:v>0.15851997019792802</c:v>
                </c:pt>
                <c:pt idx="69">
                  <c:v>0.15915904704460643</c:v>
                </c:pt>
                <c:pt idx="70">
                  <c:v>0.15979451438419939</c:v>
                </c:pt>
                <c:pt idx="71">
                  <c:v>0.16042648940923487</c:v>
                </c:pt>
                <c:pt idx="72">
                  <c:v>0.16105508506543187</c:v>
                </c:pt>
                <c:pt idx="73">
                  <c:v>0.16168041027533051</c:v>
                </c:pt>
                <c:pt idx="74">
                  <c:v>0.16230257014754515</c:v>
                </c:pt>
                <c:pt idx="75">
                  <c:v>0.16292166617274911</c:v>
                </c:pt>
                <c:pt idx="76">
                  <c:v>0.16353779640740096</c:v>
                </c:pt>
                <c:pt idx="77">
                  <c:v>0.164151055646134</c:v>
                </c:pt>
                <c:pt idx="78">
                  <c:v>0.16476153558364973</c:v>
                </c:pt>
                <c:pt idx="79">
                  <c:v>0.16536932496688456</c:v>
                </c:pt>
                <c:pt idx="80">
                  <c:v>0.16597450973815372</c:v>
                </c:pt>
                <c:pt idx="81">
                  <c:v>0.16657717316991738</c:v>
                </c:pt>
                <c:pt idx="82">
                  <c:v>0.16717739599176068</c:v>
                </c:pt>
                <c:pt idx="83">
                  <c:v>0.16777525651013159</c:v>
                </c:pt>
                <c:pt idx="84">
                  <c:v>0.1683708307213358</c:v>
                </c:pt>
                <c:pt idx="85">
                  <c:v>0.16896419241824878</c:v>
                </c:pt>
                <c:pt idx="86">
                  <c:v>0.16955541329116874</c:v>
                </c:pt>
                <c:pt idx="87">
                  <c:v>0.17014456302320097</c:v>
                </c:pt>
                <c:pt idx="88">
                  <c:v>0.17073170938053442</c:v>
                </c:pt>
                <c:pt idx="89">
                  <c:v>0.17131691829794371</c:v>
                </c:pt>
                <c:pt idx="90">
                  <c:v>0.17190025395982464</c:v>
                </c:pt>
                <c:pt idx="91">
                  <c:v>0.17248177887704846</c:v>
                </c:pt>
                <c:pt idx="92">
                  <c:v>0.17306155395989933</c:v>
                </c:pt>
                <c:pt idx="93">
                  <c:v>0.17363963858733983</c:v>
                </c:pt>
                <c:pt idx="94">
                  <c:v>0.17421609067283206</c:v>
                </c:pt>
                <c:pt idx="95">
                  <c:v>0.17479096672692557</c:v>
                </c:pt>
                <c:pt idx="96">
                  <c:v>0.1753643219168084</c:v>
                </c:pt>
                <c:pt idx="97">
                  <c:v>0.17593621012300392</c:v>
                </c:pt>
                <c:pt idx="98">
                  <c:v>0.1765066839933839</c:v>
                </c:pt>
                <c:pt idx="99">
                  <c:v>0.17707579499465567</c:v>
                </c:pt>
                <c:pt idx="100">
                  <c:v>0.17764359346147179</c:v>
                </c:pt>
                <c:pt idx="101">
                  <c:v>0.17821012864329971</c:v>
                </c:pt>
                <c:pt idx="102">
                  <c:v>0.17877544874918069</c:v>
                </c:pt>
                <c:pt idx="103">
                  <c:v>0.17933960099049778</c:v>
                </c:pt>
                <c:pt idx="104">
                  <c:v>0.1799026316218659</c:v>
                </c:pt>
                <c:pt idx="105">
                  <c:v>0.18046458598024939</c:v>
                </c:pt>
                <c:pt idx="106">
                  <c:v>0.18102550852240532</c:v>
                </c:pt>
                <c:pt idx="107">
                  <c:v>0.18158544286074538</c:v>
                </c:pt>
                <c:pt idx="108">
                  <c:v>0.1821444317977032</c:v>
                </c:pt>
                <c:pt idx="109">
                  <c:v>0.18270251735868798</c:v>
                </c:pt>
                <c:pt idx="110">
                  <c:v>0.18325974082370153</c:v>
                </c:pt>
                <c:pt idx="111">
                  <c:v>0.18381614275768987</c:v>
                </c:pt>
                <c:pt idx="112">
                  <c:v>0.18437176303969768</c:v>
                </c:pt>
                <c:pt idx="113">
                  <c:v>0.18492664089088831</c:v>
                </c:pt>
                <c:pt idx="114">
                  <c:v>0.1854808149014901</c:v>
                </c:pt>
                <c:pt idx="115">
                  <c:v>0.18603432305672454</c:v>
                </c:pt>
                <c:pt idx="116">
                  <c:v>0.1865872027617699</c:v>
                </c:pt>
                <c:pt idx="117">
                  <c:v>0.18713949086581061</c:v>
                </c:pt>
                <c:pt idx="118">
                  <c:v>0.18769122368521904</c:v>
                </c:pt>
                <c:pt idx="119">
                  <c:v>0.18824243702591509</c:v>
                </c:pt>
                <c:pt idx="120">
                  <c:v>0.18879316620494563</c:v>
                </c:pt>
                <c:pt idx="121">
                  <c:v>0.18934344607132331</c:v>
                </c:pt>
                <c:pt idx="122">
                  <c:v>0.18989331102616328</c:v>
                </c:pt>
                <c:pt idx="123">
                  <c:v>0.19044279504215297</c:v>
                </c:pt>
                <c:pt idx="124">
                  <c:v>0.19099193168238951</c:v>
                </c:pt>
                <c:pt idx="125">
                  <c:v>0.19154075411861604</c:v>
                </c:pt>
                <c:pt idx="126">
                  <c:v>0.19208929514888856</c:v>
                </c:pt>
                <c:pt idx="127">
                  <c:v>0.19263758721470142</c:v>
                </c:pt>
                <c:pt idx="128">
                  <c:v>0.19318566241759924</c:v>
                </c:pt>
                <c:pt idx="129">
                  <c:v>0.19373355253530175</c:v>
                </c:pt>
                <c:pt idx="130">
                  <c:v>0.194281289037366</c:v>
                </c:pt>
                <c:pt idx="131">
                  <c:v>0.19482890310040987</c:v>
                </c:pt>
                <c:pt idx="132">
                  <c:v>0.19537642562291963</c:v>
                </c:pt>
                <c:pt idx="133">
                  <c:v>0.19592388723966261</c:v>
                </c:pt>
                <c:pt idx="134">
                  <c:v>0.19647131833572626</c:v>
                </c:pt>
                <c:pt idx="135">
                  <c:v>0.19701874906020239</c:v>
                </c:pt>
                <c:pt idx="136">
                  <c:v>0.19756620933953617</c:v>
                </c:pt>
                <c:pt idx="137">
                  <c:v>0.1981137288905572</c:v>
                </c:pt>
                <c:pt idx="138">
                  <c:v>0.19866133723321017</c:v>
                </c:pt>
                <c:pt idx="139">
                  <c:v>0.19920906370300154</c:v>
                </c:pt>
                <c:pt idx="140">
                  <c:v>0.19975693746317785</c:v>
                </c:pt>
                <c:pt idx="141">
                  <c:v>0.20030498751665105</c:v>
                </c:pt>
                <c:pt idx="142">
                  <c:v>0.20085324271768523</c:v>
                </c:pt>
                <c:pt idx="143">
                  <c:v>0.20140173178335891</c:v>
                </c:pt>
                <c:pt idx="144">
                  <c:v>0.20195048330481602</c:v>
                </c:pt>
                <c:pt idx="145">
                  <c:v>0.20249952575831917</c:v>
                </c:pt>
                <c:pt idx="146">
                  <c:v>0.20304888751611722</c:v>
                </c:pt>
                <c:pt idx="147">
                  <c:v>0.20359859685713921</c:v>
                </c:pt>
                <c:pt idx="148">
                  <c:v>0.204148681977527</c:v>
                </c:pt>
                <c:pt idx="149">
                  <c:v>0.20469917100101706</c:v>
                </c:pt>
                <c:pt idx="150">
                  <c:v>0.2052500919891832</c:v>
                </c:pt>
                <c:pt idx="151">
                  <c:v>0.20580147295155024</c:v>
                </c:pt>
                <c:pt idx="152">
                  <c:v>0.20635334185558951</c:v>
                </c:pt>
                <c:pt idx="153">
                  <c:v>0.2069057266366057</c:v>
                </c:pt>
                <c:pt idx="154">
                  <c:v>0.20745865520752546</c:v>
                </c:pt>
                <c:pt idx="155">
                  <c:v>0.20801215546859692</c:v>
                </c:pt>
                <c:pt idx="156">
                  <c:v>0.20856625531700942</c:v>
                </c:pt>
                <c:pt idx="157">
                  <c:v>0.20912098265644313</c:v>
                </c:pt>
                <c:pt idx="158">
                  <c:v>0.20967636540655679</c:v>
                </c:pt>
                <c:pt idx="159">
                  <c:v>0.21023243151242291</c:v>
                </c:pt>
                <c:pt idx="160">
                  <c:v>0.21078920895391901</c:v>
                </c:pt>
                <c:pt idx="161">
                  <c:v>0.21134672575508306</c:v>
                </c:pt>
                <c:pt idx="162">
                  <c:v>0.211905009993442</c:v>
                </c:pt>
                <c:pt idx="163">
                  <c:v>0.21246408980932105</c:v>
                </c:pt>
                <c:pt idx="164">
                  <c:v>0.21302399341514283</c:v>
                </c:pt>
                <c:pt idx="165">
                  <c:v>0.21358474910472341</c:v>
                </c:pt>
                <c:pt idx="166">
                  <c:v>0.2141463852625741</c:v>
                </c:pt>
                <c:pt idx="167">
                  <c:v>0.21470893037321687</c:v>
                </c:pt>
                <c:pt idx="168">
                  <c:v>0.21527241303052089</c:v>
                </c:pt>
                <c:pt idx="169">
                  <c:v>0.2158368619470688</c:v>
                </c:pt>
                <c:pt idx="170">
                  <c:v>0.2164023059635603</c:v>
                </c:pt>
                <c:pt idx="171">
                  <c:v>0.21696877405826093</c:v>
                </c:pt>
                <c:pt idx="172">
                  <c:v>0.21753629535650429</c:v>
                </c:pt>
                <c:pt idx="173">
                  <c:v>0.21810489914025541</c:v>
                </c:pt>
                <c:pt idx="174">
                  <c:v>0.21867461485774362</c:v>
                </c:pt>
                <c:pt idx="175">
                  <c:v>0.21924547213317261</c:v>
                </c:pt>
                <c:pt idx="176">
                  <c:v>0.21981750077651638</c:v>
                </c:pt>
                <c:pt idx="177">
                  <c:v>0.2203907307934086</c:v>
                </c:pt>
                <c:pt idx="178">
                  <c:v>0.2209651923951346</c:v>
                </c:pt>
                <c:pt idx="179">
                  <c:v>0.22154091600873357</c:v>
                </c:pt>
                <c:pt idx="180">
                  <c:v>0.22211793228722024</c:v>
                </c:pt>
                <c:pt idx="181">
                  <c:v>0.22269627211993426</c:v>
                </c:pt>
                <c:pt idx="182">
                  <c:v>0.22327596664302654</c:v>
                </c:pt>
                <c:pt idx="183">
                  <c:v>0.22385704725009101</c:v>
                </c:pt>
                <c:pt idx="184">
                  <c:v>0.22443954560295168</c:v>
                </c:pt>
                <c:pt idx="185">
                  <c:v>0.22502349364261384</c:v>
                </c:pt>
                <c:pt idx="186">
                  <c:v>0.22560892360038934</c:v>
                </c:pt>
                <c:pt idx="187">
                  <c:v>0.22619586800920549</c:v>
                </c:pt>
                <c:pt idx="188">
                  <c:v>0.22678435971510791</c:v>
                </c:pt>
                <c:pt idx="189">
                  <c:v>0.2273744318889673</c:v>
                </c:pt>
                <c:pt idx="190">
                  <c:v>0.22796611803840142</c:v>
                </c:pt>
                <c:pt idx="191">
                  <c:v>0.22855945201992203</c:v>
                </c:pt>
                <c:pt idx="192">
                  <c:v>0.22915446805131925</c:v>
                </c:pt>
                <c:pt idx="193">
                  <c:v>0.22975120072429384</c:v>
                </c:pt>
                <c:pt idx="194">
                  <c:v>0.23034968501734981</c:v>
                </c:pt>
                <c:pt idx="195">
                  <c:v>0.23094995630895976</c:v>
                </c:pt>
                <c:pt idx="196">
                  <c:v>0.23155205039101492</c:v>
                </c:pt>
                <c:pt idx="197">
                  <c:v>0.23215600348257348</c:v>
                </c:pt>
                <c:pt idx="198">
                  <c:v>0.2327618522439209</c:v>
                </c:pt>
                <c:pt idx="199">
                  <c:v>0.23336963379095538</c:v>
                </c:pt>
                <c:pt idx="200">
                  <c:v>0.23397938570991364</c:v>
                </c:pt>
                <c:pt idx="201">
                  <c:v>0.23459114607245207</c:v>
                </c:pt>
                <c:pt idx="202">
                  <c:v>0.23520495345109771</c:v>
                </c:pt>
                <c:pt idx="203">
                  <c:v>0.23582084693508687</c:v>
                </c:pt>
                <c:pt idx="204">
                  <c:v>0.23643886614660634</c:v>
                </c:pt>
                <c:pt idx="205">
                  <c:v>0.2370590512574558</c:v>
                </c:pt>
                <c:pt idx="206">
                  <c:v>0.23768144300614918</c:v>
                </c:pt>
                <c:pt idx="207">
                  <c:v>0.23830608271547302</c:v>
                </c:pt>
                <c:pt idx="208">
                  <c:v>0.23893301231052239</c:v>
                </c:pt>
                <c:pt idx="209">
                  <c:v>0.23956227433723415</c:v>
                </c:pt>
                <c:pt idx="210">
                  <c:v>0.24019391198143838</c:v>
                </c:pt>
                <c:pt idx="211">
                  <c:v>0.24082796908845061</c:v>
                </c:pt>
                <c:pt idx="212">
                  <c:v>0.24146449018322771</c:v>
                </c:pt>
                <c:pt idx="213">
                  <c:v>0.24210352049111064</c:v>
                </c:pt>
                <c:pt idx="214">
                  <c:v>0.24274510595918042</c:v>
                </c:pt>
                <c:pt idx="215">
                  <c:v>0.2433892932782519</c:v>
                </c:pt>
                <c:pt idx="216">
                  <c:v>0.24403612990553369</c:v>
                </c:pt>
                <c:pt idx="217">
                  <c:v>0.24468566408798217</c:v>
                </c:pt>
                <c:pt idx="218">
                  <c:v>0.24533794488637939</c:v>
                </c:pt>
                <c:pt idx="219">
                  <c:v>0.24599302220016589</c:v>
                </c:pt>
                <c:pt idx="220">
                  <c:v>0.24665094679306168</c:v>
                </c:pt>
                <c:pt idx="221">
                  <c:v>0.2473117703195078</c:v>
                </c:pt>
                <c:pt idx="222">
                  <c:v>0.24797554535196614</c:v>
                </c:pt>
                <c:pt idx="223">
                  <c:v>0.24864232540911341</c:v>
                </c:pt>
                <c:pt idx="224">
                  <c:v>0.24931216498496878</c:v>
                </c:pt>
                <c:pt idx="225">
                  <c:v>0.24998511957899661</c:v>
                </c:pt>
                <c:pt idx="226">
                  <c:v>0.25066124572722659</c:v>
                </c:pt>
                <c:pt idx="227">
                  <c:v>0.25134060103443706</c:v>
                </c:pt>
                <c:pt idx="228">
                  <c:v>0.25202324420744893</c:v>
                </c:pt>
                <c:pt idx="229">
                  <c:v>0.25270923508957882</c:v>
                </c:pt>
                <c:pt idx="230">
                  <c:v>0.25339863469630541</c:v>
                </c:pt>
                <c:pt idx="231">
                  <c:v>0.25409150525220281</c:v>
                </c:pt>
                <c:pt idx="232">
                  <c:v>0.25478791022919856</c:v>
                </c:pt>
                <c:pt idx="233">
                  <c:v>0.25548791438621798</c:v>
                </c:pt>
                <c:pt idx="234">
                  <c:v>0.25619158381027796</c:v>
                </c:pt>
                <c:pt idx="235">
                  <c:v>0.25689898595909771</c:v>
                </c:pt>
                <c:pt idx="236">
                  <c:v>0.25761018970529737</c:v>
                </c:pt>
                <c:pt idx="237">
                  <c:v>0.25832526538225919</c:v>
                </c:pt>
                <c:pt idx="238">
                  <c:v>0.2590442848317302</c:v>
                </c:pt>
                <c:pt idx="239">
                  <c:v>0.25976732145324838</c:v>
                </c:pt>
                <c:pt idx="240">
                  <c:v>0.26049445025548146</c:v>
                </c:pt>
                <c:pt idx="241">
                  <c:v>0.26122574790956915</c:v>
                </c:pt>
                <c:pt idx="242">
                  <c:v>0.26196129280456804</c:v>
                </c:pt>
                <c:pt idx="243">
                  <c:v>0.26270116510510011</c:v>
                </c:pt>
                <c:pt idx="244">
                  <c:v>0.26344544681131626</c:v>
                </c:pt>
                <c:pt idx="245">
                  <c:v>0.26419422182128804</c:v>
                </c:pt>
                <c:pt idx="246">
                  <c:v>0.26494757599595053</c:v>
                </c:pt>
                <c:pt idx="247">
                  <c:v>0.26570559722672504</c:v>
                </c:pt>
                <c:pt idx="248">
                  <c:v>0.26646837550595803</c:v>
                </c:pt>
                <c:pt idx="249">
                  <c:v>0.26723600300032141</c:v>
                </c:pt>
                <c:pt idx="250">
                  <c:v>0.26800857412732693</c:v>
                </c:pt>
                <c:pt idx="251">
                  <c:v>0.26878618563511791</c:v>
                </c:pt>
                <c:pt idx="252">
                  <c:v>0.26956893668571036</c:v>
                </c:pt>
                <c:pt idx="253">
                  <c:v>0.27035692894186714</c:v>
                </c:pt>
                <c:pt idx="254">
                  <c:v>0.27115026665779896</c:v>
                </c:pt>
                <c:pt idx="255">
                  <c:v>0.27194905677390002</c:v>
                </c:pt>
                <c:pt idx="256">
                  <c:v>0.27275340901573697</c:v>
                </c:pt>
                <c:pt idx="257">
                  <c:v>0.27356343599752586</c:v>
                </c:pt>
                <c:pt idx="258">
                  <c:v>0.27437925333034563</c:v>
                </c:pt>
                <c:pt idx="259">
                  <c:v>0.27520097973535335</c:v>
                </c:pt>
                <c:pt idx="260">
                  <c:v>0.27602873716228354</c:v>
                </c:pt>
                <c:pt idx="261">
                  <c:v>0.27686265091353313</c:v>
                </c:pt>
                <c:pt idx="262">
                  <c:v>0.27770284977415305</c:v>
                </c:pt>
                <c:pt idx="263">
                  <c:v>0.27854946614808984</c:v>
                </c:pt>
                <c:pt idx="264">
                  <c:v>0.27940263620104427</c:v>
                </c:pt>
                <c:pt idx="265">
                  <c:v>0.28026250001033703</c:v>
                </c:pt>
                <c:pt idx="266">
                  <c:v>0.28112920172220324</c:v>
                </c:pt>
                <c:pt idx="267">
                  <c:v>0.28200288971696186</c:v>
                </c:pt>
                <c:pt idx="268">
                  <c:v>0.28288371678254165</c:v>
                </c:pt>
                <c:pt idx="269">
                  <c:v>0.28377184029687852</c:v>
                </c:pt>
                <c:pt idx="270">
                  <c:v>0.28466742241973597</c:v>
                </c:pt>
                <c:pt idx="271">
                  <c:v>0.28557063029454188</c:v>
                </c:pt>
                <c:pt idx="272">
                  <c:v>0.2864816362608778</c:v>
                </c:pt>
                <c:pt idx="273">
                  <c:v>0.2874006180783048</c:v>
                </c:pt>
                <c:pt idx="274">
                  <c:v>0.28832775916226272</c:v>
                </c:pt>
                <c:pt idx="275">
                  <c:v>0.28926324883283405</c:v>
                </c:pt>
                <c:pt idx="276">
                  <c:v>0.29020728257722683</c:v>
                </c:pt>
                <c:pt idx="277">
                  <c:v>0.29116006232689584</c:v>
                </c:pt>
                <c:pt idx="278">
                  <c:v>0.29212179675029692</c:v>
                </c:pt>
                <c:pt idx="279">
                  <c:v>0.29309270156234457</c:v>
                </c:pt>
                <c:pt idx="280">
                  <c:v>0.2940729998517343</c:v>
                </c:pt>
                <c:pt idx="281">
                  <c:v>0.29506292242738291</c:v>
                </c:pt>
                <c:pt idx="282">
                  <c:v>0.29606270818534441</c:v>
                </c:pt>
                <c:pt idx="283">
                  <c:v>0.29707260449767503</c:v>
                </c:pt>
                <c:pt idx="284">
                  <c:v>0.29809286762484216</c:v>
                </c:pt>
                <c:pt idx="285">
                  <c:v>0.29912376315341332</c:v>
                </c:pt>
                <c:pt idx="286">
                  <c:v>0.30016556646090847</c:v>
                </c:pt>
                <c:pt idx="287">
                  <c:v>0.30121856320986684</c:v>
                </c:pt>
                <c:pt idx="288">
                  <c:v>0.30228304987336219</c:v>
                </c:pt>
                <c:pt idx="289">
                  <c:v>0.30335933429440204</c:v>
                </c:pt>
                <c:pt idx="290">
                  <c:v>0.30444773628186789</c:v>
                </c:pt>
                <c:pt idx="291">
                  <c:v>0.30554858824590309</c:v>
                </c:pt>
                <c:pt idx="292">
                  <c:v>0.30666223587592478</c:v>
                </c:pt>
                <c:pt idx="293">
                  <c:v>0.30778903886473991</c:v>
                </c:pt>
                <c:pt idx="294">
                  <c:v>0.30892937168258339</c:v>
                </c:pt>
                <c:pt idx="295">
                  <c:v>0.3100836244052666</c:v>
                </c:pt>
                <c:pt idx="296">
                  <c:v>0.31125220360104378</c:v>
                </c:pt>
                <c:pt idx="297">
                  <c:v>0.31243553328126572</c:v>
                </c:pt>
                <c:pt idx="298">
                  <c:v>0.31363405592040949</c:v>
                </c:pt>
                <c:pt idx="299">
                  <c:v>0.31484823355165165</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1-DEB8-46AA-A96E-0482BD366A3C}"/>
            </c:ext>
          </c:extLst>
        </c:ser>
        <c:ser>
          <c:idx val="4"/>
          <c:order val="2"/>
          <c:tx>
            <c:v>Extreme Value</c:v>
          </c:tx>
          <c:spPr>
            <a:ln w="28575">
              <a:noFill/>
            </a:ln>
          </c:spPr>
          <c:marker>
            <c:symbol val="circle"/>
            <c:size val="8"/>
            <c:spPr>
              <a:noFill/>
              <a:ln>
                <a:solidFill>
                  <a:srgbClr val="800000"/>
                </a:solidFill>
                <a:prstDash val="solid"/>
              </a:ln>
            </c:spPr>
          </c:marker>
          <c:dLbls>
            <c:spPr>
              <a:noFill/>
              <a:ln w="25400">
                <a:noFill/>
              </a:ln>
            </c:spPr>
            <c:txPr>
              <a:bodyPr wrap="square" lIns="38100" tIns="19050" rIns="38100" bIns="19050" anchor="ctr">
                <a:spAutoFit/>
              </a:bodyPr>
              <a:lstStyle/>
              <a:p>
                <a:pPr>
                  <a:defRPr sz="1800" b="0" i="0" u="none" strike="noStrike" baseline="0">
                    <a:solidFill>
                      <a:srgbClr val="8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'EVA Calcs'!$G$338</c:f>
              <c:numCache>
                <c:formatCode>0.000</c:formatCode>
                <c:ptCount val="1"/>
                <c:pt idx="0">
                  <c:v>0</c:v>
                </c:pt>
              </c:numCache>
            </c:numRef>
          </c:xVal>
          <c:yVal>
            <c:numRef>
              <c:f>'EVA Calcs'!$E$338</c:f>
              <c:numCache>
                <c:formatCode>0.00</c:formatCode>
                <c:ptCount val="1"/>
                <c:pt idx="0">
                  <c:v>0</c:v>
                </c:pt>
              </c:numCache>
            </c:numRef>
          </c:yVal>
          <c:smooth val="0"/>
          <c:extLst>
            <c:ext xmlns:c16="http://schemas.microsoft.com/office/drawing/2014/chart" uri="{C3380CC4-5D6E-409C-BE32-E72D297353CC}">
              <c16:uniqueId val="{00000002-DEB8-46AA-A96E-0482BD366A3C}"/>
            </c:ext>
          </c:extLst>
        </c:ser>
        <c:ser>
          <c:idx val="5"/>
          <c:order val="3"/>
          <c:tx>
            <c:v>80% CI</c:v>
          </c:tx>
          <c:spPr>
            <a:ln w="12700">
              <a:solidFill>
                <a:srgbClr val="FFFF00"/>
              </a:solidFill>
              <a:prstDash val="solid"/>
            </a:ln>
          </c:spPr>
          <c:marker>
            <c:symbol val="none"/>
          </c:marker>
          <c:xVal>
            <c:numRef>
              <c:f>'EVA Calcs'!$I$35:$I$335</c:f>
              <c:numCache>
                <c:formatCode>0.000</c:formatCode>
                <c:ptCount val="301"/>
                <c:pt idx="0">
                  <c:v>5.801116127358074E-2</c:v>
                </c:pt>
                <c:pt idx="1">
                  <c:v>6.7581709768991249E-2</c:v>
                </c:pt>
                <c:pt idx="2">
                  <c:v>7.3780014967308377E-2</c:v>
                </c:pt>
                <c:pt idx="3">
                  <c:v>7.8498105320032777E-2</c:v>
                </c:pt>
                <c:pt idx="4">
                  <c:v>8.2365612151242135E-2</c:v>
                </c:pt>
                <c:pt idx="5">
                  <c:v>8.5674874086761124E-2</c:v>
                </c:pt>
                <c:pt idx="6">
                  <c:v>8.8587003934836123E-2</c:v>
                </c:pt>
                <c:pt idx="7">
                  <c:v>9.1200821517460964E-2</c:v>
                </c:pt>
                <c:pt idx="8">
                  <c:v>9.3581579557104111E-2</c:v>
                </c:pt>
                <c:pt idx="9">
                  <c:v>9.5774763536689927E-2</c:v>
                </c:pt>
                <c:pt idx="10">
                  <c:v>9.7813424301589402E-2</c:v>
                </c:pt>
                <c:pt idx="11">
                  <c:v>9.9722380522915308E-2</c:v>
                </c:pt>
                <c:pt idx="12">
                  <c:v>0.10152077382752991</c:v>
                </c:pt>
                <c:pt idx="13">
                  <c:v>0.10322369794903553</c:v>
                </c:pt>
                <c:pt idx="14">
                  <c:v>0.10484327889613591</c:v>
                </c:pt>
                <c:pt idx="15">
                  <c:v>0.10638941498683084</c:v>
                </c:pt>
                <c:pt idx="16">
                  <c:v>0.10787029818360276</c:v>
                </c:pt>
                <c:pt idx="17">
                  <c:v>0.10929279028550927</c:v>
                </c:pt>
                <c:pt idx="18">
                  <c:v>0.11066270012055214</c:v>
                </c:pt>
                <c:pt idx="19">
                  <c:v>0.11198499157815173</c:v>
                </c:pt>
                <c:pt idx="20">
                  <c:v>0.11326394229880464</c:v>
                </c:pt>
                <c:pt idx="21">
                  <c:v>0.11450326649477451</c:v>
                </c:pt>
                <c:pt idx="22">
                  <c:v>0.11570621125653216</c:v>
                </c:pt>
                <c:pt idx="23">
                  <c:v>0.11687563296271453</c:v>
                </c:pt>
                <c:pt idx="24">
                  <c:v>0.1180140585549679</c:v>
                </c:pt>
                <c:pt idx="25">
                  <c:v>0.11912373515625119</c:v>
                </c:pt>
                <c:pt idx="26">
                  <c:v>0.12020667060966611</c:v>
                </c:pt>
                <c:pt idx="27">
                  <c:v>0.12126466687150221</c:v>
                </c:pt>
                <c:pt idx="28">
                  <c:v>0.1222993477265058</c:v>
                </c:pt>
                <c:pt idx="29">
                  <c:v>0.1233121819519311</c:v>
                </c:pt>
                <c:pt idx="30">
                  <c:v>0.1243045028035573</c:v>
                </c:pt>
                <c:pt idx="31">
                  <c:v>0.12527752450674987</c:v>
                </c:pt>
                <c:pt idx="32">
                  <c:v>0.12623235629153737</c:v>
                </c:pt>
                <c:pt idx="33">
                  <c:v>0.12717001440038811</c:v>
                </c:pt>
                <c:pt idx="34">
                  <c:v>0.1280914324122128</c:v>
                </c:pt>
                <c:pt idx="35">
                  <c:v>0.12899747015981211</c:v>
                </c:pt>
                <c:pt idx="36">
                  <c:v>0.12988892146595726</c:v>
                </c:pt>
                <c:pt idx="37">
                  <c:v>0.13076652088215965</c:v>
                </c:pt>
                <c:pt idx="38">
                  <c:v>0.13163094958144511</c:v>
                </c:pt>
                <c:pt idx="39">
                  <c:v>0.13248284053022005</c:v>
                </c:pt>
                <c:pt idx="40">
                  <c:v>0.13332278304317013</c:v>
                </c:pt>
                <c:pt idx="41">
                  <c:v>0.13415132680798977</c:v>
                </c:pt>
                <c:pt idx="42">
                  <c:v>0.13496898545276184</c:v>
                </c:pt>
                <c:pt idx="43">
                  <c:v>0.13577623971735275</c:v>
                </c:pt>
                <c:pt idx="44">
                  <c:v>0.13657354028075178</c:v>
                </c:pt>
                <c:pt idx="45">
                  <c:v>0.13736131028847665</c:v>
                </c:pt>
                <c:pt idx="46">
                  <c:v>0.13813994761767667</c:v>
                </c:pt>
                <c:pt idx="47">
                  <c:v>0.13890982691214568</c:v>
                </c:pt>
                <c:pt idx="48">
                  <c:v>0.13967130141491602</c:v>
                </c:pt>
                <c:pt idx="49">
                  <c:v>0.14042470462228124</c:v>
                </c:pt>
                <c:pt idx="50">
                  <c:v>0.14117035177986795</c:v>
                </c:pt>
                <c:pt idx="51">
                  <c:v>0.14190854123863858</c:v>
                </c:pt>
                <c:pt idx="52">
                  <c:v>0.14263955568637948</c:v>
                </c:pt>
                <c:pt idx="53">
                  <c:v>0.14336366326824157</c:v>
                </c:pt>
                <c:pt idx="54">
                  <c:v>0.14408111860819917</c:v>
                </c:pt>
                <c:pt idx="55">
                  <c:v>0.1447921637418321</c:v>
                </c:pt>
                <c:pt idx="56">
                  <c:v>0.14549702896957728</c:v>
                </c:pt>
                <c:pt idx="57">
                  <c:v>0.14619593363851016</c:v>
                </c:pt>
                <c:pt idx="58">
                  <c:v>0.14688908685977381</c:v>
                </c:pt>
                <c:pt idx="59">
                  <c:v>0.14757668816795788</c:v>
                </c:pt>
                <c:pt idx="60">
                  <c:v>0.14825892812801661</c:v>
                </c:pt>
                <c:pt idx="61">
                  <c:v>0.14893598889469589</c:v>
                </c:pt>
                <c:pt idx="62">
                  <c:v>0.14960804472889486</c:v>
                </c:pt>
                <c:pt idx="63">
                  <c:v>0.15027526247491296</c:v>
                </c:pt>
                <c:pt idx="64">
                  <c:v>0.1509378020021141</c:v>
                </c:pt>
                <c:pt idx="65">
                  <c:v>0.15159581661417232</c:v>
                </c:pt>
                <c:pt idx="66">
                  <c:v>0.15224945342873777</c:v>
                </c:pt>
                <c:pt idx="67">
                  <c:v>0.15289885373007545</c:v>
                </c:pt>
                <c:pt idx="68">
                  <c:v>0.15354415329697399</c:v>
                </c:pt>
                <c:pt idx="69">
                  <c:v>0.15418548270799715</c:v>
                </c:pt>
                <c:pt idx="70">
                  <c:v>0.15482296762594924</c:v>
                </c:pt>
                <c:pt idx="71">
                  <c:v>0.15545672906324765</c:v>
                </c:pt>
                <c:pt idx="72">
                  <c:v>0.15608688362973569</c:v>
                </c:pt>
                <c:pt idx="73">
                  <c:v>0.15671354376432778</c:v>
                </c:pt>
                <c:pt idx="74">
                  <c:v>0.15733681795174992</c:v>
                </c:pt>
                <c:pt idx="75">
                  <c:v>0.15795681092552627</c:v>
                </c:pt>
                <c:pt idx="76">
                  <c:v>0.15857362385825768</c:v>
                </c:pt>
                <c:pt idx="77">
                  <c:v>0.15918735454014846</c:v>
                </c:pt>
                <c:pt idx="78">
                  <c:v>0.15979809754665278</c:v>
                </c:pt>
                <c:pt idx="79">
                  <c:v>0.1604059443960382</c:v>
                </c:pt>
                <c:pt idx="80">
                  <c:v>0.16101098369759601</c:v>
                </c:pt>
                <c:pt idx="81">
                  <c:v>0.16161330129116719</c:v>
                </c:pt>
                <c:pt idx="82">
                  <c:v>0.16221298037859744</c:v>
                </c:pt>
                <c:pt idx="83">
                  <c:v>0.16281010164768475</c:v>
                </c:pt>
                <c:pt idx="84">
                  <c:v>0.16340474338913735</c:v>
                </c:pt>
                <c:pt idx="85">
                  <c:v>0.16399698160701889</c:v>
                </c:pt>
                <c:pt idx="86">
                  <c:v>0.16458689012311986</c:v>
                </c:pt>
                <c:pt idx="87">
                  <c:v>0.1651745406756604</c:v>
                </c:pt>
                <c:pt idx="88">
                  <c:v>0.16576000301269816</c:v>
                </c:pt>
                <c:pt idx="89">
                  <c:v>0.16634334498058673</c:v>
                </c:pt>
                <c:pt idx="90">
                  <c:v>0.16692463260780374</c:v>
                </c:pt>
                <c:pt idx="91">
                  <c:v>0.16750393018444487</c:v>
                </c:pt>
                <c:pt idx="92">
                  <c:v>0.16808130033765686</c:v>
                </c:pt>
                <c:pt idx="93">
                  <c:v>0.1686568041032642</c:v>
                </c:pt>
                <c:pt idx="94">
                  <c:v>0.16923050099382475</c:v>
                </c:pt>
                <c:pt idx="95">
                  <c:v>0.1698024490633335</c:v>
                </c:pt>
                <c:pt idx="96">
                  <c:v>0.1703727049687776</c:v>
                </c:pt>
                <c:pt idx="97">
                  <c:v>0.17094132402873227</c:v>
                </c:pt>
                <c:pt idx="98">
                  <c:v>0.17150836027917393</c:v>
                </c:pt>
                <c:pt idx="99">
                  <c:v>0.17207386652667442</c:v>
                </c:pt>
                <c:pt idx="100">
                  <c:v>0.17263789439912958</c:v>
                </c:pt>
                <c:pt idx="101">
                  <c:v>0.17320049439416538</c:v>
                </c:pt>
                <c:pt idx="102">
                  <c:v>0.17376171592535478</c:v>
                </c:pt>
                <c:pt idx="103">
                  <c:v>0.17432160736636992</c:v>
                </c:pt>
                <c:pt idx="104">
                  <c:v>0.17488021609318666</c:v>
                </c:pt>
                <c:pt idx="105">
                  <c:v>0.17543758852445038</c:v>
                </c:pt>
                <c:pt idx="106">
                  <c:v>0.17599377016010517</c:v>
                </c:pt>
                <c:pt idx="107">
                  <c:v>0.17654880561838243</c:v>
                </c:pt>
                <c:pt idx="108">
                  <c:v>0.17710273867123871</c:v>
                </c:pt>
                <c:pt idx="109">
                  <c:v>0.17765561227832682</c:v>
                </c:pt>
                <c:pt idx="110">
                  <c:v>0.17820746861957973</c:v>
                </c:pt>
                <c:pt idx="111">
                  <c:v>0.17875834912648131</c:v>
                </c:pt>
                <c:pt idx="112">
                  <c:v>0.17930829451209421</c:v>
                </c:pt>
                <c:pt idx="113">
                  <c:v>0.17985734479991014</c:v>
                </c:pt>
                <c:pt idx="114">
                  <c:v>0.18040553935158538</c:v>
                </c:pt>
                <c:pt idx="115">
                  <c:v>0.18095291689361873</c:v>
                </c:pt>
                <c:pt idx="116">
                  <c:v>0.18149951554302787</c:v>
                </c:pt>
                <c:pt idx="117">
                  <c:v>0.18204537283207564</c:v>
                </c:pt>
                <c:pt idx="118">
                  <c:v>0.18259052573209503</c:v>
                </c:pt>
                <c:pt idx="119">
                  <c:v>0.18313501067645946</c:v>
                </c:pt>
                <c:pt idx="120">
                  <c:v>0.18367886358274207</c:v>
                </c:pt>
                <c:pt idx="121">
                  <c:v>0.18422211987410475</c:v>
                </c:pt>
                <c:pt idx="122">
                  <c:v>0.18476481449995691</c:v>
                </c:pt>
                <c:pt idx="123">
                  <c:v>0.1853069819559203</c:v>
                </c:pt>
                <c:pt idx="124">
                  <c:v>0.18584865630313527</c:v>
                </c:pt>
                <c:pt idx="125">
                  <c:v>0.18638987118694167</c:v>
                </c:pt>
                <c:pt idx="126">
                  <c:v>0.18693065985496585</c:v>
                </c:pt>
                <c:pt idx="127">
                  <c:v>0.18747105517464388</c:v>
                </c:pt>
                <c:pt idx="128">
                  <c:v>0.18801108965020913</c:v>
                </c:pt>
                <c:pt idx="129">
                  <c:v>0.18855079543917155</c:v>
                </c:pt>
                <c:pt idx="130">
                  <c:v>0.18909020436831428</c:v>
                </c:pt>
                <c:pt idx="131">
                  <c:v>0.18962934794923178</c:v>
                </c:pt>
                <c:pt idx="132">
                  <c:v>0.19016825739343321</c:v>
                </c:pt>
                <c:pt idx="133">
                  <c:v>0.19070696362703288</c:v>
                </c:pt>
                <c:pt idx="134">
                  <c:v>0.19124549730504933</c:v>
                </c:pt>
                <c:pt idx="135">
                  <c:v>0.19178388882533304</c:v>
                </c:pt>
                <c:pt idx="136">
                  <c:v>0.19232216834214186</c:v>
                </c:pt>
                <c:pt idx="137">
                  <c:v>0.19286036577938334</c:v>
                </c:pt>
                <c:pt idx="138">
                  <c:v>0.19339851084354076</c:v>
                </c:pt>
                <c:pt idx="139">
                  <c:v>0.19393663303630049</c:v>
                </c:pt>
                <c:pt idx="140">
                  <c:v>0.19447476166689645</c:v>
                </c:pt>
                <c:pt idx="141">
                  <c:v>0.1950129258641875</c:v>
                </c:pt>
                <c:pt idx="142">
                  <c:v>0.19555115458848255</c:v>
                </c:pt>
                <c:pt idx="143">
                  <c:v>0.19608947664312779</c:v>
                </c:pt>
                <c:pt idx="144">
                  <c:v>0.19662792068586968</c:v>
                </c:pt>
                <c:pt idx="145">
                  <c:v>0.19716651524000753</c:v>
                </c:pt>
                <c:pt idx="146">
                  <c:v>0.19770528870534781</c:v>
                </c:pt>
                <c:pt idx="147">
                  <c:v>0.19824426936897288</c:v>
                </c:pt>
                <c:pt idx="148">
                  <c:v>0.19878348541583624</c:v>
                </c:pt>
                <c:pt idx="149">
                  <c:v>0.19932296493919546</c:v>
                </c:pt>
                <c:pt idx="150">
                  <c:v>0.19986273595089452</c:v>
                </c:pt>
                <c:pt idx="151">
                  <c:v>0.20040282639150561</c:v>
                </c:pt>
                <c:pt idx="152">
                  <c:v>0.20094326414034189</c:v>
                </c:pt>
                <c:pt idx="153">
                  <c:v>0.2014840770253504</c:v>
                </c:pt>
                <c:pt idx="154">
                  <c:v>0.20202529283289611</c:v>
                </c:pt>
                <c:pt idx="155">
                  <c:v>0.20256693931744588</c:v>
                </c:pt>
                <c:pt idx="156">
                  <c:v>0.20310904421116235</c:v>
                </c:pt>
                <c:pt idx="157">
                  <c:v>0.20365163523341689</c:v>
                </c:pt>
                <c:pt idx="158">
                  <c:v>0.20419474010023048</c:v>
                </c:pt>
                <c:pt idx="159">
                  <c:v>0.20473838653365156</c:v>
                </c:pt>
                <c:pt idx="160">
                  <c:v>0.20528260227107956</c:v>
                </c:pt>
                <c:pt idx="161">
                  <c:v>0.20582741507454244</c:v>
                </c:pt>
                <c:pt idx="162">
                  <c:v>0.20637285273993689</c:v>
                </c:pt>
                <c:pt idx="163">
                  <c:v>0.20691894310623918</c:v>
                </c:pt>
                <c:pt idx="164">
                  <c:v>0.20746571406469558</c:v>
                </c:pt>
                <c:pt idx="165">
                  <c:v>0.20801319356799927</c:v>
                </c:pt>
                <c:pt idx="166">
                  <c:v>0.20856140963946271</c:v>
                </c:pt>
                <c:pt idx="167">
                  <c:v>0.20911039038219342</c:v>
                </c:pt>
                <c:pt idx="168">
                  <c:v>0.20966016398828036</c:v>
                </c:pt>
                <c:pt idx="169">
                  <c:v>0.21021075874799935</c:v>
                </c:pt>
                <c:pt idx="170">
                  <c:v>0.21076220305904564</c:v>
                </c:pt>
                <c:pt idx="171">
                  <c:v>0.21131452543580068</c:v>
                </c:pt>
                <c:pt idx="172">
                  <c:v>0.21186775451864162</c:v>
                </c:pt>
                <c:pt idx="173">
                  <c:v>0.21242191908330113</c:v>
                </c:pt>
                <c:pt idx="174">
                  <c:v>0.21297704805028561</c:v>
                </c:pt>
                <c:pt idx="175">
                  <c:v>0.21353317049435941</c:v>
                </c:pt>
                <c:pt idx="176">
                  <c:v>0.21409031565410352</c:v>
                </c:pt>
                <c:pt idx="177">
                  <c:v>0.21464851294155635</c:v>
                </c:pt>
                <c:pt idx="178">
                  <c:v>0.2152077919519452</c:v>
                </c:pt>
                <c:pt idx="179">
                  <c:v>0.21576818247351606</c:v>
                </c:pt>
                <c:pt idx="180">
                  <c:v>0.21632971449747077</c:v>
                </c:pt>
                <c:pt idx="181">
                  <c:v>0.21689241822801955</c:v>
                </c:pt>
                <c:pt idx="182">
                  <c:v>0.21745632409255783</c:v>
                </c:pt>
                <c:pt idx="183">
                  <c:v>0.21802146275197548</c:v>
                </c:pt>
                <c:pt idx="184">
                  <c:v>0.21858786511110828</c:v>
                </c:pt>
                <c:pt idx="185">
                  <c:v>0.21915556232934011</c:v>
                </c:pt>
                <c:pt idx="186">
                  <c:v>0.21972458583136525</c:v>
                </c:pt>
                <c:pt idx="187">
                  <c:v>0.22029496731812032</c:v>
                </c:pt>
                <c:pt idx="188">
                  <c:v>0.22086673877789556</c:v>
                </c:pt>
                <c:pt idx="189">
                  <c:v>0.22143993249763538</c:v>
                </c:pt>
                <c:pt idx="190">
                  <c:v>0.22201458107443869</c:v>
                </c:pt>
                <c:pt idx="191">
                  <c:v>0.2225907174272686</c:v>
                </c:pt>
                <c:pt idx="192">
                  <c:v>0.22316837480888346</c:v>
                </c:pt>
                <c:pt idx="193">
                  <c:v>0.22374758681799939</c:v>
                </c:pt>
                <c:pt idx="194">
                  <c:v>0.224328387411696</c:v>
                </c:pt>
                <c:pt idx="195">
                  <c:v>0.22491081091807733</c:v>
                </c:pt>
                <c:pt idx="196">
                  <c:v>0.2254948920491997</c:v>
                </c:pt>
                <c:pt idx="197">
                  <c:v>0.22608066591427889</c:v>
                </c:pt>
                <c:pt idx="198">
                  <c:v>0.22666816803319062</c:v>
                </c:pt>
                <c:pt idx="199">
                  <c:v>0.22725743435027596</c:v>
                </c:pt>
                <c:pt idx="200">
                  <c:v>0.22784850124846717</c:v>
                </c:pt>
                <c:pt idx="201">
                  <c:v>0.22844140556374742</c:v>
                </c:pt>
                <c:pt idx="202">
                  <c:v>0.22903618459995906</c:v>
                </c:pt>
                <c:pt idx="203">
                  <c:v>0.22963287614397671</c:v>
                </c:pt>
                <c:pt idx="204">
                  <c:v>0.23023151848125992</c:v>
                </c:pt>
                <c:pt idx="205">
                  <c:v>0.23083215041180313</c:v>
                </c:pt>
                <c:pt idx="206">
                  <c:v>0.23143481126649962</c:v>
                </c:pt>
                <c:pt idx="207">
                  <c:v>0.23203954092393675</c:v>
                </c:pt>
                <c:pt idx="208">
                  <c:v>0.23264637982764236</c:v>
                </c:pt>
                <c:pt idx="209">
                  <c:v>0.23325536900380078</c:v>
                </c:pt>
                <c:pt idx="210">
                  <c:v>0.23386655007945856</c:v>
                </c:pt>
                <c:pt idx="211">
                  <c:v>0.23447996530124138</c:v>
                </c:pt>
                <c:pt idx="212">
                  <c:v>0.23509565755460404</c:v>
                </c:pt>
                <c:pt idx="213">
                  <c:v>0.23571367038363536</c:v>
                </c:pt>
                <c:pt idx="214">
                  <c:v>0.23633404801144334</c:v>
                </c:pt>
                <c:pt idx="215">
                  <c:v>0.23695683536114392</c:v>
                </c:pt>
                <c:pt idx="216">
                  <c:v>0.23758207807748022</c:v>
                </c:pt>
                <c:pt idx="217">
                  <c:v>0.23820982254909887</c:v>
                </c:pt>
                <c:pt idx="218">
                  <c:v>0.23884011593151197</c:v>
                </c:pt>
                <c:pt idx="219">
                  <c:v>0.23947300617077386</c:v>
                </c:pt>
                <c:pt idx="220">
                  <c:v>0.24010854202790458</c:v>
                </c:pt>
                <c:pt idx="221">
                  <c:v>0.24074677310409076</c:v>
                </c:pt>
                <c:pt idx="222">
                  <c:v>0.24138774986669995</c:v>
                </c:pt>
                <c:pt idx="223">
                  <c:v>0.24203152367614181</c:v>
                </c:pt>
                <c:pt idx="224">
                  <c:v>0.24267814681361499</c:v>
                </c:pt>
                <c:pt idx="225">
                  <c:v>0.24332767250977774</c:v>
                </c:pt>
                <c:pt idx="226">
                  <c:v>0.24398015497438333</c:v>
                </c:pt>
                <c:pt idx="227">
                  <c:v>0.24463564942692351</c:v>
                </c:pt>
                <c:pt idx="228">
                  <c:v>0.24529421212832514</c:v>
                </c:pt>
                <c:pt idx="229">
                  <c:v>0.24595590041374588</c:v>
                </c:pt>
                <c:pt idx="230">
                  <c:v>0.24662077272652086</c:v>
                </c:pt>
                <c:pt idx="231">
                  <c:v>0.24728888865331081</c:v>
                </c:pt>
                <c:pt idx="232">
                  <c:v>0.2479603089605068</c:v>
                </c:pt>
                <c:pt idx="233">
                  <c:v>0.2486350956319501</c:v>
                </c:pt>
                <c:pt idx="234">
                  <c:v>0.249313311908027</c:v>
                </c:pt>
                <c:pt idx="235">
                  <c:v>0.24999502232620291</c:v>
                </c:pt>
                <c:pt idx="236">
                  <c:v>0.25068029276306297</c:v>
                </c:pt>
                <c:pt idx="237">
                  <c:v>0.25136919047793022</c:v>
                </c:pt>
                <c:pt idx="238">
                  <c:v>0.2520617841581359</c:v>
                </c:pt>
                <c:pt idx="239">
                  <c:v>0.25275814396602081</c:v>
                </c:pt>
                <c:pt idx="240">
                  <c:v>0.25345834158775071</c:v>
                </c:pt>
                <c:pt idx="241">
                  <c:v>0.25416245028403395</c:v>
                </c:pt>
                <c:pt idx="242">
                  <c:v>0.25487054494283379</c:v>
                </c:pt>
                <c:pt idx="243">
                  <c:v>0.25558270213417256</c:v>
                </c:pt>
                <c:pt idx="244">
                  <c:v>0.25629900016713275</c:v>
                </c:pt>
                <c:pt idx="245">
                  <c:v>0.25701951914916277</c:v>
                </c:pt>
                <c:pt idx="246">
                  <c:v>0.25774434104780408</c:v>
                </c:pt>
                <c:pt idx="247">
                  <c:v>0.25847354975496206</c:v>
                </c:pt>
                <c:pt idx="248">
                  <c:v>0.25920723115384953</c:v>
                </c:pt>
                <c:pt idx="249">
                  <c:v>0.25994547318874173</c:v>
                </c:pt>
                <c:pt idx="250">
                  <c:v>0.26068836593768702</c:v>
                </c:pt>
                <c:pt idx="251">
                  <c:v>0.26143600168832803</c:v>
                </c:pt>
                <c:pt idx="252">
                  <c:v>0.26218847501699821</c:v>
                </c:pt>
                <c:pt idx="253">
                  <c:v>0.2629458828712658</c:v>
                </c:pt>
                <c:pt idx="254">
                  <c:v>0.26370832465611149</c:v>
                </c:pt>
                <c:pt idx="255">
                  <c:v>0.26447590232393542</c:v>
                </c:pt>
                <c:pt idx="256">
                  <c:v>0.26524872046860215</c:v>
                </c:pt>
                <c:pt idx="257">
                  <c:v>0.26602688642374583</c:v>
                </c:pt>
                <c:pt idx="258">
                  <c:v>0.26681051036557202</c:v>
                </c:pt>
                <c:pt idx="259">
                  <c:v>0.26759970542040729</c:v>
                </c:pt>
                <c:pt idx="260">
                  <c:v>0.2683945877772656</c:v>
                </c:pt>
                <c:pt idx="261">
                  <c:v>0.2691952768057167</c:v>
                </c:pt>
                <c:pt idx="262">
                  <c:v>0.27000189517936224</c:v>
                </c:pt>
                <c:pt idx="263">
                  <c:v>0.27081456900524498</c:v>
                </c:pt>
                <c:pt idx="264">
                  <c:v>0.27163342795953965</c:v>
                </c:pt>
                <c:pt idx="265">
                  <c:v>0.27245860542989597</c:v>
                </c:pt>
                <c:pt idx="266">
                  <c:v>0.27329023866483421</c:v>
                </c:pt>
                <c:pt idx="267">
                  <c:v>0.27412846893061615</c:v>
                </c:pt>
                <c:pt idx="268">
                  <c:v>0.27497344167604998</c:v>
                </c:pt>
                <c:pt idx="269">
                  <c:v>0.27582530670571637</c:v>
                </c:pt>
                <c:pt idx="270">
                  <c:v>0.27668421836214052</c:v>
                </c:pt>
                <c:pt idx="271">
                  <c:v>0.27755033571747345</c:v>
                </c:pt>
                <c:pt idx="272">
                  <c:v>0.27842382277528527</c:v>
                </c:pt>
                <c:pt idx="273">
                  <c:v>0.27930484868312111</c:v>
                </c:pt>
                <c:pt idx="274">
                  <c:v>0.28019358795651889</c:v>
                </c:pt>
                <c:pt idx="275">
                  <c:v>0.28109022071523926</c:v>
                </c:pt>
                <c:pt idx="276">
                  <c:v>0.28199493293251993</c:v>
                </c:pt>
                <c:pt idx="277">
                  <c:v>0.28290791669822596</c:v>
                </c:pt>
                <c:pt idx="278">
                  <c:v>0.28382937049684159</c:v>
                </c:pt>
                <c:pt idx="279">
                  <c:v>0.2847594995013179</c:v>
                </c:pt>
                <c:pt idx="280">
                  <c:v>0.28569851588388068</c:v>
                </c:pt>
                <c:pt idx="281">
                  <c:v>0.28664663914498639</c:v>
                </c:pt>
                <c:pt idx="282">
                  <c:v>0.28760409646171631</c:v>
                </c:pt>
                <c:pt idx="283">
                  <c:v>0.28857112305700672</c:v>
                </c:pt>
                <c:pt idx="284">
                  <c:v>0.28954796259122967</c:v>
                </c:pt>
                <c:pt idx="285">
                  <c:v>0.29053486757777153</c:v>
                </c:pt>
                <c:pt idx="286">
                  <c:v>0.29153209982439776</c:v>
                </c:pt>
                <c:pt idx="287">
                  <c:v>0.2925399309023507</c:v>
                </c:pt>
                <c:pt idx="288">
                  <c:v>0.29355864264530024</c:v>
                </c:pt>
                <c:pt idx="289">
                  <c:v>0.29458852768046062</c:v>
                </c:pt>
                <c:pt idx="290">
                  <c:v>0.29562988999439338</c:v>
                </c:pt>
                <c:pt idx="291">
                  <c:v>0.29668304553625807</c:v>
                </c:pt>
                <c:pt idx="292">
                  <c:v>0.29774832286152286</c:v>
                </c:pt>
                <c:pt idx="293">
                  <c:v>0.29882606381944077</c:v>
                </c:pt>
                <c:pt idx="294">
                  <c:v>0.29991662428791399</c:v>
                </c:pt>
                <c:pt idx="295">
                  <c:v>0.30102037495972211</c:v>
                </c:pt>
                <c:pt idx="296">
                  <c:v>0.30213770218448804</c:v>
                </c:pt>
                <c:pt idx="297">
                  <c:v>0.30326900887119213</c:v>
                </c:pt>
                <c:pt idx="298">
                  <c:v>0.30441471545654053</c:v>
                </c:pt>
                <c:pt idx="299">
                  <c:v>0.30557526094504062</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3-DEB8-46AA-A96E-0482BD366A3C}"/>
            </c:ext>
          </c:extLst>
        </c:ser>
        <c:ser>
          <c:idx val="6"/>
          <c:order val="4"/>
          <c:tx>
            <c:v>80%</c:v>
          </c:tx>
          <c:spPr>
            <a:ln w="12700">
              <a:solidFill>
                <a:srgbClr val="FFFF00"/>
              </a:solidFill>
              <a:prstDash val="solid"/>
            </a:ln>
          </c:spPr>
          <c:marker>
            <c:symbol val="none"/>
          </c:marker>
          <c:xVal>
            <c:numRef>
              <c:f>'EVA Calcs'!$J$35:$J$335</c:f>
              <c:numCache>
                <c:formatCode>0.000</c:formatCode>
                <c:ptCount val="301"/>
                <c:pt idx="0">
                  <c:v>7.2440406859864914E-2</c:v>
                </c:pt>
                <c:pt idx="1">
                  <c:v>8.132578785884978E-2</c:v>
                </c:pt>
                <c:pt idx="2">
                  <c:v>8.7098328625337035E-2</c:v>
                </c:pt>
                <c:pt idx="3">
                  <c:v>9.1502880400982936E-2</c:v>
                </c:pt>
                <c:pt idx="4">
                  <c:v>9.5120724307232701E-2</c:v>
                </c:pt>
                <c:pt idx="5">
                  <c:v>9.8221955840587669E-2</c:v>
                </c:pt>
                <c:pt idx="6">
                  <c:v>0.10095551938539851</c:v>
                </c:pt>
                <c:pt idx="7">
                  <c:v>0.10341281748368998</c:v>
                </c:pt>
                <c:pt idx="8">
                  <c:v>0.10565423152336048</c:v>
                </c:pt>
                <c:pt idx="9">
                  <c:v>0.10772186762581254</c:v>
                </c:pt>
                <c:pt idx="10">
                  <c:v>0.10964633172619778</c:v>
                </c:pt>
                <c:pt idx="11">
                  <c:v>0.11145061379326875</c:v>
                </c:pt>
                <c:pt idx="12">
                  <c:v>0.11315245017126763</c:v>
                </c:pt>
                <c:pt idx="13">
                  <c:v>0.11476583022117999</c:v>
                </c:pt>
                <c:pt idx="14">
                  <c:v>0.11630199551399671</c:v>
                </c:pt>
                <c:pt idx="15">
                  <c:v>0.11777012454835571</c:v>
                </c:pt>
                <c:pt idx="16">
                  <c:v>0.11917781522208228</c:v>
                </c:pt>
                <c:pt idx="17">
                  <c:v>0.12053143305191426</c:v>
                </c:pt>
                <c:pt idx="18">
                  <c:v>0.1218363678043332</c:v>
                </c:pt>
                <c:pt idx="19">
                  <c:v>0.1230972261317787</c:v>
                </c:pt>
                <c:pt idx="20">
                  <c:v>0.12431797854327002</c:v>
                </c:pt>
                <c:pt idx="21">
                  <c:v>0.12550207317363787</c:v>
                </c:pt>
                <c:pt idx="22">
                  <c:v>0.12665252500648375</c:v>
                </c:pt>
                <c:pt idx="23">
                  <c:v>0.12777198667465683</c:v>
                </c:pt>
                <c:pt idx="24">
                  <c:v>0.12886280524484967</c:v>
                </c:pt>
                <c:pt idx="25">
                  <c:v>0.1299270682061521</c:v>
                </c:pt>
                <c:pt idx="26">
                  <c:v>0.13096664104827055</c:v>
                </c:pt>
                <c:pt idx="27">
                  <c:v>0.13198319821974466</c:v>
                </c:pt>
                <c:pt idx="28">
                  <c:v>0.13297824882550807</c:v>
                </c:pt>
                <c:pt idx="29">
                  <c:v>0.13395315810708783</c:v>
                </c:pt>
                <c:pt idx="30">
                  <c:v>0.13490916551418353</c:v>
                </c:pt>
                <c:pt idx="31">
                  <c:v>0.13584740000036247</c:v>
                </c:pt>
                <c:pt idx="32">
                  <c:v>0.13676889304217468</c:v>
                </c:pt>
                <c:pt idx="33">
                  <c:v>0.13767458977886315</c:v>
                </c:pt>
                <c:pt idx="34">
                  <c:v>0.1385653585909786</c:v>
                </c:pt>
                <c:pt idx="35">
                  <c:v>0.13944199937479285</c:v>
                </c:pt>
                <c:pt idx="36">
                  <c:v>0.14030525072120908</c:v>
                </c:pt>
                <c:pt idx="37">
                  <c:v>0.14115579616976329</c:v>
                </c:pt>
                <c:pt idx="38">
                  <c:v>0.14199426967797735</c:v>
                </c:pt>
                <c:pt idx="39">
                  <c:v>0.14282126042202345</c:v>
                </c:pt>
                <c:pt idx="40">
                  <c:v>0.14363731702506294</c:v>
                </c:pt>
                <c:pt idx="41">
                  <c:v>0.14444295129373783</c:v>
                </c:pt>
                <c:pt idx="42">
                  <c:v>0.14523864153033691</c:v>
                </c:pt>
                <c:pt idx="43">
                  <c:v>0.14602483547754275</c:v>
                </c:pt>
                <c:pt idx="44">
                  <c:v>0.14680195294391804</c:v>
                </c:pt>
                <c:pt idx="45">
                  <c:v>0.14757038815105361</c:v>
                </c:pt>
                <c:pt idx="46">
                  <c:v>0.14833051183728235</c:v>
                </c:pt>
                <c:pt idx="47">
                  <c:v>0.14908267314783988</c:v>
                </c:pt>
                <c:pt idx="48">
                  <c:v>0.14982720133714117</c:v>
                </c:pt>
                <c:pt idx="49">
                  <c:v>0.15056440730529819</c:v>
                </c:pt>
                <c:pt idx="50">
                  <c:v>0.15129458498800971</c:v>
                </c:pt>
                <c:pt idx="51">
                  <c:v>0.15201801261641537</c:v>
                </c:pt>
                <c:pt idx="52">
                  <c:v>0.15273495386134678</c:v>
                </c:pt>
                <c:pt idx="53">
                  <c:v>0.15344565887456685</c:v>
                </c:pt>
                <c:pt idx="54">
                  <c:v>0.15415036523800774</c:v>
                </c:pt>
                <c:pt idx="55">
                  <c:v>0.15484929883066526</c:v>
                </c:pt>
                <c:pt idx="56">
                  <c:v>0.15554267462163851</c:v>
                </c:pt>
                <c:pt idx="57">
                  <c:v>0.15623069739679632</c:v>
                </c:pt>
                <c:pt idx="58">
                  <c:v>0.15691356242567772</c:v>
                </c:pt>
                <c:pt idx="59">
                  <c:v>0.15759145607447705</c:v>
                </c:pt>
                <c:pt idx="60">
                  <c:v>0.15826455637030196</c:v>
                </c:pt>
                <c:pt idx="61">
                  <c:v>0.15893303352131904</c:v>
                </c:pt>
                <c:pt idx="62">
                  <c:v>0.15959705039689567</c:v>
                </c:pt>
                <c:pt idx="63">
                  <c:v>0.16025676297140662</c:v>
                </c:pt>
                <c:pt idx="64">
                  <c:v>0.16091232073498485</c:v>
                </c:pt>
                <c:pt idx="65">
                  <c:v>0.16156386707415471</c:v>
                </c:pt>
                <c:pt idx="66">
                  <c:v>0.16221153962498416</c:v>
                </c:pt>
                <c:pt idx="67">
                  <c:v>0.16285547060112593</c:v>
                </c:pt>
                <c:pt idx="68">
                  <c:v>0.16349578709888204</c:v>
                </c:pt>
                <c:pt idx="69">
                  <c:v>0.16413261138121571</c:v>
                </c:pt>
                <c:pt idx="70">
                  <c:v>0.16476606114244954</c:v>
                </c:pt>
                <c:pt idx="71">
                  <c:v>0.1653962497552221</c:v>
                </c:pt>
                <c:pt idx="72">
                  <c:v>0.16602328650112805</c:v>
                </c:pt>
                <c:pt idx="73">
                  <c:v>0.16664727678633323</c:v>
                </c:pt>
                <c:pt idx="74">
                  <c:v>0.16726832234334038</c:v>
                </c:pt>
                <c:pt idx="75">
                  <c:v>0.16788652141997196</c:v>
                </c:pt>
                <c:pt idx="76">
                  <c:v>0.16850196895654423</c:v>
                </c:pt>
                <c:pt idx="77">
                  <c:v>0.16911475675211954</c:v>
                </c:pt>
                <c:pt idx="78">
                  <c:v>0.16972497362064667</c:v>
                </c:pt>
                <c:pt idx="79">
                  <c:v>0.17033270553773092</c:v>
                </c:pt>
                <c:pt idx="80">
                  <c:v>0.17093803577871144</c:v>
                </c:pt>
                <c:pt idx="81">
                  <c:v>0.17154104504866757</c:v>
                </c:pt>
                <c:pt idx="82">
                  <c:v>0.17214181160492392</c:v>
                </c:pt>
                <c:pt idx="83">
                  <c:v>0.17274041137257842</c:v>
                </c:pt>
                <c:pt idx="84">
                  <c:v>0.17333691805353424</c:v>
                </c:pt>
                <c:pt idx="85">
                  <c:v>0.17393140322947867</c:v>
                </c:pt>
                <c:pt idx="86">
                  <c:v>0.17452393645921763</c:v>
                </c:pt>
                <c:pt idx="87">
                  <c:v>0.17511458537074154</c:v>
                </c:pt>
                <c:pt idx="88">
                  <c:v>0.17570341574837067</c:v>
                </c:pt>
                <c:pt idx="89">
                  <c:v>0.17629049161530069</c:v>
                </c:pt>
                <c:pt idx="90">
                  <c:v>0.17687587531184554</c:v>
                </c:pt>
                <c:pt idx="91">
                  <c:v>0.17745962756965206</c:v>
                </c:pt>
                <c:pt idx="92">
                  <c:v>0.1780418075821418</c:v>
                </c:pt>
                <c:pt idx="93">
                  <c:v>0.17862247307141546</c:v>
                </c:pt>
                <c:pt idx="94">
                  <c:v>0.17920168035183937</c:v>
                </c:pt>
                <c:pt idx="95">
                  <c:v>0.17977948439051764</c:v>
                </c:pt>
                <c:pt idx="96">
                  <c:v>0.18035593886483919</c:v>
                </c:pt>
                <c:pt idx="97">
                  <c:v>0.18093109621727557</c:v>
                </c:pt>
                <c:pt idx="98">
                  <c:v>0.18150500770759387</c:v>
                </c:pt>
                <c:pt idx="99">
                  <c:v>0.18207772346263693</c:v>
                </c:pt>
                <c:pt idx="100">
                  <c:v>0.18264929252381401</c:v>
                </c:pt>
                <c:pt idx="101">
                  <c:v>0.18321976289243405</c:v>
                </c:pt>
                <c:pt idx="102">
                  <c:v>0.18378918157300661</c:v>
                </c:pt>
                <c:pt idx="103">
                  <c:v>0.18435759461462564</c:v>
                </c:pt>
                <c:pt idx="104">
                  <c:v>0.18492504715054514</c:v>
                </c:pt>
                <c:pt idx="105">
                  <c:v>0.18549158343604841</c:v>
                </c:pt>
                <c:pt idx="106">
                  <c:v>0.18605724688470546</c:v>
                </c:pt>
                <c:pt idx="107">
                  <c:v>0.18662208010310832</c:v>
                </c:pt>
                <c:pt idx="108">
                  <c:v>0.1871861249241677</c:v>
                </c:pt>
                <c:pt idx="109">
                  <c:v>0.18774942243904913</c:v>
                </c:pt>
                <c:pt idx="110">
                  <c:v>0.18831201302782333</c:v>
                </c:pt>
                <c:pt idx="111">
                  <c:v>0.18887393638889843</c:v>
                </c:pt>
                <c:pt idx="112">
                  <c:v>0.18943523156730116</c:v>
                </c:pt>
                <c:pt idx="113">
                  <c:v>0.18999593698186648</c:v>
                </c:pt>
                <c:pt idx="114">
                  <c:v>0.19055609045139482</c:v>
                </c:pt>
                <c:pt idx="115">
                  <c:v>0.19111572921983036</c:v>
                </c:pt>
                <c:pt idx="116">
                  <c:v>0.19167488998051194</c:v>
                </c:pt>
                <c:pt idx="117">
                  <c:v>0.19223360889954558</c:v>
                </c:pt>
                <c:pt idx="118">
                  <c:v>0.19279192163834305</c:v>
                </c:pt>
                <c:pt idx="119">
                  <c:v>0.19334986337537072</c:v>
                </c:pt>
                <c:pt idx="120">
                  <c:v>0.19390746882714918</c:v>
                </c:pt>
                <c:pt idx="121">
                  <c:v>0.19446477226854186</c:v>
                </c:pt>
                <c:pt idx="122">
                  <c:v>0.19502180755236964</c:v>
                </c:pt>
                <c:pt idx="123">
                  <c:v>0.19557860812838565</c:v>
                </c:pt>
                <c:pt idx="124">
                  <c:v>0.19613520706164375</c:v>
                </c:pt>
                <c:pt idx="125">
                  <c:v>0.19669163705029041</c:v>
                </c:pt>
                <c:pt idx="126">
                  <c:v>0.19724793044281128</c:v>
                </c:pt>
                <c:pt idx="127">
                  <c:v>0.19780411925475896</c:v>
                </c:pt>
                <c:pt idx="128">
                  <c:v>0.19836023518498935</c:v>
                </c:pt>
                <c:pt idx="129">
                  <c:v>0.19891630963143195</c:v>
                </c:pt>
                <c:pt idx="130">
                  <c:v>0.19947237370641771</c:v>
                </c:pt>
                <c:pt idx="131">
                  <c:v>0.20002845825158796</c:v>
                </c:pt>
                <c:pt idx="132">
                  <c:v>0.20058459385240604</c:v>
                </c:pt>
                <c:pt idx="133">
                  <c:v>0.20114081085229235</c:v>
                </c:pt>
                <c:pt idx="134">
                  <c:v>0.20169713936640318</c:v>
                </c:pt>
                <c:pt idx="135">
                  <c:v>0.20225360929507175</c:v>
                </c:pt>
                <c:pt idx="136">
                  <c:v>0.20281025033693048</c:v>
                </c:pt>
                <c:pt idx="137">
                  <c:v>0.20336709200173106</c:v>
                </c:pt>
                <c:pt idx="138">
                  <c:v>0.20392416362287957</c:v>
                </c:pt>
                <c:pt idx="139">
                  <c:v>0.20448149436970259</c:v>
                </c:pt>
                <c:pt idx="140">
                  <c:v>0.20503911325945925</c:v>
                </c:pt>
                <c:pt idx="141">
                  <c:v>0.20559704916911459</c:v>
                </c:pt>
                <c:pt idx="142">
                  <c:v>0.20615533084688792</c:v>
                </c:pt>
                <c:pt idx="143">
                  <c:v>0.20671398692359003</c:v>
                </c:pt>
                <c:pt idx="144">
                  <c:v>0.20727304592376236</c:v>
                </c:pt>
                <c:pt idx="145">
                  <c:v>0.20783253627663081</c:v>
                </c:pt>
                <c:pt idx="146">
                  <c:v>0.20839248632688662</c:v>
                </c:pt>
                <c:pt idx="147">
                  <c:v>0.20895292434530555</c:v>
                </c:pt>
                <c:pt idx="148">
                  <c:v>0.20951387853921777</c:v>
                </c:pt>
                <c:pt idx="149">
                  <c:v>0.21007537706283866</c:v>
                </c:pt>
                <c:pt idx="150">
                  <c:v>0.21063744802747189</c:v>
                </c:pt>
                <c:pt idx="151">
                  <c:v>0.21120011951159487</c:v>
                </c:pt>
                <c:pt idx="152">
                  <c:v>0.21176341957083714</c:v>
                </c:pt>
                <c:pt idx="153">
                  <c:v>0.21232737624786099</c:v>
                </c:pt>
                <c:pt idx="154">
                  <c:v>0.21289201758215481</c:v>
                </c:pt>
                <c:pt idx="155">
                  <c:v>0.21345737161974795</c:v>
                </c:pt>
                <c:pt idx="156">
                  <c:v>0.2140234664228565</c:v>
                </c:pt>
                <c:pt idx="157">
                  <c:v>0.21459033007946937</c:v>
                </c:pt>
                <c:pt idx="158">
                  <c:v>0.21515799071288311</c:v>
                </c:pt>
                <c:pt idx="159">
                  <c:v>0.21572647649119425</c:v>
                </c:pt>
                <c:pt idx="160">
                  <c:v>0.21629581563675845</c:v>
                </c:pt>
                <c:pt idx="161">
                  <c:v>0.21686603643562369</c:v>
                </c:pt>
                <c:pt idx="162">
                  <c:v>0.21743716724694712</c:v>
                </c:pt>
                <c:pt idx="163">
                  <c:v>0.21800923651240292</c:v>
                </c:pt>
                <c:pt idx="164">
                  <c:v>0.21858227276559009</c:v>
                </c:pt>
                <c:pt idx="165">
                  <c:v>0.21915630464144756</c:v>
                </c:pt>
                <c:pt idx="166">
                  <c:v>0.21973136088568548</c:v>
                </c:pt>
                <c:pt idx="167">
                  <c:v>0.22030747036424031</c:v>
                </c:pt>
                <c:pt idx="168">
                  <c:v>0.22088466207276142</c:v>
                </c:pt>
                <c:pt idx="169">
                  <c:v>0.22146296514613825</c:v>
                </c:pt>
                <c:pt idx="170">
                  <c:v>0.22204240886807497</c:v>
                </c:pt>
                <c:pt idx="171">
                  <c:v>0.22262302268072118</c:v>
                </c:pt>
                <c:pt idx="172">
                  <c:v>0.22320483619436696</c:v>
                </c:pt>
                <c:pt idx="173">
                  <c:v>0.22378787919720969</c:v>
                </c:pt>
                <c:pt idx="174">
                  <c:v>0.22437218166520162</c:v>
                </c:pt>
                <c:pt idx="175">
                  <c:v>0.22495777377198581</c:v>
                </c:pt>
                <c:pt idx="176">
                  <c:v>0.22554468589892923</c:v>
                </c:pt>
                <c:pt idx="177">
                  <c:v>0.22613294864526085</c:v>
                </c:pt>
                <c:pt idx="178">
                  <c:v>0.22672259283832399</c:v>
                </c:pt>
                <c:pt idx="179">
                  <c:v>0.22731364954395109</c:v>
                </c:pt>
                <c:pt idx="180">
                  <c:v>0.22790615007696971</c:v>
                </c:pt>
                <c:pt idx="181">
                  <c:v>0.22850012601184896</c:v>
                </c:pt>
                <c:pt idx="182">
                  <c:v>0.22909560919349525</c:v>
                </c:pt>
                <c:pt idx="183">
                  <c:v>0.22969263174820653</c:v>
                </c:pt>
                <c:pt idx="184">
                  <c:v>0.23029122609479508</c:v>
                </c:pt>
                <c:pt idx="185">
                  <c:v>0.23089142495588758</c:v>
                </c:pt>
                <c:pt idx="186">
                  <c:v>0.23149326136941342</c:v>
                </c:pt>
                <c:pt idx="187">
                  <c:v>0.23209676870029067</c:v>
                </c:pt>
                <c:pt idx="188">
                  <c:v>0.23270198065232026</c:v>
                </c:pt>
                <c:pt idx="189">
                  <c:v>0.23330893128029923</c:v>
                </c:pt>
                <c:pt idx="190">
                  <c:v>0.23391765500236414</c:v>
                </c:pt>
                <c:pt idx="191">
                  <c:v>0.23452818661257546</c:v>
                </c:pt>
                <c:pt idx="192">
                  <c:v>0.23514056129375505</c:v>
                </c:pt>
                <c:pt idx="193">
                  <c:v>0.23575481463058828</c:v>
                </c:pt>
                <c:pt idx="194">
                  <c:v>0.23637098262300363</c:v>
                </c:pt>
                <c:pt idx="195">
                  <c:v>0.23698910169984219</c:v>
                </c:pt>
                <c:pt idx="196">
                  <c:v>0.23760920873283015</c:v>
                </c:pt>
                <c:pt idx="197">
                  <c:v>0.23823134105086807</c:v>
                </c:pt>
                <c:pt idx="198">
                  <c:v>0.23885553645465118</c:v>
                </c:pt>
                <c:pt idx="199">
                  <c:v>0.2394818332316348</c:v>
                </c:pt>
                <c:pt idx="200">
                  <c:v>0.24011027017136011</c:v>
                </c:pt>
                <c:pt idx="201">
                  <c:v>0.24074088658115672</c:v>
                </c:pt>
                <c:pt idx="202">
                  <c:v>0.24137372230223636</c:v>
                </c:pt>
                <c:pt idx="203">
                  <c:v>0.24200881772619703</c:v>
                </c:pt>
                <c:pt idx="204">
                  <c:v>0.24264621381195275</c:v>
                </c:pt>
                <c:pt idx="205">
                  <c:v>0.24328595210310847</c:v>
                </c:pt>
                <c:pt idx="206">
                  <c:v>0.24392807474579875</c:v>
                </c:pt>
                <c:pt idx="207">
                  <c:v>0.24457262450700928</c:v>
                </c:pt>
                <c:pt idx="208">
                  <c:v>0.24521964479340241</c:v>
                </c:pt>
                <c:pt idx="209">
                  <c:v>0.24586917967066751</c:v>
                </c:pt>
                <c:pt idx="210">
                  <c:v>0.24652127388341821</c:v>
                </c:pt>
                <c:pt idx="211">
                  <c:v>0.24717597287565984</c:v>
                </c:pt>
                <c:pt idx="212">
                  <c:v>0.24783332281185139</c:v>
                </c:pt>
                <c:pt idx="213">
                  <c:v>0.24849337059858592</c:v>
                </c:pt>
                <c:pt idx="214">
                  <c:v>0.2491561639069175</c:v>
                </c:pt>
                <c:pt idx="215">
                  <c:v>0.24982175119535988</c:v>
                </c:pt>
                <c:pt idx="216">
                  <c:v>0.25049018173358717</c:v>
                </c:pt>
                <c:pt idx="217">
                  <c:v>0.25116150562686546</c:v>
                </c:pt>
                <c:pt idx="218">
                  <c:v>0.25183577384124683</c:v>
                </c:pt>
                <c:pt idx="219">
                  <c:v>0.25251303822955795</c:v>
                </c:pt>
                <c:pt idx="220">
                  <c:v>0.25319335155821882</c:v>
                </c:pt>
                <c:pt idx="221">
                  <c:v>0.25387676753492483</c:v>
                </c:pt>
                <c:pt idx="222">
                  <c:v>0.25456334083723237</c:v>
                </c:pt>
                <c:pt idx="223">
                  <c:v>0.25525312714208498</c:v>
                </c:pt>
                <c:pt idx="224">
                  <c:v>0.25594618315632256</c:v>
                </c:pt>
                <c:pt idx="225">
                  <c:v>0.2566425666482155</c:v>
                </c:pt>
                <c:pt idx="226">
                  <c:v>0.25734233648006988</c:v>
                </c:pt>
                <c:pt idx="227">
                  <c:v>0.25804555264195062</c:v>
                </c:pt>
                <c:pt idx="228">
                  <c:v>0.25875227628657271</c:v>
                </c:pt>
                <c:pt idx="229">
                  <c:v>0.25946256976541177</c:v>
                </c:pt>
                <c:pt idx="230">
                  <c:v>0.26017649666608994</c:v>
                </c:pt>
                <c:pt idx="231">
                  <c:v>0.26089412185109478</c:v>
                </c:pt>
                <c:pt idx="232">
                  <c:v>0.26161551149789031</c:v>
                </c:pt>
                <c:pt idx="233">
                  <c:v>0.26234073314048584</c:v>
                </c:pt>
                <c:pt idx="234">
                  <c:v>0.26306985571252894</c:v>
                </c:pt>
                <c:pt idx="235">
                  <c:v>0.26380294959199252</c:v>
                </c:pt>
                <c:pt idx="236">
                  <c:v>0.26454008664753176</c:v>
                </c:pt>
                <c:pt idx="237">
                  <c:v>0.26528134028658817</c:v>
                </c:pt>
                <c:pt idx="238">
                  <c:v>0.26602678550532449</c:v>
                </c:pt>
                <c:pt idx="239">
                  <c:v>0.26677649894047595</c:v>
                </c:pt>
                <c:pt idx="240">
                  <c:v>0.2675305589232122</c:v>
                </c:pt>
                <c:pt idx="241">
                  <c:v>0.26828904553510435</c:v>
                </c:pt>
                <c:pt idx="242">
                  <c:v>0.26905204066630228</c:v>
                </c:pt>
                <c:pt idx="243">
                  <c:v>0.26981962807602766</c:v>
                </c:pt>
                <c:pt idx="244">
                  <c:v>0.27059189345549978</c:v>
                </c:pt>
                <c:pt idx="245">
                  <c:v>0.27136892449341332</c:v>
                </c:pt>
                <c:pt idx="246">
                  <c:v>0.27215081094409699</c:v>
                </c:pt>
                <c:pt idx="247">
                  <c:v>0.27293764469848802</c:v>
                </c:pt>
                <c:pt idx="248">
                  <c:v>0.27372951985806654</c:v>
                </c:pt>
                <c:pt idx="249">
                  <c:v>0.27452653281190109</c:v>
                </c:pt>
                <c:pt idx="250">
                  <c:v>0.27532878231696684</c:v>
                </c:pt>
                <c:pt idx="251">
                  <c:v>0.27613636958190779</c:v>
                </c:pt>
                <c:pt idx="252">
                  <c:v>0.2769493983544225</c:v>
                </c:pt>
                <c:pt idx="253">
                  <c:v>0.27776797501246847</c:v>
                </c:pt>
                <c:pt idx="254">
                  <c:v>0.27859220865948642</c:v>
                </c:pt>
                <c:pt idx="255">
                  <c:v>0.27942221122386462</c:v>
                </c:pt>
                <c:pt idx="256">
                  <c:v>0.28025809756287179</c:v>
                </c:pt>
                <c:pt idx="257">
                  <c:v>0.28109998557130589</c:v>
                </c:pt>
                <c:pt idx="258">
                  <c:v>0.28194799629511924</c:v>
                </c:pt>
                <c:pt idx="259">
                  <c:v>0.28280225405029941</c:v>
                </c:pt>
                <c:pt idx="260">
                  <c:v>0.28366288654730148</c:v>
                </c:pt>
                <c:pt idx="261">
                  <c:v>0.28453002502134955</c:v>
                </c:pt>
                <c:pt idx="262">
                  <c:v>0.28540380436894386</c:v>
                </c:pt>
                <c:pt idx="263">
                  <c:v>0.28628436329093471</c:v>
                </c:pt>
                <c:pt idx="264">
                  <c:v>0.2871718444425489</c:v>
                </c:pt>
                <c:pt idx="265">
                  <c:v>0.2880663945907781</c:v>
                </c:pt>
                <c:pt idx="266">
                  <c:v>0.28896816477957227</c:v>
                </c:pt>
                <c:pt idx="267">
                  <c:v>0.28987731050330756</c:v>
                </c:pt>
                <c:pt idx="268">
                  <c:v>0.29079399188903332</c:v>
                </c:pt>
                <c:pt idx="269">
                  <c:v>0.29171837388804067</c:v>
                </c:pt>
                <c:pt idx="270">
                  <c:v>0.29265062647733142</c:v>
                </c:pt>
                <c:pt idx="271">
                  <c:v>0.29359092487161031</c:v>
                </c:pt>
                <c:pt idx="272">
                  <c:v>0.29453944974647034</c:v>
                </c:pt>
                <c:pt idx="273">
                  <c:v>0.2954963874734885</c:v>
                </c:pt>
                <c:pt idx="274">
                  <c:v>0.29646193036800655</c:v>
                </c:pt>
                <c:pt idx="275">
                  <c:v>0.29743627695042885</c:v>
                </c:pt>
                <c:pt idx="276">
                  <c:v>0.29841963222193374</c:v>
                </c:pt>
                <c:pt idx="277">
                  <c:v>0.29941220795556572</c:v>
                </c:pt>
                <c:pt idx="278">
                  <c:v>0.30041422300375226</c:v>
                </c:pt>
                <c:pt idx="279">
                  <c:v>0.30142590362337124</c:v>
                </c:pt>
                <c:pt idx="280">
                  <c:v>0.30244748381958791</c:v>
                </c:pt>
                <c:pt idx="281">
                  <c:v>0.30347920570977943</c:v>
                </c:pt>
                <c:pt idx="282">
                  <c:v>0.30452131990897252</c:v>
                </c:pt>
                <c:pt idx="283">
                  <c:v>0.30557408593834334</c:v>
                </c:pt>
                <c:pt idx="284">
                  <c:v>0.30663777265845465</c:v>
                </c:pt>
                <c:pt idx="285">
                  <c:v>0.30771265872905512</c:v>
                </c:pt>
                <c:pt idx="286">
                  <c:v>0.30879903309741918</c:v>
                </c:pt>
                <c:pt idx="287">
                  <c:v>0.30989719551738298</c:v>
                </c:pt>
                <c:pt idx="288">
                  <c:v>0.31100745710142413</c:v>
                </c:pt>
                <c:pt idx="289">
                  <c:v>0.31213014090834346</c:v>
                </c:pt>
                <c:pt idx="290">
                  <c:v>0.31326558256934239</c:v>
                </c:pt>
                <c:pt idx="291">
                  <c:v>0.3144141309555481</c:v>
                </c:pt>
                <c:pt idx="292">
                  <c:v>0.3155761488903267</c:v>
                </c:pt>
                <c:pt idx="293">
                  <c:v>0.31675201391003904</c:v>
                </c:pt>
                <c:pt idx="294">
                  <c:v>0.31794211907725278</c:v>
                </c:pt>
                <c:pt idx="295">
                  <c:v>0.31914687385081109</c:v>
                </c:pt>
                <c:pt idx="296">
                  <c:v>0.32036670501759951</c:v>
                </c:pt>
                <c:pt idx="297">
                  <c:v>0.32160205769133932</c:v>
                </c:pt>
                <c:pt idx="298">
                  <c:v>0.32285339638427846</c:v>
                </c:pt>
                <c:pt idx="299">
                  <c:v>0.32412120615826268</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4-DEB8-46AA-A96E-0482BD366A3C}"/>
            </c:ext>
          </c:extLst>
        </c:ser>
        <c:ser>
          <c:idx val="7"/>
          <c:order val="5"/>
          <c:tx>
            <c:v>90% CI</c:v>
          </c:tx>
          <c:spPr>
            <a:ln w="3175">
              <a:solidFill>
                <a:srgbClr val="FFCC00"/>
              </a:solidFill>
              <a:prstDash val="solid"/>
            </a:ln>
          </c:spPr>
          <c:marker>
            <c:symbol val="none"/>
          </c:marker>
          <c:xVal>
            <c:numRef>
              <c:f>'EVA Calcs'!$K$35:$K$335</c:f>
              <c:numCache>
                <c:formatCode>0.000</c:formatCode>
                <c:ptCount val="301"/>
                <c:pt idx="0">
                  <c:v>5.5960176219856883E-2</c:v>
                </c:pt>
                <c:pt idx="1">
                  <c:v>6.5628114997112907E-2</c:v>
                </c:pt>
                <c:pt idx="2">
                  <c:v>7.1886938708395146E-2</c:v>
                </c:pt>
                <c:pt idx="3">
                  <c:v>7.6649595697088721E-2</c:v>
                </c:pt>
                <c:pt idx="4">
                  <c:v>8.0552589825572146E-2</c:v>
                </c:pt>
                <c:pt idx="5">
                  <c:v>8.3891421376703218E-2</c:v>
                </c:pt>
                <c:pt idx="6">
                  <c:v>8.6828932788693233E-2</c:v>
                </c:pt>
                <c:pt idx="7">
                  <c:v>8.9464998181923591E-2</c:v>
                </c:pt>
                <c:pt idx="8">
                  <c:v>9.1865562694438865E-2</c:v>
                </c:pt>
                <c:pt idx="9">
                  <c:v>9.4076592154440711E-2</c:v>
                </c:pt>
                <c:pt idx="10">
                  <c:v>9.6131484928886568E-2</c:v>
                </c:pt>
                <c:pt idx="11">
                  <c:v>9.8055319622174453E-2</c:v>
                </c:pt>
                <c:pt idx="12">
                  <c:v>9.9867437609215334E-2</c:v>
                </c:pt>
                <c:pt idx="13">
                  <c:v>0.10158308960006029</c:v>
                </c:pt>
                <c:pt idx="14">
                  <c:v>0.10321452731813038</c:v>
                </c:pt>
                <c:pt idx="15">
                  <c:v>0.10477175139715243</c:v>
                </c:pt>
                <c:pt idx="16">
                  <c:v>0.10626303824045687</c:v>
                </c:pt>
                <c:pt idx="17">
                  <c:v>0.10769532018908587</c:v>
                </c:pt>
                <c:pt idx="18">
                  <c:v>0.10907446563679672</c:v>
                </c:pt>
                <c:pt idx="19">
                  <c:v>0.11040548925097346</c:v>
                </c:pt>
                <c:pt idx="20">
                  <c:v>0.11169271232803812</c:v>
                </c:pt>
                <c:pt idx="21">
                  <c:v>0.11293988690072353</c:v>
                </c:pt>
                <c:pt idx="22">
                  <c:v>0.11415029305136534</c:v>
                </c:pt>
                <c:pt idx="23">
                  <c:v>0.1153268161191974</c:v>
                </c:pt>
                <c:pt idx="24">
                  <c:v>0.11647200861344259</c:v>
                </c:pt>
                <c:pt idx="25">
                  <c:v>0.11758814034755172</c:v>
                </c:pt>
                <c:pt idx="26">
                  <c:v>0.11867723939885731</c:v>
                </c:pt>
                <c:pt idx="27">
                  <c:v>0.11974112584770727</c:v>
                </c:pt>
                <c:pt idx="28">
                  <c:v>0.12078143977953258</c:v>
                </c:pt>
                <c:pt idx="29">
                  <c:v>0.12179966468824242</c:v>
                </c:pt>
                <c:pt idx="30">
                  <c:v>0.12279714716329072</c:v>
                </c:pt>
                <c:pt idx="31">
                  <c:v>0.12377511355064773</c:v>
                </c:pt>
                <c:pt idx="32">
                  <c:v>0.12473468413228664</c:v>
                </c:pt>
                <c:pt idx="33">
                  <c:v>0.12567688525734771</c:v>
                </c:pt>
                <c:pt idx="34">
                  <c:v>0.12660265977209118</c:v>
                </c:pt>
                <c:pt idx="35">
                  <c:v>0.12751287602874609</c:v>
                </c:pt>
                <c:pt idx="36">
                  <c:v>0.12840833570078769</c:v>
                </c:pt>
                <c:pt idx="37">
                  <c:v>0.1292897805906123</c:v>
                </c:pt>
                <c:pt idx="38">
                  <c:v>0.13015789858249702</c:v>
                </c:pt>
                <c:pt idx="39">
                  <c:v>0.13101332886722877</c:v>
                </c:pt>
                <c:pt idx="40">
                  <c:v>0.13185666654342063</c:v>
                </c:pt>
                <c:pt idx="41">
                  <c:v>0.13268846668321152</c:v>
                </c:pt>
                <c:pt idx="42">
                  <c:v>0.13350924793592225</c:v>
                </c:pt>
                <c:pt idx="43">
                  <c:v>0.13431949573166663</c:v>
                </c:pt>
                <c:pt idx="44">
                  <c:v>0.13511966513738219</c:v>
                </c:pt>
                <c:pt idx="45">
                  <c:v>0.13591018340985786</c:v>
                </c:pt>
                <c:pt idx="46">
                  <c:v>0.13669145228377705</c:v>
                </c:pt>
                <c:pt idx="47">
                  <c:v>0.13746385002732001</c:v>
                </c:pt>
                <c:pt idx="48">
                  <c:v>0.13822773329328125</c:v>
                </c:pt>
                <c:pt idx="49">
                  <c:v>0.13898343878979449</c:v>
                </c:pt>
                <c:pt idx="50">
                  <c:v>0.13973128479149735</c:v>
                </c:pt>
                <c:pt idx="51">
                  <c:v>0.14047157250920075</c:v>
                </c:pt>
                <c:pt idx="52">
                  <c:v>0.14120458733377686</c:v>
                </c:pt>
                <c:pt idx="53">
                  <c:v>0.14193059996797183</c:v>
                </c:pt>
                <c:pt idx="54">
                  <c:v>0.14264986745813019</c:v>
                </c:pt>
                <c:pt idx="55">
                  <c:v>0.14336263413634212</c:v>
                </c:pt>
                <c:pt idx="56">
                  <c:v>0.14406913248225375</c:v>
                </c:pt>
                <c:pt idx="57">
                  <c:v>0.14476958391268263</c:v>
                </c:pt>
                <c:pt idx="58">
                  <c:v>0.14546419950622899</c:v>
                </c:pt>
                <c:pt idx="59">
                  <c:v>0.14615318066924923</c:v>
                </c:pt>
                <c:pt idx="60">
                  <c:v>0.14683671974883764</c:v>
                </c:pt>
                <c:pt idx="61">
                  <c:v>0.14751500059783687</c:v>
                </c:pt>
                <c:pt idx="62">
                  <c:v>0.14818819909634795</c:v>
                </c:pt>
                <c:pt idx="63">
                  <c:v>0.14885648363373047</c:v>
                </c:pt>
                <c:pt idx="64">
                  <c:v>0.14952001555466096</c:v>
                </c:pt>
                <c:pt idx="65">
                  <c:v>0.15017894957244543</c:v>
                </c:pt>
                <c:pt idx="66">
                  <c:v>0.15083343415245407</c:v>
                </c:pt>
                <c:pt idx="67">
                  <c:v>0.15148361186825623</c:v>
                </c:pt>
                <c:pt idx="68">
                  <c:v>0.15212961973277656</c:v>
                </c:pt>
                <c:pt idx="69">
                  <c:v>0.15277158950656516</c:v>
                </c:pt>
                <c:pt idx="70">
                  <c:v>0.15340964798507312</c:v>
                </c:pt>
                <c:pt idx="71">
                  <c:v>0.15404391726664224</c:v>
                </c:pt>
                <c:pt idx="72">
                  <c:v>0.15467451500275936</c:v>
                </c:pt>
                <c:pt idx="73">
                  <c:v>0.15530155463197959</c:v>
                </c:pt>
                <c:pt idx="74">
                  <c:v>0.15592514559879567</c:v>
                </c:pt>
                <c:pt idx="75">
                  <c:v>0.15654539355861477</c:v>
                </c:pt>
                <c:pt idx="76">
                  <c:v>0.15716240056989988</c:v>
                </c:pt>
                <c:pt idx="77">
                  <c:v>0.1577762652744413</c:v>
                </c:pt>
                <c:pt idx="78">
                  <c:v>0.1583870830666384</c:v>
                </c:pt>
                <c:pt idx="79">
                  <c:v>0.15899494625259739</c:v>
                </c:pt>
                <c:pt idx="80">
                  <c:v>0.15959994419978196</c:v>
                </c:pt>
                <c:pt idx="81">
                  <c:v>0.16020216347789243</c:v>
                </c:pt>
                <c:pt idx="82">
                  <c:v>0.16080168799159286</c:v>
                </c:pt>
                <c:pt idx="83">
                  <c:v>0.16139859910565543</c:v>
                </c:pt>
                <c:pt idx="84">
                  <c:v>0.16199297576304494</c:v>
                </c:pt>
                <c:pt idx="85">
                  <c:v>0.16258489459642533</c:v>
                </c:pt>
                <c:pt idx="86">
                  <c:v>0.16317443003353133</c:v>
                </c:pt>
                <c:pt idx="87">
                  <c:v>0.1637616543968145</c:v>
                </c:pt>
                <c:pt idx="88">
                  <c:v>0.16434663799774152</c:v>
                </c:pt>
                <c:pt idx="89">
                  <c:v>0.16492944922609276</c:v>
                </c:pt>
                <c:pt idx="90">
                  <c:v>0.1655101546345846</c:v>
                </c:pt>
                <c:pt idx="91">
                  <c:v>0.1660888190191136</c:v>
                </c:pt>
                <c:pt idx="92">
                  <c:v>0.16666550549489906</c:v>
                </c:pt>
                <c:pt idx="93">
                  <c:v>0.16724027556878093</c:v>
                </c:pt>
                <c:pt idx="94">
                  <c:v>0.16781318920791077</c:v>
                </c:pt>
                <c:pt idx="95">
                  <c:v>0.16838430490505674</c:v>
                </c:pt>
                <c:pt idx="96">
                  <c:v>0.16895367974072861</c:v>
                </c:pt>
                <c:pt idx="97">
                  <c:v>0.16952136944231339</c:v>
                </c:pt>
                <c:pt idx="98">
                  <c:v>0.17008742844040023</c:v>
                </c:pt>
                <c:pt idx="99">
                  <c:v>0.17065190992245985</c:v>
                </c:pt>
                <c:pt idx="100">
                  <c:v>0.17121486588403351</c:v>
                </c:pt>
                <c:pt idx="101">
                  <c:v>0.17177634717757573</c:v>
                </c:pt>
                <c:pt idx="102">
                  <c:v>0.17233640355908578</c:v>
                </c:pt>
                <c:pt idx="103">
                  <c:v>0.1728950837326533</c:v>
                </c:pt>
                <c:pt idx="104">
                  <c:v>0.17345243539303651</c:v>
                </c:pt>
                <c:pt idx="105">
                  <c:v>0.17400850526638287</c:v>
                </c:pt>
                <c:pt idx="106">
                  <c:v>0.17456333914919545</c:v>
                </c:pt>
                <c:pt idx="107">
                  <c:v>0.17511698194564174</c:v>
                </c:pt>
                <c:pt idx="108">
                  <c:v>0.17566947770329591</c:v>
                </c:pt>
                <c:pt idx="109">
                  <c:v>0.17622086964739911</c:v>
                </c:pt>
                <c:pt idx="110">
                  <c:v>0.17677120021371823</c:v>
                </c:pt>
                <c:pt idx="111">
                  <c:v>0.17732051108007796</c:v>
                </c:pt>
                <c:pt idx="112">
                  <c:v>0.17786884319663698</c:v>
                </c:pt>
                <c:pt idx="113">
                  <c:v>0.17841623681497432</c:v>
                </c:pt>
                <c:pt idx="114">
                  <c:v>0.178962731516049</c:v>
                </c:pt>
                <c:pt idx="115">
                  <c:v>0.17950836623709143</c:v>
                </c:pt>
                <c:pt idx="116">
                  <c:v>0.18005317929748216</c:v>
                </c:pt>
                <c:pt idx="117">
                  <c:v>0.18059720842367069</c:v>
                </c:pt>
                <c:pt idx="118">
                  <c:v>0.18114049077318334</c:v>
                </c:pt>
                <c:pt idx="119">
                  <c:v>0.18168306295776707</c:v>
                </c:pt>
                <c:pt idx="120">
                  <c:v>0.18222496106571359</c:v>
                </c:pt>
                <c:pt idx="121">
                  <c:v>0.18276622068340495</c:v>
                </c:pt>
                <c:pt idx="122">
                  <c:v>0.1833068769161206</c:v>
                </c:pt>
                <c:pt idx="123">
                  <c:v>0.18384696440814283</c:v>
                </c:pt>
                <c:pt idx="124">
                  <c:v>0.18438651736219666</c:v>
                </c:pt>
                <c:pt idx="125">
                  <c:v>0.18492556955825673</c:v>
                </c:pt>
                <c:pt idx="126">
                  <c:v>0.18546415437175404</c:v>
                </c:pt>
                <c:pt idx="127">
                  <c:v>0.18600230479121208</c:v>
                </c:pt>
                <c:pt idx="128">
                  <c:v>0.18654005343534119</c:v>
                </c:pt>
                <c:pt idx="129">
                  <c:v>0.18707743256961881</c:v>
                </c:pt>
                <c:pt idx="130">
                  <c:v>0.18761447412238091</c:v>
                </c:pt>
                <c:pt idx="131">
                  <c:v>0.1881512097004496</c:v>
                </c:pt>
                <c:pt idx="132">
                  <c:v>0.18868767060432071</c:v>
                </c:pt>
                <c:pt idx="133">
                  <c:v>0.18922388784293317</c:v>
                </c:pt>
                <c:pt idx="134">
                  <c:v>0.18975989214804206</c:v>
                </c:pt>
                <c:pt idx="135">
                  <c:v>0.19029571398821526</c:v>
                </c:pt>
                <c:pt idx="136">
                  <c:v>0.1908313835824737</c:v>
                </c:pt>
                <c:pt idx="137">
                  <c:v>0.1913669309135933</c:v>
                </c:pt>
                <c:pt idx="138">
                  <c:v>0.19190238574108692</c:v>
                </c:pt>
                <c:pt idx="139">
                  <c:v>0.19243777761388278</c:v>
                </c:pt>
                <c:pt idx="140">
                  <c:v>0.19297313588271642</c:v>
                </c:pt>
                <c:pt idx="141">
                  <c:v>0.19350848971225101</c:v>
                </c:pt>
                <c:pt idx="142">
                  <c:v>0.19404386809294211</c:v>
                </c:pt>
                <c:pt idx="143">
                  <c:v>0.19457929985266018</c:v>
                </c:pt>
                <c:pt idx="144">
                  <c:v>0.19511481366808561</c:v>
                </c:pt>
                <c:pt idx="145">
                  <c:v>0.19565043807588933</c:v>
                </c:pt>
                <c:pt idx="146">
                  <c:v>0.19618620148371199</c:v>
                </c:pt>
                <c:pt idx="147">
                  <c:v>0.19672213218095375</c:v>
                </c:pt>
                <c:pt idx="148">
                  <c:v>0.19725825834938748</c:v>
                </c:pt>
                <c:pt idx="149">
                  <c:v>0.19779460807360616</c:v>
                </c:pt>
                <c:pt idx="150">
                  <c:v>0.19833120935131648</c:v>
                </c:pt>
                <c:pt idx="151">
                  <c:v>0.19886809010348866</c:v>
                </c:pt>
                <c:pt idx="152">
                  <c:v>0.19940527818437412</c:v>
                </c:pt>
                <c:pt idx="153">
                  <c:v>0.19994280139140011</c:v>
                </c:pt>
                <c:pt idx="154">
                  <c:v>0.20048068747495237</c:v>
                </c:pt>
                <c:pt idx="155">
                  <c:v>0.20101896414805487</c:v>
                </c:pt>
                <c:pt idx="156">
                  <c:v>0.20155765909595613</c:v>
                </c:pt>
                <c:pt idx="157">
                  <c:v>0.20209679998563196</c:v>
                </c:pt>
                <c:pt idx="158">
                  <c:v>0.20263641447521283</c:v>
                </c:pt>
                <c:pt idx="159">
                  <c:v>0.20317653022334553</c:v>
                </c:pt>
                <c:pt idx="160">
                  <c:v>0.20371717489849744</c:v>
                </c:pt>
                <c:pt idx="161">
                  <c:v>0.2042583761882118</c:v>
                </c:pt>
                <c:pt idx="162">
                  <c:v>0.20480016180832303</c:v>
                </c:pt>
                <c:pt idx="163">
                  <c:v>0.20534255951213948</c:v>
                </c:pt>
                <c:pt idx="164">
                  <c:v>0.20588559709960275</c:v>
                </c:pt>
                <c:pt idx="165">
                  <c:v>0.20642930242643109</c:v>
                </c:pt>
                <c:pt idx="166">
                  <c:v>0.20697370341325474</c:v>
                </c:pt>
                <c:pt idx="167">
                  <c:v>0.20751882805475211</c:v>
                </c:pt>
                <c:pt idx="168">
                  <c:v>0.20806470442879335</c:v>
                </c:pt>
                <c:pt idx="169">
                  <c:v>0.20861136070560024</c:v>
                </c:pt>
                <c:pt idx="170">
                  <c:v>0.20915882515692996</c:v>
                </c:pt>
                <c:pt idx="171">
                  <c:v>0.20970712616529022</c:v>
                </c:pt>
                <c:pt idx="172">
                  <c:v>0.21025629223319395</c:v>
                </c:pt>
                <c:pt idx="173">
                  <c:v>0.2108063519924612</c:v>
                </c:pt>
                <c:pt idx="174">
                  <c:v>0.21135733421357644</c:v>
                </c:pt>
                <c:pt idx="175">
                  <c:v>0.21190926781510847</c:v>
                </c:pt>
                <c:pt idx="176">
                  <c:v>0.21246218187320176</c:v>
                </c:pt>
                <c:pt idx="177">
                  <c:v>0.21301610563114642</c:v>
                </c:pt>
                <c:pt idx="178">
                  <c:v>0.21357106850903576</c:v>
                </c:pt>
                <c:pt idx="179">
                  <c:v>0.21412710011351851</c:v>
                </c:pt>
                <c:pt idx="180">
                  <c:v>0.21468423024765532</c:v>
                </c:pt>
                <c:pt idx="181">
                  <c:v>0.21524248892088665</c:v>
                </c:pt>
                <c:pt idx="182">
                  <c:v>0.21580190635912172</c:v>
                </c:pt>
                <c:pt idx="183">
                  <c:v>0.21636251301495601</c:v>
                </c:pt>
                <c:pt idx="184">
                  <c:v>0.21692433957802754</c:v>
                </c:pt>
                <c:pt idx="185">
                  <c:v>0.21748741698551943</c:v>
                </c:pt>
                <c:pt idx="186">
                  <c:v>0.21805177643281939</c:v>
                </c:pt>
                <c:pt idx="187">
                  <c:v>0.21861744938434438</c:v>
                </c:pt>
                <c:pt idx="188">
                  <c:v>0.21918446758454047</c:v>
                </c:pt>
                <c:pt idx="189">
                  <c:v>0.21975286306906805</c:v>
                </c:pt>
                <c:pt idx="190">
                  <c:v>0.22032266817618215</c:v>
                </c:pt>
                <c:pt idx="191">
                  <c:v>0.22089391555831803</c:v>
                </c:pt>
                <c:pt idx="192">
                  <c:v>0.2214666381938932</c:v>
                </c:pt>
                <c:pt idx="193">
                  <c:v>0.2220408693993364</c:v>
                </c:pt>
                <c:pt idx="194">
                  <c:v>0.22261664284135502</c:v>
                </c:pt>
                <c:pt idx="195">
                  <c:v>0.22319399254945257</c:v>
                </c:pt>
                <c:pt idx="196">
                  <c:v>0.22377295292870808</c:v>
                </c:pt>
                <c:pt idx="197">
                  <c:v>0.2243535587728295</c:v>
                </c:pt>
                <c:pt idx="198">
                  <c:v>0.22493584527749491</c:v>
                </c:pt>
                <c:pt idx="199">
                  <c:v>0.22551984805399322</c:v>
                </c:pt>
                <c:pt idx="200">
                  <c:v>0.22610560314317921</c:v>
                </c:pt>
                <c:pt idx="201">
                  <c:v>0.22669314702975688</c:v>
                </c:pt>
                <c:pt idx="202">
                  <c:v>0.22728251665690469</c:v>
                </c:pt>
                <c:pt idx="203">
                  <c:v>0.22787374944125974</c:v>
                </c:pt>
                <c:pt idx="204">
                  <c:v>0.2284668832882745</c:v>
                </c:pt>
                <c:pt idx="205">
                  <c:v>0.22906195660796436</c:v>
                </c:pt>
                <c:pt idx="206">
                  <c:v>0.22965900833106179</c:v>
                </c:pt>
                <c:pt idx="207">
                  <c:v>0.23025807792559483</c:v>
                </c:pt>
                <c:pt idx="208">
                  <c:v>0.23085920541390889</c:v>
                </c:pt>
                <c:pt idx="209">
                  <c:v>0.23146243139015049</c:v>
                </c:pt>
                <c:pt idx="210">
                  <c:v>0.2320677970382326</c:v>
                </c:pt>
                <c:pt idx="211">
                  <c:v>0.23267534415030269</c:v>
                </c:pt>
                <c:pt idx="212">
                  <c:v>0.23328511514573513</c:v>
                </c:pt>
                <c:pt idx="213">
                  <c:v>0.23389715309066958</c:v>
                </c:pt>
                <c:pt idx="214">
                  <c:v>0.2345115017181201</c:v>
                </c:pt>
                <c:pt idx="215">
                  <c:v>0.23512820544867824</c:v>
                </c:pt>
                <c:pt idx="216">
                  <c:v>0.23574730941183639</c:v>
                </c:pt>
                <c:pt idx="217">
                  <c:v>0.23636885946795777</c:v>
                </c:pt>
                <c:pt idx="218">
                  <c:v>0.23699290223092109</c:v>
                </c:pt>
                <c:pt idx="219">
                  <c:v>0.23761948509146885</c:v>
                </c:pt>
                <c:pt idx="220">
                  <c:v>0.23824865624129021</c:v>
                </c:pt>
                <c:pt idx="221">
                  <c:v>0.23888046469786917</c:v>
                </c:pt>
                <c:pt idx="222">
                  <c:v>0.23951496033013348</c:v>
                </c:pt>
                <c:pt idx="223">
                  <c:v>0.24015219388493708</c:v>
                </c:pt>
                <c:pt idx="224">
                  <c:v>0.24079221701441431</c:v>
                </c:pt>
                <c:pt idx="225">
                  <c:v>0.24143508230424338</c:v>
                </c:pt>
                <c:pt idx="226">
                  <c:v>0.24208084330285981</c:v>
                </c:pt>
                <c:pt idx="227">
                  <c:v>0.24272955455166215</c:v>
                </c:pt>
                <c:pt idx="228">
                  <c:v>0.24338127161625428</c:v>
                </c:pt>
                <c:pt idx="229">
                  <c:v>0.24403605111877033</c:v>
                </c:pt>
                <c:pt idx="230">
                  <c:v>0.2446939507713321</c:v>
                </c:pt>
                <c:pt idx="231">
                  <c:v>0.2453550294106899</c:v>
                </c:pt>
                <c:pt idx="232">
                  <c:v>0.24601934703410039</c:v>
                </c:pt>
                <c:pt idx="233">
                  <c:v>0.24668696483649924</c:v>
                </c:pt>
                <c:pt idx="234">
                  <c:v>0.24735794524902782</c:v>
                </c:pt>
                <c:pt idx="235">
                  <c:v>0.24803235197897699</c:v>
                </c:pt>
                <c:pt idx="236">
                  <c:v>0.24871025005121397</c:v>
                </c:pt>
                <c:pt idx="237">
                  <c:v>0.24939170585116308</c:v>
                </c:pt>
                <c:pt idx="238">
                  <c:v>0.25007678716941306</c:v>
                </c:pt>
                <c:pt idx="239">
                  <c:v>0.25076556324802868</c:v>
                </c:pt>
                <c:pt idx="240">
                  <c:v>0.25145810482864944</c:v>
                </c:pt>
                <c:pt idx="241">
                  <c:v>0.25215448420246056</c:v>
                </c:pt>
                <c:pt idx="242">
                  <c:v>0.25285477526212852</c:v>
                </c:pt>
                <c:pt idx="243">
                  <c:v>0.25355905355579689</c:v>
                </c:pt>
                <c:pt idx="244">
                  <c:v>0.25426739634324497</c:v>
                </c:pt>
                <c:pt idx="245">
                  <c:v>0.25497988265431659</c:v>
                </c:pt>
                <c:pt idx="246">
                  <c:v>0.25569659334973277</c:v>
                </c:pt>
                <c:pt idx="247">
                  <c:v>0.25641761118440964</c:v>
                </c:pt>
                <c:pt idx="248">
                  <c:v>0.25714302087340879</c:v>
                </c:pt>
                <c:pt idx="249">
                  <c:v>0.25787290916065542</c:v>
                </c:pt>
                <c:pt idx="250">
                  <c:v>0.25860736489056785</c:v>
                </c:pt>
                <c:pt idx="251">
                  <c:v>0.25934647908275027</c:v>
                </c:pt>
                <c:pt idx="252">
                  <c:v>0.26009034500991046</c:v>
                </c:pt>
                <c:pt idx="253">
                  <c:v>0.26083905827917342</c:v>
                </c:pt>
                <c:pt idx="254">
                  <c:v>0.26159271691697239</c:v>
                </c:pt>
                <c:pt idx="255">
                  <c:v>0.26235142145771234</c:v>
                </c:pt>
                <c:pt idx="256">
                  <c:v>0.26311527503640891</c:v>
                </c:pt>
                <c:pt idx="257">
                  <c:v>0.26388438348552368</c:v>
                </c:pt>
                <c:pt idx="258">
                  <c:v>0.26465885543622714</c:v>
                </c:pt>
                <c:pt idx="259">
                  <c:v>0.26543880242433815</c:v>
                </c:pt>
                <c:pt idx="260">
                  <c:v>0.2662243390012034</c:v>
                </c:pt>
                <c:pt idx="261">
                  <c:v>0.26701558284979859</c:v>
                </c:pt>
                <c:pt idx="262">
                  <c:v>0.26781265490635237</c:v>
                </c:pt>
                <c:pt idx="263">
                  <c:v>0.26861567948781301</c:v>
                </c:pt>
                <c:pt idx="264">
                  <c:v>0.26942478442550194</c:v>
                </c:pt>
                <c:pt idx="265">
                  <c:v>0.27024010120531816</c:v>
                </c:pt>
                <c:pt idx="266">
                  <c:v>0.27106176511488783</c:v>
                </c:pt>
                <c:pt idx="267">
                  <c:v>0.27188991539807678</c:v>
                </c:pt>
                <c:pt idx="268">
                  <c:v>0.27272469541731559</c:v>
                </c:pt>
                <c:pt idx="269">
                  <c:v>0.27356625282421881</c:v>
                </c:pt>
                <c:pt idx="270">
                  <c:v>0.2744147397390142</c:v>
                </c:pt>
                <c:pt idx="271">
                  <c:v>0.27527031293933657</c:v>
                </c:pt>
                <c:pt idx="272">
                  <c:v>0.2761331340589806</c:v>
                </c:pt>
                <c:pt idx="273">
                  <c:v>0.27700336979725337</c:v>
                </c:pt>
                <c:pt idx="274">
                  <c:v>0.27788119213961354</c:v>
                </c:pt>
                <c:pt idx="275">
                  <c:v>0.27876677859033899</c:v>
                </c:pt>
                <c:pt idx="276">
                  <c:v>0.27966031241801997</c:v>
                </c:pt>
                <c:pt idx="277">
                  <c:v>0.280561982914738</c:v>
                </c:pt>
                <c:pt idx="278">
                  <c:v>0.28147198566986059</c:v>
                </c:pt>
                <c:pt idx="279">
                  <c:v>0.2823905228594521</c:v>
                </c:pt>
                <c:pt idx="280">
                  <c:v>0.28331780355238578</c:v>
                </c:pt>
                <c:pt idx="281">
                  <c:v>0.28425404403433013</c:v>
                </c:pt>
                <c:pt idx="282">
                  <c:v>0.28519946815087721</c:v>
                </c:pt>
                <c:pt idx="283">
                  <c:v>0.28615430767119115</c:v>
                </c:pt>
                <c:pt idx="284">
                  <c:v>0.28711880267366779</c:v>
                </c:pt>
                <c:pt idx="285">
                  <c:v>0.28809320195522764</c:v>
                </c:pt>
                <c:pt idx="286">
                  <c:v>0.28907776346600372</c:v>
                </c:pt>
                <c:pt idx="287">
                  <c:v>0.2900727547713407</c:v>
                </c:pt>
                <c:pt idx="288">
                  <c:v>0.29107845354319445</c:v>
                </c:pt>
                <c:pt idx="289">
                  <c:v>0.29209514808320769</c:v>
                </c:pt>
                <c:pt idx="290">
                  <c:v>0.29312313787994665</c:v>
                </c:pt>
                <c:pt idx="291">
                  <c:v>0.29416273420301464</c:v>
                </c:pt>
                <c:pt idx="292">
                  <c:v>0.29521426073701212</c:v>
                </c:pt>
                <c:pt idx="293">
                  <c:v>0.29627805425859682</c:v>
                </c:pt>
                <c:pt idx="294">
                  <c:v>0.29735446536021137</c:v>
                </c:pt>
                <c:pt idx="295">
                  <c:v>0.2984438592243947</c:v>
                </c:pt>
                <c:pt idx="296">
                  <c:v>0.29954661645298314</c:v>
                </c:pt>
                <c:pt idx="297">
                  <c:v>0.30066313395593991</c:v>
                </c:pt>
                <c:pt idx="298">
                  <c:v>0.30179382590503678</c:v>
                </c:pt>
                <c:pt idx="299">
                  <c:v>0.30293912475815249</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5-DEB8-46AA-A96E-0482BD366A3C}"/>
            </c:ext>
          </c:extLst>
        </c:ser>
        <c:ser>
          <c:idx val="8"/>
          <c:order val="6"/>
          <c:tx>
            <c:v>90%</c:v>
          </c:tx>
          <c:spPr>
            <a:ln w="3175">
              <a:solidFill>
                <a:srgbClr val="FF9900"/>
              </a:solidFill>
              <a:prstDash val="solid"/>
            </a:ln>
          </c:spPr>
          <c:marker>
            <c:symbol val="none"/>
          </c:marker>
          <c:xVal>
            <c:numRef>
              <c:f>'EVA Calcs'!$L$35:$L$335</c:f>
              <c:numCache>
                <c:formatCode>0.000</c:formatCode>
                <c:ptCount val="301"/>
                <c:pt idx="0">
                  <c:v>7.4491391913588778E-2</c:v>
                </c:pt>
                <c:pt idx="1">
                  <c:v>8.3279382630728122E-2</c:v>
                </c:pt>
                <c:pt idx="2">
                  <c:v>8.8991404884250266E-2</c:v>
                </c:pt>
                <c:pt idx="3">
                  <c:v>9.3351390023926992E-2</c:v>
                </c:pt>
                <c:pt idx="4">
                  <c:v>9.693374663290269E-2</c:v>
                </c:pt>
                <c:pt idx="5">
                  <c:v>0.10000540855064557</c:v>
                </c:pt>
                <c:pt idx="6">
                  <c:v>0.1027135905315414</c:v>
                </c:pt>
                <c:pt idx="7">
                  <c:v>0.10514864081922735</c:v>
                </c:pt>
                <c:pt idx="8">
                  <c:v>0.10737024838602573</c:v>
                </c:pt>
                <c:pt idx="9">
                  <c:v>0.10942003900806176</c:v>
                </c:pt>
                <c:pt idx="10">
                  <c:v>0.11132827109890062</c:v>
                </c:pt>
                <c:pt idx="11">
                  <c:v>0.1131176746940096</c:v>
                </c:pt>
                <c:pt idx="12">
                  <c:v>0.11480578638958221</c:v>
                </c:pt>
                <c:pt idx="13">
                  <c:v>0.11640643857015523</c:v>
                </c:pt>
                <c:pt idx="14">
                  <c:v>0.11793074709200224</c:v>
                </c:pt>
                <c:pt idx="15">
                  <c:v>0.11938778813803412</c:v>
                </c:pt>
                <c:pt idx="16">
                  <c:v>0.12078507516522817</c:v>
                </c:pt>
                <c:pt idx="17">
                  <c:v>0.12212890314833766</c:v>
                </c:pt>
                <c:pt idx="18">
                  <c:v>0.12342460228808862</c:v>
                </c:pt>
                <c:pt idx="19">
                  <c:v>0.12467672845895697</c:v>
                </c:pt>
                <c:pt idx="20">
                  <c:v>0.12588920851403654</c:v>
                </c:pt>
                <c:pt idx="21">
                  <c:v>0.12706545276768888</c:v>
                </c:pt>
                <c:pt idx="22">
                  <c:v>0.12820844321165056</c:v>
                </c:pt>
                <c:pt idx="23">
                  <c:v>0.12932080351817396</c:v>
                </c:pt>
                <c:pt idx="24">
                  <c:v>0.13040485518637496</c:v>
                </c:pt>
                <c:pt idx="25">
                  <c:v>0.13146266301485157</c:v>
                </c:pt>
                <c:pt idx="26">
                  <c:v>0.13249607225907936</c:v>
                </c:pt>
                <c:pt idx="27">
                  <c:v>0.13350673924353959</c:v>
                </c:pt>
                <c:pt idx="28">
                  <c:v>0.13449615677248128</c:v>
                </c:pt>
                <c:pt idx="29">
                  <c:v>0.1354656753707765</c:v>
                </c:pt>
                <c:pt idx="30">
                  <c:v>0.1364165211544501</c:v>
                </c:pt>
                <c:pt idx="31">
                  <c:v>0.13734981095646459</c:v>
                </c:pt>
                <c:pt idx="32">
                  <c:v>0.13826656520142541</c:v>
                </c:pt>
                <c:pt idx="33">
                  <c:v>0.13916771892190355</c:v>
                </c:pt>
                <c:pt idx="34">
                  <c:v>0.14005413123110022</c:v>
                </c:pt>
                <c:pt idx="35">
                  <c:v>0.14092659350585887</c:v>
                </c:pt>
                <c:pt idx="36">
                  <c:v>0.14178583648637866</c:v>
                </c:pt>
                <c:pt idx="37">
                  <c:v>0.14263253646131063</c:v>
                </c:pt>
                <c:pt idx="38">
                  <c:v>0.14346732067692544</c:v>
                </c:pt>
                <c:pt idx="39">
                  <c:v>0.14429077208501473</c:v>
                </c:pt>
                <c:pt idx="40">
                  <c:v>0.14510343352481245</c:v>
                </c:pt>
                <c:pt idx="41">
                  <c:v>0.14590581141851608</c:v>
                </c:pt>
                <c:pt idx="42">
                  <c:v>0.1466983790471765</c:v>
                </c:pt>
                <c:pt idx="43">
                  <c:v>0.14748157946322887</c:v>
                </c:pt>
                <c:pt idx="44">
                  <c:v>0.14825582808728763</c:v>
                </c:pt>
                <c:pt idx="45">
                  <c:v>0.1490215150296724</c:v>
                </c:pt>
                <c:pt idx="46">
                  <c:v>0.14977900717118198</c:v>
                </c:pt>
                <c:pt idx="47">
                  <c:v>0.15052865003266555</c:v>
                </c:pt>
                <c:pt idx="48">
                  <c:v>0.15127076945877593</c:v>
                </c:pt>
                <c:pt idx="49">
                  <c:v>0.15200567313778493</c:v>
                </c:pt>
                <c:pt idx="50">
                  <c:v>0.15273365197638031</c:v>
                </c:pt>
                <c:pt idx="51">
                  <c:v>0.1534549813458532</c:v>
                </c:pt>
                <c:pt idx="52">
                  <c:v>0.1541699222139494</c:v>
                </c:pt>
                <c:pt idx="53">
                  <c:v>0.15487872217483659</c:v>
                </c:pt>
                <c:pt idx="54">
                  <c:v>0.15558161638807672</c:v>
                </c:pt>
                <c:pt idx="55">
                  <c:v>0.15627882843615523</c:v>
                </c:pt>
                <c:pt idx="56">
                  <c:v>0.15697057110896204</c:v>
                </c:pt>
                <c:pt idx="57">
                  <c:v>0.15765704712262385</c:v>
                </c:pt>
                <c:pt idx="58">
                  <c:v>0.15833844977922254</c:v>
                </c:pt>
                <c:pt idx="59">
                  <c:v>0.1590149635731857</c:v>
                </c:pt>
                <c:pt idx="60">
                  <c:v>0.15968676474948093</c:v>
                </c:pt>
                <c:pt idx="61">
                  <c:v>0.16035402181817807</c:v>
                </c:pt>
                <c:pt idx="62">
                  <c:v>0.16101689602944258</c:v>
                </c:pt>
                <c:pt idx="63">
                  <c:v>0.16167554181258911</c:v>
                </c:pt>
                <c:pt idx="64">
                  <c:v>0.16233010718243798</c:v>
                </c:pt>
                <c:pt idx="65">
                  <c:v>0.1629807341158816</c:v>
                </c:pt>
                <c:pt idx="66">
                  <c:v>0.16362755890126787</c:v>
                </c:pt>
                <c:pt idx="67">
                  <c:v>0.16427071246294514</c:v>
                </c:pt>
                <c:pt idx="68">
                  <c:v>0.16491032066307948</c:v>
                </c:pt>
                <c:pt idx="69">
                  <c:v>0.16554650458264769</c:v>
                </c:pt>
                <c:pt idx="70">
                  <c:v>0.16617938078332567</c:v>
                </c:pt>
                <c:pt idx="71">
                  <c:v>0.16680906155182751</c:v>
                </c:pt>
                <c:pt idx="72">
                  <c:v>0.16743565512810438</c:v>
                </c:pt>
                <c:pt idx="73">
                  <c:v>0.16805926591868142</c:v>
                </c:pt>
                <c:pt idx="74">
                  <c:v>0.16867999469629463</c:v>
                </c:pt>
                <c:pt idx="75">
                  <c:v>0.16929793878688346</c:v>
                </c:pt>
                <c:pt idx="76">
                  <c:v>0.16991319224490203</c:v>
                </c:pt>
                <c:pt idx="77">
                  <c:v>0.17052584601782669</c:v>
                </c:pt>
                <c:pt idx="78">
                  <c:v>0.17113598810066105</c:v>
                </c:pt>
                <c:pt idx="79">
                  <c:v>0.17174370368117173</c:v>
                </c:pt>
                <c:pt idx="80">
                  <c:v>0.17234907527652549</c:v>
                </c:pt>
                <c:pt idx="81">
                  <c:v>0.17295218286194233</c:v>
                </c:pt>
                <c:pt idx="82">
                  <c:v>0.1735531039919285</c:v>
                </c:pt>
                <c:pt idx="83">
                  <c:v>0.17415191391460774</c:v>
                </c:pt>
                <c:pt idx="84">
                  <c:v>0.17474868567962665</c:v>
                </c:pt>
                <c:pt idx="85">
                  <c:v>0.17534349024007223</c:v>
                </c:pt>
                <c:pt idx="86">
                  <c:v>0.17593639654880616</c:v>
                </c:pt>
                <c:pt idx="87">
                  <c:v>0.17652747164958743</c:v>
                </c:pt>
                <c:pt idx="88">
                  <c:v>0.17711678076332732</c:v>
                </c:pt>
                <c:pt idx="89">
                  <c:v>0.17770438736979466</c:v>
                </c:pt>
                <c:pt idx="90">
                  <c:v>0.17829035328506468</c:v>
                </c:pt>
                <c:pt idx="91">
                  <c:v>0.17887473873498333</c:v>
                </c:pt>
                <c:pt idx="92">
                  <c:v>0.17945760242489961</c:v>
                </c:pt>
                <c:pt idx="93">
                  <c:v>0.18003900160589872</c:v>
                </c:pt>
                <c:pt idx="94">
                  <c:v>0.18061899213775334</c:v>
                </c:pt>
                <c:pt idx="95">
                  <c:v>0.1811976285487944</c:v>
                </c:pt>
                <c:pt idx="96">
                  <c:v>0.18177496409288818</c:v>
                </c:pt>
                <c:pt idx="97">
                  <c:v>0.18235105080369446</c:v>
                </c:pt>
                <c:pt idx="98">
                  <c:v>0.18292593954636757</c:v>
                </c:pt>
                <c:pt idx="99">
                  <c:v>0.18349968006685149</c:v>
                </c:pt>
                <c:pt idx="100">
                  <c:v>0.18407232103891008</c:v>
                </c:pt>
                <c:pt idx="101">
                  <c:v>0.1846439101090237</c:v>
                </c:pt>
                <c:pt idx="102">
                  <c:v>0.18521449393927561</c:v>
                </c:pt>
                <c:pt idx="103">
                  <c:v>0.18578411824834226</c:v>
                </c:pt>
                <c:pt idx="104">
                  <c:v>0.18635282785069529</c:v>
                </c:pt>
                <c:pt idx="105">
                  <c:v>0.18692066669411592</c:v>
                </c:pt>
                <c:pt idx="106">
                  <c:v>0.18748767789561518</c:v>
                </c:pt>
                <c:pt idx="107">
                  <c:v>0.18805390377584902</c:v>
                </c:pt>
                <c:pt idx="108">
                  <c:v>0.1886193858921105</c:v>
                </c:pt>
                <c:pt idx="109">
                  <c:v>0.18918416506997685</c:v>
                </c:pt>
                <c:pt idx="110">
                  <c:v>0.18974828143368483</c:v>
                </c:pt>
                <c:pt idx="111">
                  <c:v>0.19031177443530178</c:v>
                </c:pt>
                <c:pt idx="112">
                  <c:v>0.19087468288275838</c:v>
                </c:pt>
                <c:pt idx="113">
                  <c:v>0.19143704496680231</c:v>
                </c:pt>
                <c:pt idx="114">
                  <c:v>0.1919988982869312</c:v>
                </c:pt>
                <c:pt idx="115">
                  <c:v>0.19256027987635765</c:v>
                </c:pt>
                <c:pt idx="116">
                  <c:v>0.19312122622605765</c:v>
                </c:pt>
                <c:pt idx="117">
                  <c:v>0.19368177330795053</c:v>
                </c:pt>
                <c:pt idx="118">
                  <c:v>0.19424195659725474</c:v>
                </c:pt>
                <c:pt idx="119">
                  <c:v>0.19480181109406311</c:v>
                </c:pt>
                <c:pt idx="120">
                  <c:v>0.19536137134417766</c:v>
                </c:pt>
                <c:pt idx="121">
                  <c:v>0.19592067145924166</c:v>
                </c:pt>
                <c:pt idx="122">
                  <c:v>0.19647974513620595</c:v>
                </c:pt>
                <c:pt idx="123">
                  <c:v>0.19703862567616312</c:v>
                </c:pt>
                <c:pt idx="124">
                  <c:v>0.19759734600258236</c:v>
                </c:pt>
                <c:pt idx="125">
                  <c:v>0.19815593867897535</c:v>
                </c:pt>
                <c:pt idx="126">
                  <c:v>0.19871443592602309</c:v>
                </c:pt>
                <c:pt idx="127">
                  <c:v>0.19927286963819077</c:v>
                </c:pt>
                <c:pt idx="128">
                  <c:v>0.19983127139985729</c:v>
                </c:pt>
                <c:pt idx="129">
                  <c:v>0.20038967250098469</c:v>
                </c:pt>
                <c:pt idx="130">
                  <c:v>0.20094810395235108</c:v>
                </c:pt>
                <c:pt idx="131">
                  <c:v>0.20150659650037014</c:v>
                </c:pt>
                <c:pt idx="132">
                  <c:v>0.20206518064151854</c:v>
                </c:pt>
                <c:pt idx="133">
                  <c:v>0.20262388663639205</c:v>
                </c:pt>
                <c:pt idx="134">
                  <c:v>0.20318274452341045</c:v>
                </c:pt>
                <c:pt idx="135">
                  <c:v>0.20374178413218952</c:v>
                </c:pt>
                <c:pt idx="136">
                  <c:v>0.20430103509659864</c:v>
                </c:pt>
                <c:pt idx="137">
                  <c:v>0.2048605268675211</c:v>
                </c:pt>
                <c:pt idx="138">
                  <c:v>0.20542028872533341</c:v>
                </c:pt>
                <c:pt idx="139">
                  <c:v>0.20598034979212029</c:v>
                </c:pt>
                <c:pt idx="140">
                  <c:v>0.20654073904363929</c:v>
                </c:pt>
                <c:pt idx="141">
                  <c:v>0.20710148532105108</c:v>
                </c:pt>
                <c:pt idx="142">
                  <c:v>0.20766261734242836</c:v>
                </c:pt>
                <c:pt idx="143">
                  <c:v>0.20822416371405764</c:v>
                </c:pt>
                <c:pt idx="144">
                  <c:v>0.20878615294154643</c:v>
                </c:pt>
                <c:pt idx="145">
                  <c:v>0.20934861344074901</c:v>
                </c:pt>
                <c:pt idx="146">
                  <c:v>0.20991157354852244</c:v>
                </c:pt>
                <c:pt idx="147">
                  <c:v>0.21047506153332468</c:v>
                </c:pt>
                <c:pt idx="148">
                  <c:v>0.21103910560566652</c:v>
                </c:pt>
                <c:pt idx="149">
                  <c:v>0.21160373392842796</c:v>
                </c:pt>
                <c:pt idx="150">
                  <c:v>0.21216897462704992</c:v>
                </c:pt>
                <c:pt idx="151">
                  <c:v>0.21273485579961182</c:v>
                </c:pt>
                <c:pt idx="152">
                  <c:v>0.2133014055268049</c:v>
                </c:pt>
                <c:pt idx="153">
                  <c:v>0.21386865188181128</c:v>
                </c:pt>
                <c:pt idx="154">
                  <c:v>0.21443662294009855</c:v>
                </c:pt>
                <c:pt idx="155">
                  <c:v>0.21500534678913896</c:v>
                </c:pt>
                <c:pt idx="156">
                  <c:v>0.21557485153806272</c:v>
                </c:pt>
                <c:pt idx="157">
                  <c:v>0.21614516532725431</c:v>
                </c:pt>
                <c:pt idx="158">
                  <c:v>0.21671631633790076</c:v>
                </c:pt>
                <c:pt idx="159">
                  <c:v>0.21728833280150028</c:v>
                </c:pt>
                <c:pt idx="160">
                  <c:v>0.21786124300934057</c:v>
                </c:pt>
                <c:pt idx="161">
                  <c:v>0.21843507532195433</c:v>
                </c:pt>
                <c:pt idx="162">
                  <c:v>0.21900985817856097</c:v>
                </c:pt>
                <c:pt idx="163">
                  <c:v>0.21958562010650262</c:v>
                </c:pt>
                <c:pt idx="164">
                  <c:v>0.22016238973068292</c:v>
                </c:pt>
                <c:pt idx="165">
                  <c:v>0.22074019578301574</c:v>
                </c:pt>
                <c:pt idx="166">
                  <c:v>0.22131906711189345</c:v>
                </c:pt>
                <c:pt idx="167">
                  <c:v>0.22189903269168162</c:v>
                </c:pt>
                <c:pt idx="168">
                  <c:v>0.22248012163224842</c:v>
                </c:pt>
                <c:pt idx="169">
                  <c:v>0.22306236318853737</c:v>
                </c:pt>
                <c:pt idx="170">
                  <c:v>0.22364578677019065</c:v>
                </c:pt>
                <c:pt idx="171">
                  <c:v>0.22423042195123163</c:v>
                </c:pt>
                <c:pt idx="172">
                  <c:v>0.22481629847981463</c:v>
                </c:pt>
                <c:pt idx="173">
                  <c:v>0.22540344628804962</c:v>
                </c:pt>
                <c:pt idx="174">
                  <c:v>0.22599189550191079</c:v>
                </c:pt>
                <c:pt idx="175">
                  <c:v>0.22658167645123675</c:v>
                </c:pt>
                <c:pt idx="176">
                  <c:v>0.227172819679831</c:v>
                </c:pt>
                <c:pt idx="177">
                  <c:v>0.22776535595567077</c:v>
                </c:pt>
                <c:pt idx="178">
                  <c:v>0.22835931628123343</c:v>
                </c:pt>
                <c:pt idx="179">
                  <c:v>0.22895473190394863</c:v>
                </c:pt>
                <c:pt idx="180">
                  <c:v>0.22955163432678516</c:v>
                </c:pt>
                <c:pt idx="181">
                  <c:v>0.23015005531898186</c:v>
                </c:pt>
                <c:pt idx="182">
                  <c:v>0.23075002692693136</c:v>
                </c:pt>
                <c:pt idx="183">
                  <c:v>0.231351581485226</c:v>
                </c:pt>
                <c:pt idx="184">
                  <c:v>0.23195475162787582</c:v>
                </c:pt>
                <c:pt idx="185">
                  <c:v>0.23255957029970825</c:v>
                </c:pt>
                <c:pt idx="186">
                  <c:v>0.23316607076795928</c:v>
                </c:pt>
                <c:pt idx="187">
                  <c:v>0.2337742866340666</c:v>
                </c:pt>
                <c:pt idx="188">
                  <c:v>0.23438425184567535</c:v>
                </c:pt>
                <c:pt idx="189">
                  <c:v>0.23499600070886656</c:v>
                </c:pt>
                <c:pt idx="190">
                  <c:v>0.23560956790062068</c:v>
                </c:pt>
                <c:pt idx="191">
                  <c:v>0.23622498848152604</c:v>
                </c:pt>
                <c:pt idx="192">
                  <c:v>0.23684229790874531</c:v>
                </c:pt>
                <c:pt idx="193">
                  <c:v>0.23746153204925127</c:v>
                </c:pt>
                <c:pt idx="194">
                  <c:v>0.23808272719334461</c:v>
                </c:pt>
                <c:pt idx="195">
                  <c:v>0.23870592006846694</c:v>
                </c:pt>
                <c:pt idx="196">
                  <c:v>0.23933114785332177</c:v>
                </c:pt>
                <c:pt idx="197">
                  <c:v>0.23995844819231746</c:v>
                </c:pt>
                <c:pt idx="198">
                  <c:v>0.24058785921034689</c:v>
                </c:pt>
                <c:pt idx="199">
                  <c:v>0.24121941952791753</c:v>
                </c:pt>
                <c:pt idx="200">
                  <c:v>0.24185316827664807</c:v>
                </c:pt>
                <c:pt idx="201">
                  <c:v>0.24248914511514727</c:v>
                </c:pt>
                <c:pt idx="202">
                  <c:v>0.24312739024529073</c:v>
                </c:pt>
                <c:pt idx="203">
                  <c:v>0.243767944428914</c:v>
                </c:pt>
                <c:pt idx="204">
                  <c:v>0.24441084900493817</c:v>
                </c:pt>
                <c:pt idx="205">
                  <c:v>0.24505614590694724</c:v>
                </c:pt>
                <c:pt idx="206">
                  <c:v>0.24570387768123658</c:v>
                </c:pt>
                <c:pt idx="207">
                  <c:v>0.2463540875053512</c:v>
                </c:pt>
                <c:pt idx="208">
                  <c:v>0.24700681920713588</c:v>
                </c:pt>
                <c:pt idx="209">
                  <c:v>0.24766211728431781</c:v>
                </c:pt>
                <c:pt idx="210">
                  <c:v>0.24832002692464417</c:v>
                </c:pt>
                <c:pt idx="211">
                  <c:v>0.24898059402659853</c:v>
                </c:pt>
                <c:pt idx="212">
                  <c:v>0.2496438652207203</c:v>
                </c:pt>
                <c:pt idx="213">
                  <c:v>0.25030988789155167</c:v>
                </c:pt>
                <c:pt idx="214">
                  <c:v>0.25097871020024071</c:v>
                </c:pt>
                <c:pt idx="215">
                  <c:v>0.25165038110782556</c:v>
                </c:pt>
                <c:pt idx="216">
                  <c:v>0.25232495039923097</c:v>
                </c:pt>
                <c:pt idx="217">
                  <c:v>0.25300246870800658</c:v>
                </c:pt>
                <c:pt idx="218">
                  <c:v>0.25368298754183766</c:v>
                </c:pt>
                <c:pt idx="219">
                  <c:v>0.25436655930886293</c:v>
                </c:pt>
                <c:pt idx="220">
                  <c:v>0.25505323734483315</c:v>
                </c:pt>
                <c:pt idx="221">
                  <c:v>0.25574307594114642</c:v>
                </c:pt>
                <c:pt idx="222">
                  <c:v>0.25643613037379881</c:v>
                </c:pt>
                <c:pt idx="223">
                  <c:v>0.25713245693328973</c:v>
                </c:pt>
                <c:pt idx="224">
                  <c:v>0.25783211295552322</c:v>
                </c:pt>
                <c:pt idx="225">
                  <c:v>0.25853515685374984</c:v>
                </c:pt>
                <c:pt idx="226">
                  <c:v>0.25924164815159334</c:v>
                </c:pt>
                <c:pt idx="227">
                  <c:v>0.259951647517212</c:v>
                </c:pt>
                <c:pt idx="228">
                  <c:v>0.26066521679864357</c:v>
                </c:pt>
                <c:pt idx="229">
                  <c:v>0.26138241906038728</c:v>
                </c:pt>
                <c:pt idx="230">
                  <c:v>0.26210331862127872</c:v>
                </c:pt>
                <c:pt idx="231">
                  <c:v>0.26282798109371569</c:v>
                </c:pt>
                <c:pt idx="232">
                  <c:v>0.26355647342429672</c:v>
                </c:pt>
                <c:pt idx="233">
                  <c:v>0.26428886393593676</c:v>
                </c:pt>
                <c:pt idx="234">
                  <c:v>0.26502522237152809</c:v>
                </c:pt>
                <c:pt idx="235">
                  <c:v>0.26576561993921843</c:v>
                </c:pt>
                <c:pt idx="236">
                  <c:v>0.26651012935938073</c:v>
                </c:pt>
                <c:pt idx="237">
                  <c:v>0.26725882491335534</c:v>
                </c:pt>
                <c:pt idx="238">
                  <c:v>0.26801178249404733</c:v>
                </c:pt>
                <c:pt idx="239">
                  <c:v>0.26876907965846808</c:v>
                </c:pt>
                <c:pt idx="240">
                  <c:v>0.26953079568231347</c:v>
                </c:pt>
                <c:pt idx="241">
                  <c:v>0.27029701161667774</c:v>
                </c:pt>
                <c:pt idx="242">
                  <c:v>0.27106781034700755</c:v>
                </c:pt>
                <c:pt idx="243">
                  <c:v>0.27184327665440333</c:v>
                </c:pt>
                <c:pt idx="244">
                  <c:v>0.27262349727938756</c:v>
                </c:pt>
                <c:pt idx="245">
                  <c:v>0.2734085609882595</c:v>
                </c:pt>
                <c:pt idx="246">
                  <c:v>0.2741985586421683</c:v>
                </c:pt>
                <c:pt idx="247">
                  <c:v>0.27499358326904044</c:v>
                </c:pt>
                <c:pt idx="248">
                  <c:v>0.27579373013850728</c:v>
                </c:pt>
                <c:pt idx="249">
                  <c:v>0.2765990968399874</c:v>
                </c:pt>
                <c:pt idx="250">
                  <c:v>0.277409783364086</c:v>
                </c:pt>
                <c:pt idx="251">
                  <c:v>0.27822589218748556</c:v>
                </c:pt>
                <c:pt idx="252">
                  <c:v>0.27904752836151026</c:v>
                </c:pt>
                <c:pt idx="253">
                  <c:v>0.27987479960456085</c:v>
                </c:pt>
                <c:pt idx="254">
                  <c:v>0.28070781639862552</c:v>
                </c:pt>
                <c:pt idx="255">
                  <c:v>0.2815466920900877</c:v>
                </c:pt>
                <c:pt idx="256">
                  <c:v>0.28239154299506503</c:v>
                </c:pt>
                <c:pt idx="257">
                  <c:v>0.28324248850952805</c:v>
                </c:pt>
                <c:pt idx="258">
                  <c:v>0.28409965122446412</c:v>
                </c:pt>
                <c:pt idx="259">
                  <c:v>0.28496315704636854</c:v>
                </c:pt>
                <c:pt idx="260">
                  <c:v>0.28583313532336369</c:v>
                </c:pt>
                <c:pt idx="261">
                  <c:v>0.28670971897726766</c:v>
                </c:pt>
                <c:pt idx="262">
                  <c:v>0.28759304464195373</c:v>
                </c:pt>
                <c:pt idx="263">
                  <c:v>0.28848325280836667</c:v>
                </c:pt>
                <c:pt idx="264">
                  <c:v>0.28938048797658661</c:v>
                </c:pt>
                <c:pt idx="265">
                  <c:v>0.29028489881535591</c:v>
                </c:pt>
                <c:pt idx="266">
                  <c:v>0.29119663832951864</c:v>
                </c:pt>
                <c:pt idx="267">
                  <c:v>0.29211586403584694</c:v>
                </c:pt>
                <c:pt idx="268">
                  <c:v>0.29304273814776771</c:v>
                </c:pt>
                <c:pt idx="269">
                  <c:v>0.29397742776953822</c:v>
                </c:pt>
                <c:pt idx="270">
                  <c:v>0.29492010510045774</c:v>
                </c:pt>
                <c:pt idx="271">
                  <c:v>0.2958709476497472</c:v>
                </c:pt>
                <c:pt idx="272">
                  <c:v>0.29683013846277501</c:v>
                </c:pt>
                <c:pt idx="273">
                  <c:v>0.29779786635935623</c:v>
                </c:pt>
                <c:pt idx="274">
                  <c:v>0.2987743261849119</c:v>
                </c:pt>
                <c:pt idx="275">
                  <c:v>0.29975971907532911</c:v>
                </c:pt>
                <c:pt idx="276">
                  <c:v>0.30075425273643369</c:v>
                </c:pt>
                <c:pt idx="277">
                  <c:v>0.30175814173905369</c:v>
                </c:pt>
                <c:pt idx="278">
                  <c:v>0.30277160783073326</c:v>
                </c:pt>
                <c:pt idx="279">
                  <c:v>0.30379488026523704</c:v>
                </c:pt>
                <c:pt idx="280">
                  <c:v>0.30482819615108281</c:v>
                </c:pt>
                <c:pt idx="281">
                  <c:v>0.30587180082043569</c:v>
                </c:pt>
                <c:pt idx="282">
                  <c:v>0.30692594821981162</c:v>
                </c:pt>
                <c:pt idx="283">
                  <c:v>0.30799090132415891</c:v>
                </c:pt>
                <c:pt idx="284">
                  <c:v>0.30906693257601653</c:v>
                </c:pt>
                <c:pt idx="285">
                  <c:v>0.31015432435159901</c:v>
                </c:pt>
                <c:pt idx="286">
                  <c:v>0.31125336945581322</c:v>
                </c:pt>
                <c:pt idx="287">
                  <c:v>0.31236437164839298</c:v>
                </c:pt>
                <c:pt idx="288">
                  <c:v>0.31348764620352992</c:v>
                </c:pt>
                <c:pt idx="289">
                  <c:v>0.31462352050559639</c:v>
                </c:pt>
                <c:pt idx="290">
                  <c:v>0.31577233468378912</c:v>
                </c:pt>
                <c:pt idx="291">
                  <c:v>0.31693444228879153</c:v>
                </c:pt>
                <c:pt idx="292">
                  <c:v>0.31811021101483744</c:v>
                </c:pt>
                <c:pt idx="293">
                  <c:v>0.31930002347088299</c:v>
                </c:pt>
                <c:pt idx="294">
                  <c:v>0.3205042780049554</c:v>
                </c:pt>
                <c:pt idx="295">
                  <c:v>0.3217233895861385</c:v>
                </c:pt>
                <c:pt idx="296">
                  <c:v>0.32295779074910441</c:v>
                </c:pt>
                <c:pt idx="297">
                  <c:v>0.32420793260659153</c:v>
                </c:pt>
                <c:pt idx="298">
                  <c:v>0.3254742859357822</c:v>
                </c:pt>
                <c:pt idx="299">
                  <c:v>0.3267573423451508</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6-DEB8-46AA-A96E-0482BD366A3C}"/>
            </c:ext>
          </c:extLst>
        </c:ser>
        <c:ser>
          <c:idx val="9"/>
          <c:order val="7"/>
          <c:tx>
            <c:v>95% CI</c:v>
          </c:tx>
          <c:spPr>
            <a:ln w="3175">
              <a:solidFill>
                <a:srgbClr val="FF00FF"/>
              </a:solidFill>
              <a:prstDash val="solid"/>
            </a:ln>
          </c:spPr>
          <c:marker>
            <c:symbol val="none"/>
          </c:marker>
          <c:xVal>
            <c:numRef>
              <c:f>'EVA Calcs'!$M$35:$M$335</c:f>
              <c:numCache>
                <c:formatCode>0.000</c:formatCode>
                <c:ptCount val="301"/>
                <c:pt idx="0">
                  <c:v>5.4180560277867121E-2</c:v>
                </c:pt>
                <c:pt idx="1">
                  <c:v>6.3933003473062452E-2</c:v>
                </c:pt>
                <c:pt idx="2">
                  <c:v>7.0244338396097644E-2</c:v>
                </c:pt>
                <c:pt idx="3">
                  <c:v>7.5045665337898679E-2</c:v>
                </c:pt>
                <c:pt idx="4">
                  <c:v>7.8979451382613974E-2</c:v>
                </c:pt>
                <c:pt idx="5">
                  <c:v>8.2343940146237249E-2</c:v>
                </c:pt>
                <c:pt idx="6">
                  <c:v>8.5303474846838631E-2</c:v>
                </c:pt>
                <c:pt idx="7">
                  <c:v>8.7958844407281758E-2</c:v>
                </c:pt>
                <c:pt idx="8">
                  <c:v>9.0376594766575308E-2</c:v>
                </c:pt>
                <c:pt idx="9">
                  <c:v>9.2603108542946594E-2</c:v>
                </c:pt>
                <c:pt idx="10">
                  <c:v>9.4672085643802736E-2</c:v>
                </c:pt>
                <c:pt idx="11">
                  <c:v>9.6608830214638453E-2</c:v>
                </c:pt>
                <c:pt idx="12">
                  <c:v>9.8432856949429673E-2</c:v>
                </c:pt>
                <c:pt idx="13">
                  <c:v>0.10015955276487136</c:v>
                </c:pt>
                <c:pt idx="14">
                  <c:v>0.10180127846558665</c:v>
                </c:pt>
                <c:pt idx="15">
                  <c:v>0.10336812346347191</c:v>
                </c:pt>
                <c:pt idx="16">
                  <c:v>0.10486843743020195</c:v>
                </c:pt>
                <c:pt idx="17">
                  <c:v>0.10630921391528082</c:v>
                </c:pt>
                <c:pt idx="18">
                  <c:v>0.10769637299698093</c:v>
                </c:pt>
                <c:pt idx="19">
                  <c:v>0.10903497340213644</c:v>
                </c:pt>
                <c:pt idx="20">
                  <c:v>0.11032937430690952</c:v>
                </c:pt>
                <c:pt idx="21">
                  <c:v>0.11158336056041543</c:v>
                </c:pt>
                <c:pt idx="22">
                  <c:v>0.11280024087164829</c:v>
                </c:pt>
                <c:pt idx="23">
                  <c:v>0.11398292570861596</c:v>
                </c:pt>
                <c:pt idx="24">
                  <c:v>0.115133989765231</c:v>
                </c:pt>
                <c:pt idx="25">
                  <c:v>0.11625572254322078</c:v>
                </c:pt>
                <c:pt idx="26">
                  <c:v>0.11735016967692528</c:v>
                </c:pt>
                <c:pt idx="27">
                  <c:v>0.11841916697272763</c:v>
                </c:pt>
                <c:pt idx="28">
                  <c:v>0.11946436865997377</c:v>
                </c:pt>
                <c:pt idx="29">
                  <c:v>0.12048727100204372</c:v>
                </c:pt>
                <c:pt idx="30">
                  <c:v>0.12148923215786633</c:v>
                </c:pt>
                <c:pt idx="31">
                  <c:v>0.12247148899032004</c:v>
                </c:pt>
                <c:pt idx="32">
                  <c:v>0.12343517137102218</c:v>
                </c:pt>
                <c:pt idx="33">
                  <c:v>0.12438131441855507</c:v>
                </c:pt>
                <c:pt idx="34">
                  <c:v>0.1253108690203506</c:v>
                </c:pt>
                <c:pt idx="35">
                  <c:v>0.12622471092084706</c:v>
                </c:pt>
                <c:pt idx="36">
                  <c:v>0.12712364860548447</c:v>
                </c:pt>
                <c:pt idx="37">
                  <c:v>0.12800843016816787</c:v>
                </c:pt>
                <c:pt idx="38">
                  <c:v>0.12887974931644927</c:v>
                </c:pt>
                <c:pt idx="39">
                  <c:v>0.12973825064193845</c:v>
                </c:pt>
                <c:pt idx="40">
                  <c:v>0.13058453426189512</c:v>
                </c:pt>
                <c:pt idx="41">
                  <c:v>0.13141915992047826</c:v>
                </c:pt>
                <c:pt idx="42">
                  <c:v>0.13224265062387866</c:v>
                </c:pt>
                <c:pt idx="43">
                  <c:v>0.13305549587188328</c:v>
                </c:pt>
                <c:pt idx="44">
                  <c:v>0.13385815453880154</c:v>
                </c:pt>
                <c:pt idx="45">
                  <c:v>0.13465105744872469</c:v>
                </c:pt>
                <c:pt idx="46">
                  <c:v>0.13543460968347373</c:v>
                </c:pt>
                <c:pt idx="47">
                  <c:v>0.13620919265606699</c:v>
                </c:pt>
                <c:pt idx="48">
                  <c:v>0.13697516597791001</c:v>
                </c:pt>
                <c:pt idx="49">
                  <c:v>0.13773286914401303</c:v>
                </c:pt>
                <c:pt idx="50">
                  <c:v>0.13848262305725134</c:v>
                </c:pt>
                <c:pt idx="51">
                  <c:v>0.13922473140989322</c:v>
                </c:pt>
                <c:pt idx="52">
                  <c:v>0.13995948193824712</c:v>
                </c:pt>
                <c:pt idx="53">
                  <c:v>0.14068714756425488</c:v>
                </c:pt>
                <c:pt idx="54">
                  <c:v>0.14140798743612354</c:v>
                </c:pt>
                <c:pt idx="55">
                  <c:v>0.14212224787859867</c:v>
                </c:pt>
                <c:pt idx="56">
                  <c:v>0.14283016326220099</c:v>
                </c:pt>
                <c:pt idx="57">
                  <c:v>0.14353195679963923</c:v>
                </c:pt>
                <c:pt idx="58">
                  <c:v>0.14422784127665342</c:v>
                </c:pt>
                <c:pt idx="59">
                  <c:v>0.14491801972371024</c:v>
                </c:pt>
                <c:pt idx="60">
                  <c:v>0.14560268603424623</c:v>
                </c:pt>
                <c:pt idx="61">
                  <c:v>0.14628202553452288</c:v>
                </c:pt>
                <c:pt idx="62">
                  <c:v>0.14695621550960394</c:v>
                </c:pt>
                <c:pt idx="63">
                  <c:v>0.14762542568947981</c:v>
                </c:pt>
                <c:pt idx="64">
                  <c:v>0.14828981869893862</c:v>
                </c:pt>
                <c:pt idx="65">
                  <c:v>0.14894955047440767</c:v>
                </c:pt>
                <c:pt idx="66">
                  <c:v>0.14960477065065822</c:v>
                </c:pt>
                <c:pt idx="67">
                  <c:v>0.1502556229199741</c:v>
                </c:pt>
                <c:pt idx="68">
                  <c:v>0.15090224536612537</c:v>
                </c:pt>
                <c:pt idx="69">
                  <c:v>0.1515447707752581</c:v>
                </c:pt>
                <c:pt idx="70">
                  <c:v>0.15218332692560768</c:v>
                </c:pt>
                <c:pt idx="71">
                  <c:v>0.1528180368577601</c:v>
                </c:pt>
                <c:pt idx="72">
                  <c:v>0.15344901912702411</c:v>
                </c:pt>
                <c:pt idx="73">
                  <c:v>0.15407638803933144</c:v>
                </c:pt>
                <c:pt idx="74">
                  <c:v>0.15470025387195332</c:v>
                </c:pt>
                <c:pt idx="75">
                  <c:v>0.15532072308020417</c:v>
                </c:pt>
                <c:pt idx="76">
                  <c:v>0.15593789849119927</c:v>
                </c:pt>
                <c:pt idx="77">
                  <c:v>0.15655187948564014</c:v>
                </c:pt>
                <c:pt idx="78">
                  <c:v>0.15716276216851544</c:v>
                </c:pt>
                <c:pt idx="79">
                  <c:v>0.1577706395295298</c:v>
                </c:pt>
                <c:pt idx="80">
                  <c:v>0.15837560159400438</c:v>
                </c:pt>
                <c:pt idx="81">
                  <c:v>0.15897773556492995</c:v>
                </c:pt>
                <c:pt idx="82">
                  <c:v>0.15957712595679791</c:v>
                </c:pt>
                <c:pt idx="83">
                  <c:v>0.16017385472178305</c:v>
                </c:pt>
                <c:pt idx="84">
                  <c:v>0.16076800136880573</c:v>
                </c:pt>
                <c:pt idx="85">
                  <c:v>0.16135964307595899</c:v>
                </c:pt>
                <c:pt idx="86">
                  <c:v>0.16194885479674831</c:v>
                </c:pt>
                <c:pt idx="87">
                  <c:v>0.16253570936055622</c:v>
                </c:pt>
                <c:pt idx="88">
                  <c:v>0.16312027756771272</c:v>
                </c:pt>
                <c:pt idx="89">
                  <c:v>0.16370262827952339</c:v>
                </c:pt>
                <c:pt idx="90">
                  <c:v>0.1642828285035805</c:v>
                </c:pt>
                <c:pt idx="91">
                  <c:v>0.16486094347465813</c:v>
                </c:pt>
                <c:pt idx="92">
                  <c:v>0.16543703673147048</c:v>
                </c:pt>
                <c:pt idx="93">
                  <c:v>0.16601117018955219</c:v>
                </c:pt>
                <c:pt idx="94">
                  <c:v>0.16658340421050039</c:v>
                </c:pt>
                <c:pt idx="95">
                  <c:v>0.16715379766780178</c:v>
                </c:pt>
                <c:pt idx="96">
                  <c:v>0.16772240800945171</c:v>
                </c:pt>
                <c:pt idx="97">
                  <c:v>0.16828929131755843</c:v>
                </c:pt>
                <c:pt idx="98">
                  <c:v>0.16885450236511201</c:v>
                </c:pt>
                <c:pt idx="99">
                  <c:v>0.16941809467008473</c:v>
                </c:pt>
                <c:pt idx="100">
                  <c:v>0.16998012054701947</c:v>
                </c:pt>
                <c:pt idx="101">
                  <c:v>0.1705406311562514</c:v>
                </c:pt>
                <c:pt idx="102">
                  <c:v>0.17109967655089911</c:v>
                </c:pt>
                <c:pt idx="103">
                  <c:v>0.17165730572175167</c:v>
                </c:pt>
                <c:pt idx="104">
                  <c:v>0.17221356664017107</c:v>
                </c:pt>
                <c:pt idx="105">
                  <c:v>0.17276850629912074</c:v>
                </c:pt>
                <c:pt idx="106">
                  <c:v>0.17332217075242456</c:v>
                </c:pt>
                <c:pt idx="107">
                  <c:v>0.17387460515235345</c:v>
                </c:pt>
                <c:pt idx="108">
                  <c:v>0.17442585378563177</c:v>
                </c:pt>
                <c:pt idx="109">
                  <c:v>0.17497596010794855</c:v>
                </c:pt>
                <c:pt idx="110">
                  <c:v>0.17552496677705492</c:v>
                </c:pt>
                <c:pt idx="111">
                  <c:v>0.17607291568452257</c:v>
                </c:pt>
                <c:pt idx="112">
                  <c:v>0.17661984798623567</c:v>
                </c:pt>
                <c:pt idx="113">
                  <c:v>0.1771658041316819</c:v>
                </c:pt>
                <c:pt idx="114">
                  <c:v>0.17771082389210685</c:v>
                </c:pt>
                <c:pt idx="115">
                  <c:v>0.17825494638759021</c:v>
                </c:pt>
                <c:pt idx="116">
                  <c:v>0.17879821011310049</c:v>
                </c:pt>
                <c:pt idx="117">
                  <c:v>0.1793406529635807</c:v>
                </c:pt>
                <c:pt idx="118">
                  <c:v>0.17988231225811493</c:v>
                </c:pt>
                <c:pt idx="119">
                  <c:v>0.18042322476322281</c:v>
                </c:pt>
                <c:pt idx="120">
                  <c:v>0.18096342671532664</c:v>
                </c:pt>
                <c:pt idx="121">
                  <c:v>0.18150295384243259</c:v>
                </c:pt>
                <c:pt idx="122">
                  <c:v>0.18204184138506671</c:v>
                </c:pt>
                <c:pt idx="123">
                  <c:v>0.18258012411650246</c:v>
                </c:pt>
                <c:pt idx="124">
                  <c:v>0.18311783636231616</c:v>
                </c:pt>
                <c:pt idx="125">
                  <c:v>0.18365501201930348</c:v>
                </c:pt>
                <c:pt idx="126">
                  <c:v>0.18419168457379004</c:v>
                </c:pt>
                <c:pt idx="127">
                  <c:v>0.1847278871193655</c:v>
                </c:pt>
                <c:pt idx="128">
                  <c:v>0.18526365237407061</c:v>
                </c:pt>
                <c:pt idx="129">
                  <c:v>0.18579901269706484</c:v>
                </c:pt>
                <c:pt idx="130">
                  <c:v>0.18633400010480033</c:v>
                </c:pt>
                <c:pt idx="131">
                  <c:v>0.18686864628672722</c:v>
                </c:pt>
                <c:pt idx="132">
                  <c:v>0.18740298262055405</c:v>
                </c:pt>
                <c:pt idx="133">
                  <c:v>0.18793704018708568</c:v>
                </c:pt>
                <c:pt idx="134">
                  <c:v>0.18847084978466055</c:v>
                </c:pt>
                <c:pt idx="135">
                  <c:v>0.18900444194320729</c:v>
                </c:pt>
                <c:pt idx="136">
                  <c:v>0.1895378469379409</c:v>
                </c:pt>
                <c:pt idx="137">
                  <c:v>0.19007109480271686</c:v>
                </c:pt>
                <c:pt idx="138">
                  <c:v>0.19060421534306099</c:v>
                </c:pt>
                <c:pt idx="139">
                  <c:v>0.19113723814889289</c:v>
                </c:pt>
                <c:pt idx="140">
                  <c:v>0.19167019260695842</c:v>
                </c:pt>
                <c:pt idx="141">
                  <c:v>0.19220310791298786</c:v>
                </c:pt>
                <c:pt idx="142">
                  <c:v>0.19273601308359456</c:v>
                </c:pt>
                <c:pt idx="143">
                  <c:v>0.19326893696792852</c:v>
                </c:pt>
                <c:pt idx="144">
                  <c:v>0.19380190825909882</c:v>
                </c:pt>
                <c:pt idx="145">
                  <c:v>0.1943349555053788</c:v>
                </c:pt>
                <c:pt idx="146">
                  <c:v>0.19486810712120672</c:v>
                </c:pt>
                <c:pt idx="147">
                  <c:v>0.19540139139799387</c:v>
                </c:pt>
                <c:pt idx="148">
                  <c:v>0.19593483651475332</c:v>
                </c:pt>
                <c:pt idx="149">
                  <c:v>0.19646847054855993</c:v>
                </c:pt>
                <c:pt idx="150">
                  <c:v>0.19700232148485355</c:v>
                </c:pt>
                <c:pt idx="151">
                  <c:v>0.1975364172275961</c:v>
                </c:pt>
                <c:pt idx="152">
                  <c:v>0.19807078560929312</c:v>
                </c:pt>
                <c:pt idx="153">
                  <c:v>0.19860545440089022</c:v>
                </c:pt>
                <c:pt idx="154">
                  <c:v>0.19914045132155445</c:v>
                </c:pt>
                <c:pt idx="155">
                  <c:v>0.19967580404835017</c:v>
                </c:pt>
                <c:pt idx="156">
                  <c:v>0.20021154022581913</c:v>
                </c:pt>
                <c:pt idx="157">
                  <c:v>0.20074768747547408</c:v>
                </c:pt>
                <c:pt idx="158">
                  <c:v>0.2012842734052146</c:v>
                </c:pt>
                <c:pt idx="159">
                  <c:v>0.20182132561867455</c:v>
                </c:pt>
                <c:pt idx="160">
                  <c:v>0.20235887172450978</c:v>
                </c:pt>
                <c:pt idx="161">
                  <c:v>0.2028969393456341</c:v>
                </c:pt>
                <c:pt idx="162">
                  <c:v>0.20343555612841274</c:v>
                </c:pt>
                <c:pt idx="163">
                  <c:v>0.20397474975182089</c:v>
                </c:pt>
                <c:pt idx="164">
                  <c:v>0.20451454793657639</c:v>
                </c:pt>
                <c:pt idx="165">
                  <c:v>0.20505497845425327</c:v>
                </c:pt>
                <c:pt idx="166">
                  <c:v>0.2055960691363857</c:v>
                </c:pt>
                <c:pt idx="167">
                  <c:v>0.20613784788356934</c:v>
                </c:pt>
                <c:pt idx="168">
                  <c:v>0.20668034267456803</c:v>
                </c:pt>
                <c:pt idx="169">
                  <c:v>0.20722358157543408</c:v>
                </c:pt>
                <c:pt idx="170">
                  <c:v>0.20776759274864964</c:v>
                </c:pt>
                <c:pt idx="171">
                  <c:v>0.20831240446229712</c:v>
                </c:pt>
                <c:pt idx="172">
                  <c:v>0.20885804509926623</c:v>
                </c:pt>
                <c:pt idx="173">
                  <c:v>0.20940454316650578</c:v>
                </c:pt>
                <c:pt idx="174">
                  <c:v>0.20995192730432791</c:v>
                </c:pt>
                <c:pt idx="175">
                  <c:v>0.21050022629577231</c:v>
                </c:pt>
                <c:pt idx="176">
                  <c:v>0.21104946907603919</c:v>
                </c:pt>
                <c:pt idx="177">
                  <c:v>0.21159968474199778</c:v>
                </c:pt>
                <c:pt idx="178">
                  <c:v>0.21215090256177954</c:v>
                </c:pt>
                <c:pt idx="179">
                  <c:v>0.21270315198446355</c:v>
                </c:pt>
                <c:pt idx="180">
                  <c:v>0.21325646264986234</c:v>
                </c:pt>
                <c:pt idx="181">
                  <c:v>0.21381086439841701</c:v>
                </c:pt>
                <c:pt idx="182">
                  <c:v>0.21436638728120946</c:v>
                </c:pt>
                <c:pt idx="183">
                  <c:v>0.21492306157010069</c:v>
                </c:pt>
                <c:pt idx="184">
                  <c:v>0.21548091776800388</c:v>
                </c:pt>
                <c:pt idx="185">
                  <c:v>0.21603998661930138</c:v>
                </c:pt>
                <c:pt idx="186">
                  <c:v>0.21660029912041412</c:v>
                </c:pt>
                <c:pt idx="187">
                  <c:v>0.21716188653053367</c:v>
                </c:pt>
                <c:pt idx="188">
                  <c:v>0.21772478038252543</c:v>
                </c:pt>
                <c:pt idx="189">
                  <c:v>0.2182890124940135</c:v>
                </c:pt>
                <c:pt idx="190">
                  <c:v>0.2188546149786571</c:v>
                </c:pt>
                <c:pt idx="191">
                  <c:v>0.21942162025762835</c:v>
                </c:pt>
                <c:pt idx="192">
                  <c:v>0.21999006107130237</c:v>
                </c:pt>
                <c:pt idx="193">
                  <c:v>0.22055997049117049</c:v>
                </c:pt>
                <c:pt idx="194">
                  <c:v>0.22113138193198742</c:v>
                </c:pt>
                <c:pt idx="195">
                  <c:v>0.22170432916416452</c:v>
                </c:pt>
                <c:pt idx="196">
                  <c:v>0.22227884632642014</c:v>
                </c:pt>
                <c:pt idx="197">
                  <c:v>0.22285496793869974</c:v>
                </c:pt>
                <c:pt idx="198">
                  <c:v>0.22343272891537891</c:v>
                </c:pt>
                <c:pt idx="199">
                  <c:v>0.224012164578761</c:v>
                </c:pt>
                <c:pt idx="200">
                  <c:v>0.22459331067288421</c:v>
                </c:pt>
                <c:pt idx="201">
                  <c:v>0.2251762033776516</c:v>
                </c:pt>
                <c:pt idx="202">
                  <c:v>0.2257608793232978</c:v>
                </c:pt>
                <c:pt idx="203">
                  <c:v>0.22634737560520909</c:v>
                </c:pt>
                <c:pt idx="204">
                  <c:v>0.22693572979911025</c:v>
                </c:pt>
                <c:pt idx="205">
                  <c:v>0.22752597997663632</c:v>
                </c:pt>
                <c:pt idx="206">
                  <c:v>0.22811816472130489</c:v>
                </c:pt>
                <c:pt idx="207">
                  <c:v>0.22871232314490642</c:v>
                </c:pt>
                <c:pt idx="208">
                  <c:v>0.22930849490433122</c:v>
                </c:pt>
                <c:pt idx="209">
                  <c:v>0.22990672021885167</c:v>
                </c:pt>
                <c:pt idx="210">
                  <c:v>0.23050703988787882</c:v>
                </c:pt>
                <c:pt idx="211">
                  <c:v>0.23110949530921465</c:v>
                </c:pt>
                <c:pt idx="212">
                  <c:v>0.231714128497821</c:v>
                </c:pt>
                <c:pt idx="213">
                  <c:v>0.23232098210512656</c:v>
                </c:pt>
                <c:pt idx="214">
                  <c:v>0.23293009943889656</c:v>
                </c:pt>
                <c:pt idx="215">
                  <c:v>0.23354152448368795</c:v>
                </c:pt>
                <c:pt idx="216">
                  <c:v>0.23415530192191605</c:v>
                </c:pt>
                <c:pt idx="217">
                  <c:v>0.23477147715555871</c:v>
                </c:pt>
                <c:pt idx="218">
                  <c:v>0.23539009632852567</c:v>
                </c:pt>
                <c:pt idx="219">
                  <c:v>0.23601120634972172</c:v>
                </c:pt>
                <c:pt idx="220">
                  <c:v>0.23663485491683417</c:v>
                </c:pt>
                <c:pt idx="221">
                  <c:v>0.23726109054087513</c:v>
                </c:pt>
                <c:pt idx="222">
                  <c:v>0.23788996257151301</c:v>
                </c:pt>
                <c:pt idx="223">
                  <c:v>0.23852152122322665</c:v>
                </c:pt>
                <c:pt idx="224">
                  <c:v>0.23915581760231847</c:v>
                </c:pt>
                <c:pt idx="225">
                  <c:v>0.23979290373482506</c:v>
                </c:pt>
                <c:pt idx="226">
                  <c:v>0.24043283259536419</c:v>
                </c:pt>
                <c:pt idx="227">
                  <c:v>0.24107565813696069</c:v>
                </c:pt>
                <c:pt idx="228">
                  <c:v>0.24172143532189497</c:v>
                </c:pt>
                <c:pt idx="229">
                  <c:v>0.24237022015361875</c:v>
                </c:pt>
                <c:pt idx="230">
                  <c:v>0.24302206970978857</c:v>
                </c:pt>
                <c:pt idx="231">
                  <c:v>0.24367704217646613</c:v>
                </c:pt>
                <c:pt idx="232">
                  <c:v>0.24433519688353905</c:v>
                </c:pt>
                <c:pt idx="233">
                  <c:v>0.24499659434141888</c:v>
                </c:pt>
                <c:pt idx="234">
                  <c:v>0.24566129627907454</c:v>
                </c:pt>
                <c:pt idx="235">
                  <c:v>0.24632936568346392</c:v>
                </c:pt>
                <c:pt idx="236">
                  <c:v>0.24700086684042863</c:v>
                </c:pt>
                <c:pt idx="237">
                  <c:v>0.24767586537712111</c:v>
                </c:pt>
                <c:pt idx="238">
                  <c:v>0.24835442830603705</c:v>
                </c:pt>
                <c:pt idx="239">
                  <c:v>0.24903662407072852</c:v>
                </c:pt>
                <c:pt idx="240">
                  <c:v>0.24972252259328043</c:v>
                </c:pt>
                <c:pt idx="241">
                  <c:v>0.25041219532363385</c:v>
                </c:pt>
                <c:pt idx="242">
                  <c:v>0.25110571529084807</c:v>
                </c:pt>
                <c:pt idx="243">
                  <c:v>0.25180315715639423</c:v>
                </c:pt>
                <c:pt idx="244">
                  <c:v>0.25250459726958346</c:v>
                </c:pt>
                <c:pt idx="245">
                  <c:v>0.25321011372523444</c:v>
                </c:pt>
                <c:pt idx="246">
                  <c:v>0.25391978642369301</c:v>
                </c:pt>
                <c:pt idx="247">
                  <c:v>0.25463369713332296</c:v>
                </c:pt>
                <c:pt idx="248">
                  <c:v>0.25535192955559455</c:v>
                </c:pt>
                <c:pt idx="249">
                  <c:v>0.25607456939290324</c:v>
                </c:pt>
                <c:pt idx="250">
                  <c:v>0.25680170441926081</c:v>
                </c:pt>
                <c:pt idx="251">
                  <c:v>0.25753342455400924</c:v>
                </c:pt>
                <c:pt idx="252">
                  <c:v>0.2582698219387155</c:v>
                </c:pt>
                <c:pt idx="253">
                  <c:v>0.25901099101741726</c:v>
                </c:pt>
                <c:pt idx="254">
                  <c:v>0.25975702862039851</c:v>
                </c:pt>
                <c:pt idx="255">
                  <c:v>0.26050803405168599</c:v>
                </c:pt>
                <c:pt idx="256">
                  <c:v>0.26126410918046922</c:v>
                </c:pt>
                <c:pt idx="257">
                  <c:v>0.26202535853665954</c:v>
                </c:pt>
                <c:pt idx="258">
                  <c:v>0.26279188941081866</c:v>
                </c:pt>
                <c:pt idx="259">
                  <c:v>0.26356381195870027</c:v>
                </c:pt>
                <c:pt idx="260">
                  <c:v>0.26434123931066611</c:v>
                </c:pt>
                <c:pt idx="261">
                  <c:v>0.26512428768625379</c:v>
                </c:pt>
                <c:pt idx="262">
                  <c:v>0.26591307651419355</c:v>
                </c:pt>
                <c:pt idx="263">
                  <c:v>0.26670772855818958</c:v>
                </c:pt>
                <c:pt idx="264">
                  <c:v>0.26750837004880545</c:v>
                </c:pt>
                <c:pt idx="265">
                  <c:v>0.26831513082181291</c:v>
                </c:pt>
                <c:pt idx="266">
                  <c:v>0.26912814446339328</c:v>
                </c:pt>
                <c:pt idx="267">
                  <c:v>0.26994754846260272</c:v>
                </c:pt>
                <c:pt idx="268">
                  <c:v>0.27077348437154636</c:v>
                </c:pt>
                <c:pt idx="269">
                  <c:v>0.27160609797373486</c:v>
                </c:pt>
                <c:pt idx="270">
                  <c:v>0.27244553946113431</c:v>
                </c:pt>
                <c:pt idx="271">
                  <c:v>0.27329196362045433</c:v>
                </c:pt>
                <c:pt idx="272">
                  <c:v>0.27414553002926317</c:v>
                </c:pt>
                <c:pt idx="273">
                  <c:v>0.27500640326255987</c:v>
                </c:pt>
                <c:pt idx="274">
                  <c:v>0.27587475311048287</c:v>
                </c:pt>
                <c:pt idx="275">
                  <c:v>0.27675075480788597</c:v>
                </c:pt>
                <c:pt idx="276">
                  <c:v>0.27763458927656803</c:v>
                </c:pt>
                <c:pt idx="277">
                  <c:v>0.27852644338100635</c:v>
                </c:pt>
                <c:pt idx="278">
                  <c:v>0.27942651019850939</c:v>
                </c:pt>
                <c:pt idx="279">
                  <c:v>0.28033498930477729</c:v>
                </c:pt>
                <c:pt idx="280">
                  <c:v>0.28125208707594068</c:v>
                </c:pt>
                <c:pt idx="281">
                  <c:v>0.28217801700823364</c:v>
                </c:pt>
                <c:pt idx="282">
                  <c:v>0.28311300005655371</c:v>
                </c:pt>
                <c:pt idx="283">
                  <c:v>0.284057264993267</c:v>
                </c:pt>
                <c:pt idx="284">
                  <c:v>0.28501104878873007</c:v>
                </c:pt>
                <c:pt idx="285">
                  <c:v>0.28597459701512923</c:v>
                </c:pt>
                <c:pt idx="286">
                  <c:v>0.2869481642753744</c:v>
                </c:pt>
                <c:pt idx="287">
                  <c:v>0.28793201465893953</c:v>
                </c:pt>
                <c:pt idx="288">
                  <c:v>0.28892642222670922</c:v>
                </c:pt>
                <c:pt idx="289">
                  <c:v>0.28993167152707833</c:v>
                </c:pt>
                <c:pt idx="290">
                  <c:v>0.29094805814575442</c:v>
                </c:pt>
                <c:pt idx="291">
                  <c:v>0.29197588929194418</c:v>
                </c:pt>
                <c:pt idx="292">
                  <c:v>0.29301548442385289</c:v>
                </c:pt>
                <c:pt idx="293">
                  <c:v>0.29406717591670584</c:v>
                </c:pt>
                <c:pt idx="294">
                  <c:v>0.2951313097768139</c:v>
                </c:pt>
                <c:pt idx="295">
                  <c:v>0.296208246405544</c:v>
                </c:pt>
                <c:pt idx="296">
                  <c:v>0.29729836141744487</c:v>
                </c:pt>
                <c:pt idx="297">
                  <c:v>0.29840204651720204</c:v>
                </c:pt>
                <c:pt idx="298">
                  <c:v>0.2995197104405764</c:v>
                </c:pt>
                <c:pt idx="299">
                  <c:v>0.30065177996501297</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7-DEB8-46AA-A96E-0482BD366A3C}"/>
            </c:ext>
          </c:extLst>
        </c:ser>
        <c:ser>
          <c:idx val="10"/>
          <c:order val="8"/>
          <c:tx>
            <c:v>95%</c:v>
          </c:tx>
          <c:spPr>
            <a:ln w="3175">
              <a:solidFill>
                <a:srgbClr val="FF00FF"/>
              </a:solidFill>
              <a:prstDash val="solid"/>
            </a:ln>
          </c:spPr>
          <c:marker>
            <c:symbol val="none"/>
          </c:marker>
          <c:xVal>
            <c:numRef>
              <c:f>'EVA Calcs'!$N$35:$N$335</c:f>
              <c:numCache>
                <c:formatCode>0.000</c:formatCode>
                <c:ptCount val="301"/>
                <c:pt idx="0">
                  <c:v>7.627100785557854E-2</c:v>
                </c:pt>
                <c:pt idx="1">
                  <c:v>8.4974494154778576E-2</c:v>
                </c:pt>
                <c:pt idx="2">
                  <c:v>9.0634005196547768E-2</c:v>
                </c:pt>
                <c:pt idx="3">
                  <c:v>9.4955320383117034E-2</c:v>
                </c:pt>
                <c:pt idx="4">
                  <c:v>9.8506885075860862E-2</c:v>
                </c:pt>
                <c:pt idx="5">
                  <c:v>0.10155288978111154</c:v>
                </c:pt>
                <c:pt idx="6">
                  <c:v>0.104239048473396</c:v>
                </c:pt>
                <c:pt idx="7">
                  <c:v>0.10665479459386919</c:v>
                </c:pt>
                <c:pt idx="8">
                  <c:v>0.10885921631388928</c:v>
                </c:pt>
                <c:pt idx="9">
                  <c:v>0.11089352261955587</c:v>
                </c:pt>
                <c:pt idx="10">
                  <c:v>0.11278767038398445</c:v>
                </c:pt>
                <c:pt idx="11">
                  <c:v>0.1145641641015456</c:v>
                </c:pt>
                <c:pt idx="12">
                  <c:v>0.11624036704936787</c:v>
                </c:pt>
                <c:pt idx="13">
                  <c:v>0.11782997540534416</c:v>
                </c:pt>
                <c:pt idx="14">
                  <c:v>0.11934399594454598</c:v>
                </c:pt>
                <c:pt idx="15">
                  <c:v>0.12079141607171465</c:v>
                </c:pt>
                <c:pt idx="16">
                  <c:v>0.12217967597548308</c:v>
                </c:pt>
                <c:pt idx="17">
                  <c:v>0.1235150094221427</c:v>
                </c:pt>
                <c:pt idx="18">
                  <c:v>0.12480269492790441</c:v>
                </c:pt>
                <c:pt idx="19">
                  <c:v>0.12604724430779399</c:v>
                </c:pt>
                <c:pt idx="20">
                  <c:v>0.12725254653516513</c:v>
                </c:pt>
                <c:pt idx="21">
                  <c:v>0.12842197910799696</c:v>
                </c:pt>
                <c:pt idx="22">
                  <c:v>0.12955849539136763</c:v>
                </c:pt>
                <c:pt idx="23">
                  <c:v>0.1306646939287554</c:v>
                </c:pt>
                <c:pt idx="24">
                  <c:v>0.13174287403458657</c:v>
                </c:pt>
                <c:pt idx="25">
                  <c:v>0.13279508081918251</c:v>
                </c:pt>
                <c:pt idx="26">
                  <c:v>0.13382314198101139</c:v>
                </c:pt>
                <c:pt idx="27">
                  <c:v>0.13482869811851925</c:v>
                </c:pt>
                <c:pt idx="28">
                  <c:v>0.13581322789204012</c:v>
                </c:pt>
                <c:pt idx="29">
                  <c:v>0.13677806905697518</c:v>
                </c:pt>
                <c:pt idx="30">
                  <c:v>0.13772443615987451</c:v>
                </c:pt>
                <c:pt idx="31">
                  <c:v>0.13865343551679229</c:v>
                </c:pt>
                <c:pt idx="32">
                  <c:v>0.13956607796268988</c:v>
                </c:pt>
                <c:pt idx="33">
                  <c:v>0.14046328976069619</c:v>
                </c:pt>
                <c:pt idx="34">
                  <c:v>0.14134592198284079</c:v>
                </c:pt>
                <c:pt idx="35">
                  <c:v>0.1422147586137579</c:v>
                </c:pt>
                <c:pt idx="36">
                  <c:v>0.14307052358168187</c:v>
                </c:pt>
                <c:pt idx="37">
                  <c:v>0.14391388688375506</c:v>
                </c:pt>
                <c:pt idx="38">
                  <c:v>0.14474546994297319</c:v>
                </c:pt>
                <c:pt idx="39">
                  <c:v>0.14556585031030506</c:v>
                </c:pt>
                <c:pt idx="40">
                  <c:v>0.14637556580633795</c:v>
                </c:pt>
                <c:pt idx="41">
                  <c:v>0.14717511818124934</c:v>
                </c:pt>
                <c:pt idx="42">
                  <c:v>0.1479649763592201</c:v>
                </c:pt>
                <c:pt idx="43">
                  <c:v>0.14874557932301222</c:v>
                </c:pt>
                <c:pt idx="44">
                  <c:v>0.14951733868586828</c:v>
                </c:pt>
                <c:pt idx="45">
                  <c:v>0.15028064099080557</c:v>
                </c:pt>
                <c:pt idx="46">
                  <c:v>0.15103584977148529</c:v>
                </c:pt>
                <c:pt idx="47">
                  <c:v>0.15178330740391857</c:v>
                </c:pt>
                <c:pt idx="48">
                  <c:v>0.15252333677414717</c:v>
                </c:pt>
                <c:pt idx="49">
                  <c:v>0.15325624278356639</c:v>
                </c:pt>
                <c:pt idx="50">
                  <c:v>0.15398231371062632</c:v>
                </c:pt>
                <c:pt idx="51">
                  <c:v>0.15470182244516073</c:v>
                </c:pt>
                <c:pt idx="52">
                  <c:v>0.15541502760947914</c:v>
                </c:pt>
                <c:pt idx="53">
                  <c:v>0.15612217457855354</c:v>
                </c:pt>
                <c:pt idx="54">
                  <c:v>0.15682349641008336</c:v>
                </c:pt>
                <c:pt idx="55">
                  <c:v>0.15751921469389868</c:v>
                </c:pt>
                <c:pt idx="56">
                  <c:v>0.1582095403290148</c:v>
                </c:pt>
                <c:pt idx="57">
                  <c:v>0.15889467423566725</c:v>
                </c:pt>
                <c:pt idx="58">
                  <c:v>0.15957480800879811</c:v>
                </c:pt>
                <c:pt idx="59">
                  <c:v>0.1602501245187247</c:v>
                </c:pt>
                <c:pt idx="60">
                  <c:v>0.16092079846407234</c:v>
                </c:pt>
                <c:pt idx="61">
                  <c:v>0.16158699688149206</c:v>
                </c:pt>
                <c:pt idx="62">
                  <c:v>0.16224887961618659</c:v>
                </c:pt>
                <c:pt idx="63">
                  <c:v>0.16290659975683977</c:v>
                </c:pt>
                <c:pt idx="64">
                  <c:v>0.16356030403816033</c:v>
                </c:pt>
                <c:pt idx="65">
                  <c:v>0.16421013321391936</c:v>
                </c:pt>
                <c:pt idx="66">
                  <c:v>0.16485622240306372</c:v>
                </c:pt>
                <c:pt idx="67">
                  <c:v>0.16549870141122727</c:v>
                </c:pt>
                <c:pt idx="68">
                  <c:v>0.16613769502973066</c:v>
                </c:pt>
                <c:pt idx="69">
                  <c:v>0.16677332331395475</c:v>
                </c:pt>
                <c:pt idx="70">
                  <c:v>0.1674057018427911</c:v>
                </c:pt>
                <c:pt idx="71">
                  <c:v>0.16803494196070964</c:v>
                </c:pt>
                <c:pt idx="72">
                  <c:v>0.16866115100383963</c:v>
                </c:pt>
                <c:pt idx="73">
                  <c:v>0.16928443251132957</c:v>
                </c:pt>
                <c:pt idx="74">
                  <c:v>0.16990488642313697</c:v>
                </c:pt>
                <c:pt idx="75">
                  <c:v>0.17052260926529406</c:v>
                </c:pt>
                <c:pt idx="76">
                  <c:v>0.17113769432360265</c:v>
                </c:pt>
                <c:pt idx="77">
                  <c:v>0.17175023180662785</c:v>
                </c:pt>
                <c:pt idx="78">
                  <c:v>0.17236030899878402</c:v>
                </c:pt>
                <c:pt idx="79">
                  <c:v>0.17296801040423931</c:v>
                </c:pt>
                <c:pt idx="80">
                  <c:v>0.17357341788230307</c:v>
                </c:pt>
                <c:pt idx="81">
                  <c:v>0.17417661077490482</c:v>
                </c:pt>
                <c:pt idx="82">
                  <c:v>0.17477766602672345</c:v>
                </c:pt>
                <c:pt idx="83">
                  <c:v>0.17537665829848012</c:v>
                </c:pt>
                <c:pt idx="84">
                  <c:v>0.17597366007386586</c:v>
                </c:pt>
                <c:pt idx="85">
                  <c:v>0.17656874176053858</c:v>
                </c:pt>
                <c:pt idx="86">
                  <c:v>0.17716197178558918</c:v>
                </c:pt>
                <c:pt idx="87">
                  <c:v>0.17775341668584571</c:v>
                </c:pt>
                <c:pt idx="88">
                  <c:v>0.17834314119335612</c:v>
                </c:pt>
                <c:pt idx="89">
                  <c:v>0.17893120831636403</c:v>
                </c:pt>
                <c:pt idx="90">
                  <c:v>0.17951767941606878</c:v>
                </c:pt>
                <c:pt idx="91">
                  <c:v>0.1801026142794388</c:v>
                </c:pt>
                <c:pt idx="92">
                  <c:v>0.18068607118832819</c:v>
                </c:pt>
                <c:pt idx="93">
                  <c:v>0.18126810698512746</c:v>
                </c:pt>
                <c:pt idx="94">
                  <c:v>0.18184877713516373</c:v>
                </c:pt>
                <c:pt idx="95">
                  <c:v>0.18242813578604936</c:v>
                </c:pt>
                <c:pt idx="96">
                  <c:v>0.18300623582416509</c:v>
                </c:pt>
                <c:pt idx="97">
                  <c:v>0.18358312892844941</c:v>
                </c:pt>
                <c:pt idx="98">
                  <c:v>0.18415886562165579</c:v>
                </c:pt>
                <c:pt idx="99">
                  <c:v>0.18473349531922661</c:v>
                </c:pt>
                <c:pt idx="100">
                  <c:v>0.18530706637592412</c:v>
                </c:pt>
                <c:pt idx="101">
                  <c:v>0.18587962613034803</c:v>
                </c:pt>
                <c:pt idx="102">
                  <c:v>0.18645122094746228</c:v>
                </c:pt>
                <c:pt idx="103">
                  <c:v>0.1870218962592439</c:v>
                </c:pt>
                <c:pt idx="104">
                  <c:v>0.18759169660356073</c:v>
                </c:pt>
                <c:pt idx="105">
                  <c:v>0.18816066566137804</c:v>
                </c:pt>
                <c:pt idx="106">
                  <c:v>0.18872884629238607</c:v>
                </c:pt>
                <c:pt idx="107">
                  <c:v>0.1892962805691373</c:v>
                </c:pt>
                <c:pt idx="108">
                  <c:v>0.18986300980977464</c:v>
                </c:pt>
                <c:pt idx="109">
                  <c:v>0.1904290746094274</c:v>
                </c:pt>
                <c:pt idx="110">
                  <c:v>0.19099451487034813</c:v>
                </c:pt>
                <c:pt idx="111">
                  <c:v>0.19155936983085717</c:v>
                </c:pt>
                <c:pt idx="112">
                  <c:v>0.19212367809315969</c:v>
                </c:pt>
                <c:pt idx="113">
                  <c:v>0.19268747765009472</c:v>
                </c:pt>
                <c:pt idx="114">
                  <c:v>0.19325080591087335</c:v>
                </c:pt>
                <c:pt idx="115">
                  <c:v>0.19381369972585888</c:v>
                </c:pt>
                <c:pt idx="116">
                  <c:v>0.19437619541043932</c:v>
                </c:pt>
                <c:pt idx="117">
                  <c:v>0.19493832876804051</c:v>
                </c:pt>
                <c:pt idx="118">
                  <c:v>0.19550013511232314</c:v>
                </c:pt>
                <c:pt idx="119">
                  <c:v>0.19606164928860736</c:v>
                </c:pt>
                <c:pt idx="120">
                  <c:v>0.19662290569456461</c:v>
                </c:pt>
                <c:pt idx="121">
                  <c:v>0.19718393830021402</c:v>
                </c:pt>
                <c:pt idx="122">
                  <c:v>0.19774478066725984</c:v>
                </c:pt>
                <c:pt idx="123">
                  <c:v>0.19830546596780349</c:v>
                </c:pt>
                <c:pt idx="124">
                  <c:v>0.19886602700246286</c:v>
                </c:pt>
                <c:pt idx="125">
                  <c:v>0.1994264962179286</c:v>
                </c:pt>
                <c:pt idx="126">
                  <c:v>0.19998690572398709</c:v>
                </c:pt>
                <c:pt idx="127">
                  <c:v>0.20054728731003735</c:v>
                </c:pt>
                <c:pt idx="128">
                  <c:v>0.20110767246112787</c:v>
                </c:pt>
                <c:pt idx="129">
                  <c:v>0.20166809237353867</c:v>
                </c:pt>
                <c:pt idx="130">
                  <c:v>0.20222857796993166</c:v>
                </c:pt>
                <c:pt idx="131">
                  <c:v>0.20278915991409252</c:v>
                </c:pt>
                <c:pt idx="132">
                  <c:v>0.2033498686252852</c:v>
                </c:pt>
                <c:pt idx="133">
                  <c:v>0.20391073429223955</c:v>
                </c:pt>
                <c:pt idx="134">
                  <c:v>0.20447178688679196</c:v>
                </c:pt>
                <c:pt idx="135">
                  <c:v>0.2050330561771975</c:v>
                </c:pt>
                <c:pt idx="136">
                  <c:v>0.20559457174113144</c:v>
                </c:pt>
                <c:pt idx="137">
                  <c:v>0.20615636297839754</c:v>
                </c:pt>
                <c:pt idx="138">
                  <c:v>0.20671845912335934</c:v>
                </c:pt>
                <c:pt idx="139">
                  <c:v>0.20728088925711019</c:v>
                </c:pt>
                <c:pt idx="140">
                  <c:v>0.20784368231939729</c:v>
                </c:pt>
                <c:pt idx="141">
                  <c:v>0.20840686712031423</c:v>
                </c:pt>
                <c:pt idx="142">
                  <c:v>0.2089704723517759</c:v>
                </c:pt>
                <c:pt idx="143">
                  <c:v>0.20953452659878929</c:v>
                </c:pt>
                <c:pt idx="144">
                  <c:v>0.21009905835053322</c:v>
                </c:pt>
                <c:pt idx="145">
                  <c:v>0.21066409601125954</c:v>
                </c:pt>
                <c:pt idx="146">
                  <c:v>0.21122966791102771</c:v>
                </c:pt>
                <c:pt idx="147">
                  <c:v>0.21179580231628456</c:v>
                </c:pt>
                <c:pt idx="148">
                  <c:v>0.21236252744030068</c:v>
                </c:pt>
                <c:pt idx="149">
                  <c:v>0.2129298714534742</c:v>
                </c:pt>
                <c:pt idx="150">
                  <c:v>0.21349786249351285</c:v>
                </c:pt>
                <c:pt idx="151">
                  <c:v>0.21406652867550438</c:v>
                </c:pt>
                <c:pt idx="152">
                  <c:v>0.21463589810188591</c:v>
                </c:pt>
                <c:pt idx="153">
                  <c:v>0.21520599887232117</c:v>
                </c:pt>
                <c:pt idx="154">
                  <c:v>0.21577685909349648</c:v>
                </c:pt>
                <c:pt idx="155">
                  <c:v>0.21634850688884366</c:v>
                </c:pt>
                <c:pt idx="156">
                  <c:v>0.21692097040819971</c:v>
                </c:pt>
                <c:pt idx="157">
                  <c:v>0.21749427783741218</c:v>
                </c:pt>
                <c:pt idx="158">
                  <c:v>0.21806845740789899</c:v>
                </c:pt>
                <c:pt idx="159">
                  <c:v>0.21864353740617126</c:v>
                </c:pt>
                <c:pt idx="160">
                  <c:v>0.21921954618332823</c:v>
                </c:pt>
                <c:pt idx="161">
                  <c:v>0.21979651216453203</c:v>
                </c:pt>
                <c:pt idx="162">
                  <c:v>0.22037446385847126</c:v>
                </c:pt>
                <c:pt idx="163">
                  <c:v>0.2209534298668212</c:v>
                </c:pt>
                <c:pt idx="164">
                  <c:v>0.22153343889370927</c:v>
                </c:pt>
                <c:pt idx="165">
                  <c:v>0.22211451975519356</c:v>
                </c:pt>
                <c:pt idx="166">
                  <c:v>0.22269670138876249</c:v>
                </c:pt>
                <c:pt idx="167">
                  <c:v>0.22328001286286439</c:v>
                </c:pt>
                <c:pt idx="168">
                  <c:v>0.22386448338647374</c:v>
                </c:pt>
                <c:pt idx="169">
                  <c:v>0.22445014231870353</c:v>
                </c:pt>
                <c:pt idx="170">
                  <c:v>0.22503701917847097</c:v>
                </c:pt>
                <c:pt idx="171">
                  <c:v>0.22562514365422473</c:v>
                </c:pt>
                <c:pt idx="172">
                  <c:v>0.22621454561374235</c:v>
                </c:pt>
                <c:pt idx="173">
                  <c:v>0.22680525511400504</c:v>
                </c:pt>
                <c:pt idx="174">
                  <c:v>0.22739730241115932</c:v>
                </c:pt>
                <c:pt idx="175">
                  <c:v>0.22799071797057291</c:v>
                </c:pt>
                <c:pt idx="176">
                  <c:v>0.22858553247699356</c:v>
                </c:pt>
                <c:pt idx="177">
                  <c:v>0.22918177684481941</c:v>
                </c:pt>
                <c:pt idx="178">
                  <c:v>0.22977948222848965</c:v>
                </c:pt>
                <c:pt idx="179">
                  <c:v>0.2303786800330036</c:v>
                </c:pt>
                <c:pt idx="180">
                  <c:v>0.23097940192457814</c:v>
                </c:pt>
                <c:pt idx="181">
                  <c:v>0.2315816798414515</c:v>
                </c:pt>
                <c:pt idx="182">
                  <c:v>0.23218554600484362</c:v>
                </c:pt>
                <c:pt idx="183">
                  <c:v>0.23279103293008133</c:v>
                </c:pt>
                <c:pt idx="184">
                  <c:v>0.23339817343789948</c:v>
                </c:pt>
                <c:pt idx="185">
                  <c:v>0.23400700066592631</c:v>
                </c:pt>
                <c:pt idx="186">
                  <c:v>0.23461754808036456</c:v>
                </c:pt>
                <c:pt idx="187">
                  <c:v>0.23522984948787731</c:v>
                </c:pt>
                <c:pt idx="188">
                  <c:v>0.23584393904769038</c:v>
                </c:pt>
                <c:pt idx="189">
                  <c:v>0.23645985128392111</c:v>
                </c:pt>
                <c:pt idx="190">
                  <c:v>0.23707762109814573</c:v>
                </c:pt>
                <c:pt idx="191">
                  <c:v>0.23769728378221572</c:v>
                </c:pt>
                <c:pt idx="192">
                  <c:v>0.23831887503133614</c:v>
                </c:pt>
                <c:pt idx="193">
                  <c:v>0.23894243095741718</c:v>
                </c:pt>
                <c:pt idx="194">
                  <c:v>0.23956798810271221</c:v>
                </c:pt>
                <c:pt idx="195">
                  <c:v>0.240195583453755</c:v>
                </c:pt>
                <c:pt idx="196">
                  <c:v>0.24082525445560971</c:v>
                </c:pt>
                <c:pt idx="197">
                  <c:v>0.24145703902644722</c:v>
                </c:pt>
                <c:pt idx="198">
                  <c:v>0.2420909755724629</c:v>
                </c:pt>
                <c:pt idx="199">
                  <c:v>0.24272710300314976</c:v>
                </c:pt>
                <c:pt idx="200">
                  <c:v>0.24336546074694307</c:v>
                </c:pt>
                <c:pt idx="201">
                  <c:v>0.24400608876725255</c:v>
                </c:pt>
                <c:pt idx="202">
                  <c:v>0.24464902757889762</c:v>
                </c:pt>
                <c:pt idx="203">
                  <c:v>0.24529431826496464</c:v>
                </c:pt>
                <c:pt idx="204">
                  <c:v>0.24594200249410242</c:v>
                </c:pt>
                <c:pt idx="205">
                  <c:v>0.24659212253827528</c:v>
                </c:pt>
                <c:pt idx="206">
                  <c:v>0.24724472129099348</c:v>
                </c:pt>
                <c:pt idx="207">
                  <c:v>0.24789984228603962</c:v>
                </c:pt>
                <c:pt idx="208">
                  <c:v>0.24855752971671355</c:v>
                </c:pt>
                <c:pt idx="209">
                  <c:v>0.24921782845561663</c:v>
                </c:pt>
                <c:pt idx="210">
                  <c:v>0.24988078407499795</c:v>
                </c:pt>
                <c:pt idx="211">
                  <c:v>0.25054644286768657</c:v>
                </c:pt>
                <c:pt idx="212">
                  <c:v>0.2512148518686344</c:v>
                </c:pt>
                <c:pt idx="213">
                  <c:v>0.25188605887709475</c:v>
                </c:pt>
                <c:pt idx="214">
                  <c:v>0.2525601124794643</c:v>
                </c:pt>
                <c:pt idx="215">
                  <c:v>0.25323706207281582</c:v>
                </c:pt>
                <c:pt idx="216">
                  <c:v>0.25391695788915136</c:v>
                </c:pt>
                <c:pt idx="217">
                  <c:v>0.25459985102040567</c:v>
                </c:pt>
                <c:pt idx="218">
                  <c:v>0.25528579344423308</c:v>
                </c:pt>
                <c:pt idx="219">
                  <c:v>0.25597483805061005</c:v>
                </c:pt>
                <c:pt idx="220">
                  <c:v>0.25666703866928919</c:v>
                </c:pt>
                <c:pt idx="221">
                  <c:v>0.25736245009814046</c:v>
                </c:pt>
                <c:pt idx="222">
                  <c:v>0.25806112813241927</c:v>
                </c:pt>
                <c:pt idx="223">
                  <c:v>0.25876312959500014</c:v>
                </c:pt>
                <c:pt idx="224">
                  <c:v>0.25946851236761909</c:v>
                </c:pt>
                <c:pt idx="225">
                  <c:v>0.26017733542316818</c:v>
                </c:pt>
                <c:pt idx="226">
                  <c:v>0.26088965885908899</c:v>
                </c:pt>
                <c:pt idx="227">
                  <c:v>0.26160554393191343</c:v>
                </c:pt>
                <c:pt idx="228">
                  <c:v>0.26232505309300291</c:v>
                </c:pt>
                <c:pt idx="229">
                  <c:v>0.26304825002553889</c:v>
                </c:pt>
                <c:pt idx="230">
                  <c:v>0.26377519968282226</c:v>
                </c:pt>
                <c:pt idx="231">
                  <c:v>0.26450596832793949</c:v>
                </c:pt>
                <c:pt idx="232">
                  <c:v>0.26524062357485806</c:v>
                </c:pt>
                <c:pt idx="233">
                  <c:v>0.26597923443101706</c:v>
                </c:pt>
                <c:pt idx="234">
                  <c:v>0.2667218713414814</c:v>
                </c:pt>
                <c:pt idx="235">
                  <c:v>0.26746860623473151</c:v>
                </c:pt>
                <c:pt idx="236">
                  <c:v>0.26821951257016613</c:v>
                </c:pt>
                <c:pt idx="237">
                  <c:v>0.26897466538739728</c:v>
                </c:pt>
                <c:pt idx="238">
                  <c:v>0.26973414135742335</c:v>
                </c:pt>
                <c:pt idx="239">
                  <c:v>0.27049801883576824</c:v>
                </c:pt>
                <c:pt idx="240">
                  <c:v>0.27126637791768249</c:v>
                </c:pt>
                <c:pt idx="241">
                  <c:v>0.27203930049550445</c:v>
                </c:pt>
                <c:pt idx="242">
                  <c:v>0.272816870318288</c:v>
                </c:pt>
                <c:pt idx="243">
                  <c:v>0.27359917305380599</c:v>
                </c:pt>
                <c:pt idx="244">
                  <c:v>0.27438629635304906</c:v>
                </c:pt>
                <c:pt idx="245">
                  <c:v>0.27517832991734165</c:v>
                </c:pt>
                <c:pt idx="246">
                  <c:v>0.27597536556820806</c:v>
                </c:pt>
                <c:pt idx="247">
                  <c:v>0.27677749732012713</c:v>
                </c:pt>
                <c:pt idx="248">
                  <c:v>0.27758482145632152</c:v>
                </c:pt>
                <c:pt idx="249">
                  <c:v>0.27839743660773958</c:v>
                </c:pt>
                <c:pt idx="250">
                  <c:v>0.27921544383539304</c:v>
                </c:pt>
                <c:pt idx="251">
                  <c:v>0.28003894671622659</c:v>
                </c:pt>
                <c:pt idx="252">
                  <c:v>0.28086805143270521</c:v>
                </c:pt>
                <c:pt idx="253">
                  <c:v>0.28170286686631701</c:v>
                </c:pt>
                <c:pt idx="254">
                  <c:v>0.2825435046951994</c:v>
                </c:pt>
                <c:pt idx="255">
                  <c:v>0.28339007949611406</c:v>
                </c:pt>
                <c:pt idx="256">
                  <c:v>0.28424270885100472</c:v>
                </c:pt>
                <c:pt idx="257">
                  <c:v>0.28510151345839219</c:v>
                </c:pt>
                <c:pt idx="258">
                  <c:v>0.2859666172498726</c:v>
                </c:pt>
                <c:pt idx="259">
                  <c:v>0.28683814751200643</c:v>
                </c:pt>
                <c:pt idx="260">
                  <c:v>0.28771623501390098</c:v>
                </c:pt>
                <c:pt idx="261">
                  <c:v>0.28860101414081246</c:v>
                </c:pt>
                <c:pt idx="262">
                  <c:v>0.28949262303411255</c:v>
                </c:pt>
                <c:pt idx="263">
                  <c:v>0.2903912037379901</c:v>
                </c:pt>
                <c:pt idx="264">
                  <c:v>0.29129690235328309</c:v>
                </c:pt>
                <c:pt idx="265">
                  <c:v>0.29220986919886116</c:v>
                </c:pt>
                <c:pt idx="266">
                  <c:v>0.29313025898101319</c:v>
                </c:pt>
                <c:pt idx="267">
                  <c:v>0.294058230971321</c:v>
                </c:pt>
                <c:pt idx="268">
                  <c:v>0.29499394919353694</c:v>
                </c:pt>
                <c:pt idx="269">
                  <c:v>0.29593758262002218</c:v>
                </c:pt>
                <c:pt idx="270">
                  <c:v>0.29688930537833763</c:v>
                </c:pt>
                <c:pt idx="271">
                  <c:v>0.29784929696862944</c:v>
                </c:pt>
                <c:pt idx="272">
                  <c:v>0.29881774249249243</c:v>
                </c:pt>
                <c:pt idx="273">
                  <c:v>0.29979483289404973</c:v>
                </c:pt>
                <c:pt idx="274">
                  <c:v>0.30078076521404257</c:v>
                </c:pt>
                <c:pt idx="275">
                  <c:v>0.30177574285778214</c:v>
                </c:pt>
                <c:pt idx="276">
                  <c:v>0.30277997587788563</c:v>
                </c:pt>
                <c:pt idx="277">
                  <c:v>0.30379368127278533</c:v>
                </c:pt>
                <c:pt idx="278">
                  <c:v>0.30481708330208446</c:v>
                </c:pt>
                <c:pt idx="279">
                  <c:v>0.30585041381991185</c:v>
                </c:pt>
                <c:pt idx="280">
                  <c:v>0.30689391262752791</c:v>
                </c:pt>
                <c:pt idx="281">
                  <c:v>0.30794782784653218</c:v>
                </c:pt>
                <c:pt idx="282">
                  <c:v>0.30901241631413512</c:v>
                </c:pt>
                <c:pt idx="283">
                  <c:v>0.31008794400208306</c:v>
                </c:pt>
                <c:pt idx="284">
                  <c:v>0.31117468646095425</c:v>
                </c:pt>
                <c:pt idx="285">
                  <c:v>0.31227292929169742</c:v>
                </c:pt>
                <c:pt idx="286">
                  <c:v>0.31338296864644255</c:v>
                </c:pt>
                <c:pt idx="287">
                  <c:v>0.31450511176079415</c:v>
                </c:pt>
                <c:pt idx="288">
                  <c:v>0.31563967752001515</c:v>
                </c:pt>
                <c:pt idx="289">
                  <c:v>0.31678699706172575</c:v>
                </c:pt>
                <c:pt idx="290">
                  <c:v>0.31794741441798136</c:v>
                </c:pt>
                <c:pt idx="291">
                  <c:v>0.31912128719986199</c:v>
                </c:pt>
                <c:pt idx="292">
                  <c:v>0.32030898732799667</c:v>
                </c:pt>
                <c:pt idx="293">
                  <c:v>0.32151090181277397</c:v>
                </c:pt>
                <c:pt idx="294">
                  <c:v>0.32272743358835287</c:v>
                </c:pt>
                <c:pt idx="295">
                  <c:v>0.3239590024049892</c:v>
                </c:pt>
                <c:pt idx="296">
                  <c:v>0.32520604578464268</c:v>
                </c:pt>
                <c:pt idx="297">
                  <c:v>0.32646902004532941</c:v>
                </c:pt>
                <c:pt idx="298">
                  <c:v>0.32774840140024258</c:v>
                </c:pt>
                <c:pt idx="299">
                  <c:v>0.32904468713829033</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8-DEB8-46AA-A96E-0482BD366A3C}"/>
            </c:ext>
          </c:extLst>
        </c:ser>
        <c:ser>
          <c:idx val="11"/>
          <c:order val="9"/>
          <c:tx>
            <c:v>99% CI</c:v>
          </c:tx>
          <c:spPr>
            <a:ln w="3175">
              <a:solidFill>
                <a:srgbClr val="FF0000"/>
              </a:solidFill>
              <a:prstDash val="solid"/>
            </a:ln>
          </c:spPr>
          <c:marker>
            <c:symbol val="none"/>
          </c:marker>
          <c:xVal>
            <c:numRef>
              <c:f>'EVA Calcs'!$O$35:$O$335</c:f>
              <c:numCache>
                <c:formatCode>0.000</c:formatCode>
                <c:ptCount val="301"/>
                <c:pt idx="0">
                  <c:v>5.0683144048902909E-2</c:v>
                </c:pt>
                <c:pt idx="1">
                  <c:v>6.0601660786005075E-2</c:v>
                </c:pt>
                <c:pt idx="2">
                  <c:v>6.7016194135090565E-2</c:v>
                </c:pt>
                <c:pt idx="3">
                  <c:v>7.1893517767177534E-2</c:v>
                </c:pt>
                <c:pt idx="4">
                  <c:v>7.5887818075116298E-2</c:v>
                </c:pt>
                <c:pt idx="5">
                  <c:v>7.9302730050424181E-2</c:v>
                </c:pt>
                <c:pt idx="6">
                  <c:v>8.2305546340714214E-2</c:v>
                </c:pt>
                <c:pt idx="7">
                  <c:v>8.4998853697792864E-2</c:v>
                </c:pt>
                <c:pt idx="8">
                  <c:v>8.7450378793540853E-2</c:v>
                </c:pt>
                <c:pt idx="9">
                  <c:v>8.9707323348872409E-2</c:v>
                </c:pt>
                <c:pt idx="10">
                  <c:v>9.1803979877968733E-2</c:v>
                </c:pt>
                <c:pt idx="11">
                  <c:v>9.3766095774259775E-2</c:v>
                </c:pt>
                <c:pt idx="12">
                  <c:v>9.5613526349546007E-2</c:v>
                </c:pt>
                <c:pt idx="13">
                  <c:v>9.7361926202619131E-2</c:v>
                </c:pt>
                <c:pt idx="14">
                  <c:v>9.9023870511528209E-2</c:v>
                </c:pt>
                <c:pt idx="15">
                  <c:v>0.10060962316076444</c:v>
                </c:pt>
                <c:pt idx="16">
                  <c:v>0.10212767781368677</c:v>
                </c:pt>
                <c:pt idx="17">
                  <c:v>0.1035851483106231</c:v>
                </c:pt>
                <c:pt idx="18">
                  <c:v>0.1049880563035943</c:v>
                </c:pt>
                <c:pt idx="19">
                  <c:v>0.10634154710791255</c:v>
                </c:pt>
                <c:pt idx="20">
                  <c:v>0.10765005434345275</c:v>
                </c:pt>
                <c:pt idx="21">
                  <c:v>0.10891742735220514</c:v>
                </c:pt>
                <c:pt idx="22">
                  <c:v>0.11014703110212259</c:v>
                </c:pt>
                <c:pt idx="23">
                  <c:v>0.11134182544590324</c:v>
                </c:pt>
                <c:pt idx="24">
                  <c:v>0.11250442867624511</c:v>
                </c:pt>
                <c:pt idx="25">
                  <c:v>0.11363716898754879</c:v>
                </c:pt>
                <c:pt idx="26">
                  <c:v>0.11474212651831955</c:v>
                </c:pt>
                <c:pt idx="27">
                  <c:v>0.11582116798076103</c:v>
                </c:pt>
                <c:pt idx="28">
                  <c:v>0.11687597540075471</c:v>
                </c:pt>
                <c:pt idx="29">
                  <c:v>0.11790807013706973</c:v>
                </c:pt>
                <c:pt idx="30">
                  <c:v>0.11891883308571449</c:v>
                </c:pt>
                <c:pt idx="31">
                  <c:v>0.11990952177807498</c:v>
                </c:pt>
                <c:pt idx="32">
                  <c:v>0.12088128493195668</c:v>
                </c:pt>
                <c:pt idx="33">
                  <c:v>0.1218351749002161</c:v>
                </c:pt>
                <c:pt idx="34">
                  <c:v>0.12277215837331516</c:v>
                </c:pt>
                <c:pt idx="35">
                  <c:v>0.12369312562333939</c:v>
                </c:pt>
                <c:pt idx="36">
                  <c:v>0.12459889852304207</c:v>
                </c:pt>
                <c:pt idx="37">
                  <c:v>0.12549023753080776</c:v>
                </c:pt>
                <c:pt idx="38">
                  <c:v>0.12636784779846447</c:v>
                </c:pt>
                <c:pt idx="39">
                  <c:v>0.12723238453166796</c:v>
                </c:pt>
                <c:pt idx="40">
                  <c:v>0.12808445771064661</c:v>
                </c:pt>
                <c:pt idx="41">
                  <c:v>0.12892463626131515</c:v>
                </c:pt>
                <c:pt idx="42">
                  <c:v>0.12975345175226657</c:v>
                </c:pt>
                <c:pt idx="43">
                  <c:v>0.13057140168127265</c:v>
                </c:pt>
                <c:pt idx="44">
                  <c:v>0.13137895240513592</c:v>
                </c:pt>
                <c:pt idx="45">
                  <c:v>0.13217654175864066</c:v>
                </c:pt>
                <c:pt idx="46">
                  <c:v>0.1329645814016189</c:v>
                </c:pt>
                <c:pt idx="47">
                  <c:v>0.13374345892752793</c:v>
                </c:pt>
                <c:pt idx="48">
                  <c:v>0.13451353976222694</c:v>
                </c:pt>
                <c:pt idx="49">
                  <c:v>0.13527516887767582</c:v>
                </c:pt>
                <c:pt idx="50">
                  <c:v>0.13602867234193247</c:v>
                </c:pt>
                <c:pt idx="51">
                  <c:v>0.1367743587239855</c:v>
                </c:pt>
                <c:pt idx="52">
                  <c:v>0.13751252036954609</c:v>
                </c:pt>
                <c:pt idx="53">
                  <c:v>0.13824343456186303</c:v>
                </c:pt>
                <c:pt idx="54">
                  <c:v>0.13896736457985925</c:v>
                </c:pt>
                <c:pt idx="55">
                  <c:v>0.13968456066437554</c:v>
                </c:pt>
                <c:pt idx="56">
                  <c:v>0.14039526090200141</c:v>
                </c:pt>
                <c:pt idx="57">
                  <c:v>0.14109969203484707</c:v>
                </c:pt>
                <c:pt idx="58">
                  <c:v>0.14179807020363391</c:v>
                </c:pt>
                <c:pt idx="59">
                  <c:v>0.14249060163063515</c:v>
                </c:pt>
                <c:pt idx="60">
                  <c:v>0.14317748324825891</c:v>
                </c:pt>
                <c:pt idx="61">
                  <c:v>0.14385890327842474</c:v>
                </c:pt>
                <c:pt idx="62">
                  <c:v>0.14453504176731974</c:v>
                </c:pt>
                <c:pt idx="63">
                  <c:v>0.14520607107962866</c:v>
                </c:pt>
                <c:pt idx="64">
                  <c:v>0.14587215635589765</c:v>
                </c:pt>
                <c:pt idx="65">
                  <c:v>0.14653345593631101</c:v>
                </c:pt>
                <c:pt idx="66">
                  <c:v>0.14719012175382251</c:v>
                </c:pt>
                <c:pt idx="67">
                  <c:v>0.147842299699286</c:v>
                </c:pt>
                <c:pt idx="68">
                  <c:v>0.14849012996096614</c:v>
                </c:pt>
                <c:pt idx="69">
                  <c:v>0.14913374734057633</c:v>
                </c:pt>
                <c:pt idx="70">
                  <c:v>0.14977328154778333</c:v>
                </c:pt>
                <c:pt idx="71">
                  <c:v>0.15040885747493216</c:v>
                </c:pt>
                <c:pt idx="72">
                  <c:v>0.15104059545358078</c:v>
                </c:pt>
                <c:pt idx="73">
                  <c:v>0.1516686114942857</c:v>
                </c:pt>
                <c:pt idx="74">
                  <c:v>0.15229301751094809</c:v>
                </c:pt>
                <c:pt idx="75">
                  <c:v>0.15291392153091168</c:v>
                </c:pt>
                <c:pt idx="76">
                  <c:v>0.153531427891897</c:v>
                </c:pt>
                <c:pt idx="77">
                  <c:v>0.15414563742676171</c:v>
                </c:pt>
                <c:pt idx="78">
                  <c:v>0.15475664763699035</c:v>
                </c:pt>
                <c:pt idx="79">
                  <c:v>0.15536455285573941</c:v>
                </c:pt>
                <c:pt idx="80">
                  <c:v>0.15596944440119392</c:v>
                </c:pt>
                <c:pt idx="81">
                  <c:v>0.15657141072092806</c:v>
                </c:pt>
                <c:pt idx="82">
                  <c:v>0.15717053752790533</c:v>
                </c:pt>
                <c:pt idx="83">
                  <c:v>0.1577669079287021</c:v>
                </c:pt>
                <c:pt idx="84">
                  <c:v>0.15836060254449102</c:v>
                </c:pt>
                <c:pt idx="85">
                  <c:v>0.15895169962527778</c:v>
                </c:pt>
                <c:pt idx="86">
                  <c:v>0.15954027515784652</c:v>
                </c:pt>
                <c:pt idx="87">
                  <c:v>0.16012640296783309</c:v>
                </c:pt>
                <c:pt idx="88">
                  <c:v>0.16071015481631348</c:v>
                </c:pt>
                <c:pt idx="89">
                  <c:v>0.16129160049126504</c:v>
                </c:pt>
                <c:pt idx="90">
                  <c:v>0.16187080789423139</c:v>
                </c:pt>
                <c:pt idx="91">
                  <c:v>0.1624478431224971</c:v>
                </c:pt>
                <c:pt idx="92">
                  <c:v>0.16302277054705602</c:v>
                </c:pt>
                <c:pt idx="93">
                  <c:v>0.16359565288663594</c:v>
                </c:pt>
                <c:pt idx="94">
                  <c:v>0.16416655127802399</c:v>
                </c:pt>
                <c:pt idx="95">
                  <c:v>0.16473552534291933</c:v>
                </c:pt>
                <c:pt idx="96">
                  <c:v>0.16530263325152389</c:v>
                </c:pt>
                <c:pt idx="97">
                  <c:v>0.16586793178306705</c:v>
                </c:pt>
                <c:pt idx="98">
                  <c:v>0.16643147638344719</c:v>
                </c:pt>
                <c:pt idx="99">
                  <c:v>0.16699332122015959</c:v>
                </c:pt>
                <c:pt idx="100">
                  <c:v>0.16755351923466977</c:v>
                </c:pt>
                <c:pt idx="101">
                  <c:v>0.16811212219237986</c:v>
                </c:pt>
                <c:pt idx="102">
                  <c:v>0.16866918073032655</c:v>
                </c:pt>
                <c:pt idx="103">
                  <c:v>0.16922474440273913</c:v>
                </c:pt>
                <c:pt idx="104">
                  <c:v>0.16977886172457912</c:v>
                </c:pt>
                <c:pt idx="105">
                  <c:v>0.1703315802131741</c:v>
                </c:pt>
                <c:pt idx="106">
                  <c:v>0.17088294642805124</c:v>
                </c:pt>
                <c:pt idx="107">
                  <c:v>0.17143300600907044</c:v>
                </c:pt>
                <c:pt idx="108">
                  <c:v>0.17198180371294949</c:v>
                </c:pt>
                <c:pt idx="109">
                  <c:v>0.17252938344826851</c:v>
                </c:pt>
                <c:pt idx="110">
                  <c:v>0.17307578830903625</c:v>
                </c:pt>
                <c:pt idx="111">
                  <c:v>0.17362106060689395</c:v>
                </c:pt>
                <c:pt idx="112">
                  <c:v>0.17416524190203078</c:v>
                </c:pt>
                <c:pt idx="113">
                  <c:v>0.17470837303287731</c:v>
                </c:pt>
                <c:pt idx="114">
                  <c:v>0.17525049414464247</c:v>
                </c:pt>
                <c:pt idx="115">
                  <c:v>0.17579164471675329</c:v>
                </c:pt>
                <c:pt idx="116">
                  <c:v>0.17633186358925504</c:v>
                </c:pt>
                <c:pt idx="117">
                  <c:v>0.1768711889882251</c:v>
                </c:pt>
                <c:pt idx="118">
                  <c:v>0.17740965855025129</c:v>
                </c:pt>
                <c:pt idx="119">
                  <c:v>0.17794730934602249</c:v>
                </c:pt>
                <c:pt idx="120">
                  <c:v>0.17848417790307669</c:v>
                </c:pt>
                <c:pt idx="121">
                  <c:v>0.17902030022774912</c:v>
                </c:pt>
                <c:pt idx="122">
                  <c:v>0.17955571182636126</c:v>
                </c:pt>
                <c:pt idx="123">
                  <c:v>0.18009044772568811</c:v>
                </c:pt>
                <c:pt idx="124">
                  <c:v>0.18062454249274135</c:v>
                </c:pt>
                <c:pt idx="125">
                  <c:v>0.18115803025390104</c:v>
                </c:pt>
                <c:pt idx="126">
                  <c:v>0.18169094471342997</c:v>
                </c:pt>
                <c:pt idx="127">
                  <c:v>0.18222331917140058</c:v>
                </c:pt>
                <c:pt idx="128">
                  <c:v>0.18275518654106415</c:v>
                </c:pt>
                <c:pt idx="129">
                  <c:v>0.18328657936569021</c:v>
                </c:pt>
                <c:pt idx="130">
                  <c:v>0.18381752983490257</c:v>
                </c:pt>
                <c:pt idx="131">
                  <c:v>0.1843480698005372</c:v>
                </c:pt>
                <c:pt idx="132">
                  <c:v>0.18487823079204596</c:v>
                </c:pt>
                <c:pt idx="133">
                  <c:v>0.18540804403146943</c:v>
                </c:pt>
                <c:pt idx="134">
                  <c:v>0.18593754044799987</c:v>
                </c:pt>
                <c:pt idx="135">
                  <c:v>0.18646675069215607</c:v>
                </c:pt>
                <c:pt idx="136">
                  <c:v>0.1869957051495893</c:v>
                </c:pt>
                <c:pt idx="137">
                  <c:v>0.18752443395453972</c:v>
                </c:pt>
                <c:pt idx="138">
                  <c:v>0.18805296700296106</c:v>
                </c:pt>
                <c:pt idx="139">
                  <c:v>0.18858133396533155</c:v>
                </c:pt>
                <c:pt idx="140">
                  <c:v>0.18910956429916703</c:v>
                </c:pt>
                <c:pt idx="141">
                  <c:v>0.1896376872612528</c:v>
                </c:pt>
                <c:pt idx="142">
                  <c:v>0.19016573191960931</c:v>
                </c:pt>
                <c:pt idx="143">
                  <c:v>0.19069372716520627</c:v>
                </c:pt>
                <c:pt idx="144">
                  <c:v>0.19122170172343961</c:v>
                </c:pt>
                <c:pt idx="145">
                  <c:v>0.19174968416538449</c:v>
                </c:pt>
                <c:pt idx="146">
                  <c:v>0.19227770291883822</c:v>
                </c:pt>
                <c:pt idx="147">
                  <c:v>0.19280578627916456</c:v>
                </c:pt>
                <c:pt idx="148">
                  <c:v>0.19333396241995285</c:v>
                </c:pt>
                <c:pt idx="149">
                  <c:v>0.19386225940350271</c:v>
                </c:pt>
                <c:pt idx="150">
                  <c:v>0.19439070519114665</c:v>
                </c:pt>
                <c:pt idx="151">
                  <c:v>0.19491932765342049</c:v>
                </c:pt>
                <c:pt idx="152">
                  <c:v>0.1954481545800936</c:v>
                </c:pt>
                <c:pt idx="153">
                  <c:v>0.19597721369006804</c:v>
                </c:pt>
                <c:pt idx="154">
                  <c:v>0.19650653264115781</c:v>
                </c:pt>
                <c:pt idx="155">
                  <c:v>0.19703613903975731</c:v>
                </c:pt>
                <c:pt idx="156">
                  <c:v>0.19756606045040859</c:v>
                </c:pt>
                <c:pt idx="157">
                  <c:v>0.19809632440527747</c:v>
                </c:pt>
                <c:pt idx="158">
                  <c:v>0.19862695841354652</c:v>
                </c:pt>
                <c:pt idx="159">
                  <c:v>0.19915798997073478</c:v>
                </c:pt>
                <c:pt idx="160">
                  <c:v>0.19968944656795246</c:v>
                </c:pt>
                <c:pt idx="161">
                  <c:v>0.20022135570109942</c:v>
                </c:pt>
                <c:pt idx="162">
                  <c:v>0.2007537448800156</c:v>
                </c:pt>
                <c:pt idx="163">
                  <c:v>0.20128664163759202</c:v>
                </c:pt>
                <c:pt idx="164">
                  <c:v>0.20182007353885051</c:v>
                </c:pt>
                <c:pt idx="165">
                  <c:v>0.20235406818999979</c:v>
                </c:pt>
                <c:pt idx="166">
                  <c:v>0.20288865324747649</c:v>
                </c:pt>
                <c:pt idx="167">
                  <c:v>0.20342385642697886</c:v>
                </c:pt>
                <c:pt idx="168">
                  <c:v>0.20395970551250064</c:v>
                </c:pt>
                <c:pt idx="169">
                  <c:v>0.2044962283653734</c:v>
                </c:pt>
                <c:pt idx="170">
                  <c:v>0.20503345293332512</c:v>
                </c:pt>
                <c:pt idx="171">
                  <c:v>0.20557140725956205</c:v>
                </c:pt>
                <c:pt idx="172">
                  <c:v>0.20611011949188279</c:v>
                </c:pt>
                <c:pt idx="173">
                  <c:v>0.20664961789183101</c:v>
                </c:pt>
                <c:pt idx="174">
                  <c:v>0.20718993084389578</c:v>
                </c:pt>
                <c:pt idx="175">
                  <c:v>0.20773108686476635</c:v>
                </c:pt>
                <c:pt idx="176">
                  <c:v>0.20827311461265005</c:v>
                </c:pt>
                <c:pt idx="177">
                  <c:v>0.20881604289666028</c:v>
                </c:pt>
                <c:pt idx="178">
                  <c:v>0.20935990068628349</c:v>
                </c:pt>
                <c:pt idx="179">
                  <c:v>0.20990471712093234</c:v>
                </c:pt>
                <c:pt idx="180">
                  <c:v>0.21045052151959395</c:v>
                </c:pt>
                <c:pt idx="181">
                  <c:v>0.21099734339058074</c:v>
                </c:pt>
                <c:pt idx="182">
                  <c:v>0.21154521244139285</c:v>
                </c:pt>
                <c:pt idx="183">
                  <c:v>0.21209415858869995</c:v>
                </c:pt>
                <c:pt idx="184">
                  <c:v>0.21264421196845187</c:v>
                </c:pt>
                <c:pt idx="185">
                  <c:v>0.21319540294612602</c:v>
                </c:pt>
                <c:pt idx="186">
                  <c:v>0.21374776212712124</c:v>
                </c:pt>
                <c:pt idx="187">
                  <c:v>0.21430132036730681</c:v>
                </c:pt>
                <c:pt idx="188">
                  <c:v>0.21485610878373609</c:v>
                </c:pt>
                <c:pt idx="189">
                  <c:v>0.21541215876553421</c:v>
                </c:pt>
                <c:pt idx="190">
                  <c:v>0.21596950198497025</c:v>
                </c:pt>
                <c:pt idx="191">
                  <c:v>0.21652817040872296</c:v>
                </c:pt>
                <c:pt idx="192">
                  <c:v>0.21708819630935131</c:v>
                </c:pt>
                <c:pt idx="193">
                  <c:v>0.21764961227697965</c:v>
                </c:pt>
                <c:pt idx="194">
                  <c:v>0.21821245123120916</c:v>
                </c:pt>
                <c:pt idx="195">
                  <c:v>0.21877674643326642</c:v>
                </c:pt>
                <c:pt idx="196">
                  <c:v>0.21934253149840066</c:v>
                </c:pt>
                <c:pt idx="197">
                  <c:v>0.21990984040854158</c:v>
                </c:pt>
                <c:pt idx="198">
                  <c:v>0.22047870752523091</c:v>
                </c:pt>
                <c:pt idx="199">
                  <c:v>0.22104916760283896</c:v>
                </c:pt>
                <c:pt idx="200">
                  <c:v>0.22162125580208078</c:v>
                </c:pt>
                <c:pt idx="201">
                  <c:v>0.22219500770384493</c:v>
                </c:pt>
                <c:pt idx="202">
                  <c:v>0.22277045932334866</c:v>
                </c:pt>
                <c:pt idx="203">
                  <c:v>0.22334764712463528</c:v>
                </c:pt>
                <c:pt idx="204">
                  <c:v>0.22392660803542747</c:v>
                </c:pt>
                <c:pt idx="205">
                  <c:v>0.2245073794623533</c:v>
                </c:pt>
                <c:pt idx="206">
                  <c:v>0.22508999930656134</c:v>
                </c:pt>
                <c:pt idx="207">
                  <c:v>0.2256745059797409</c:v>
                </c:pt>
                <c:pt idx="208">
                  <c:v>0.22626093842056633</c:v>
                </c:pt>
                <c:pt idx="209">
                  <c:v>0.22684933611158303</c:v>
                </c:pt>
                <c:pt idx="210">
                  <c:v>0.2274397390965541</c:v>
                </c:pt>
                <c:pt idx="211">
                  <c:v>0.22803218799828834</c:v>
                </c:pt>
                <c:pt idx="212">
                  <c:v>0.22862672403696987</c:v>
                </c:pt>
                <c:pt idx="213">
                  <c:v>0.2292233890490106</c:v>
                </c:pt>
                <c:pt idx="214">
                  <c:v>0.22982222550644937</c:v>
                </c:pt>
                <c:pt idx="215">
                  <c:v>0.23042327653691971</c:v>
                </c:pt>
                <c:pt idx="216">
                  <c:v>0.23102658594421216</c:v>
                </c:pt>
                <c:pt idx="217">
                  <c:v>0.23163219822945602</c:v>
                </c:pt>
                <c:pt idx="218">
                  <c:v>0.23224015861294769</c:v>
                </c:pt>
                <c:pt idx="219">
                  <c:v>0.23285051305665333</c:v>
                </c:pt>
                <c:pt idx="220">
                  <c:v>0.23346330828741599</c:v>
                </c:pt>
                <c:pt idx="221">
                  <c:v>0.23407859182089635</c:v>
                </c:pt>
                <c:pt idx="222">
                  <c:v>0.23469641198628099</c:v>
                </c:pt>
                <c:pt idx="223">
                  <c:v>0.2353168179517906</c:v>
                </c:pt>
                <c:pt idx="224">
                  <c:v>0.23593985975102361</c:v>
                </c:pt>
                <c:pt idx="225">
                  <c:v>0.23656558831017266</c:v>
                </c:pt>
                <c:pt idx="226">
                  <c:v>0.2371940554761518</c:v>
                </c:pt>
                <c:pt idx="227">
                  <c:v>0.23782531404567597</c:v>
                </c:pt>
                <c:pt idx="228">
                  <c:v>0.23845941779533503</c:v>
                </c:pt>
                <c:pt idx="229">
                  <c:v>0.23909642151270624</c:v>
                </c:pt>
                <c:pt idx="230">
                  <c:v>0.23973638102855399</c:v>
                </c:pt>
                <c:pt idx="231">
                  <c:v>0.24037935325016474</c:v>
                </c:pt>
                <c:pt idx="232">
                  <c:v>0.24102539619586935</c:v>
                </c:pt>
                <c:pt idx="233">
                  <c:v>0.2416745690308082</c:v>
                </c:pt>
                <c:pt idx="234">
                  <c:v>0.24232693210399558</c:v>
                </c:pt>
                <c:pt idx="235">
                  <c:v>0.24298254698674465</c:v>
                </c:pt>
                <c:pt idx="236">
                  <c:v>0.24364147651251594</c:v>
                </c:pt>
                <c:pt idx="237">
                  <c:v>0.24430378481825721</c:v>
                </c:pt>
                <c:pt idx="238">
                  <c:v>0.24496953738730526</c:v>
                </c:pt>
                <c:pt idx="239">
                  <c:v>0.24563880109392339</c:v>
                </c:pt>
                <c:pt idx="240">
                  <c:v>0.24631164424955487</c:v>
                </c:pt>
                <c:pt idx="241">
                  <c:v>0.24698813665087374</c:v>
                </c:pt>
                <c:pt idx="242">
                  <c:v>0.24766834962972223</c:v>
                </c:pt>
                <c:pt idx="243">
                  <c:v>0.2483523561050256</c:v>
                </c:pt>
                <c:pt idx="244">
                  <c:v>0.24904023063678424</c:v>
                </c:pt>
                <c:pt idx="245">
                  <c:v>0.24973204948224506</c:v>
                </c:pt>
                <c:pt idx="246">
                  <c:v>0.25042789065436233</c:v>
                </c:pt>
                <c:pt idx="247">
                  <c:v>0.2511278339826637</c:v>
                </c:pt>
                <c:pt idx="248">
                  <c:v>0.25183196117664403</c:v>
                </c:pt>
                <c:pt idx="249">
                  <c:v>0.25254035589181717</c:v>
                </c:pt>
                <c:pt idx="250">
                  <c:v>0.25325310379856314</c:v>
                </c:pt>
                <c:pt idx="251">
                  <c:v>0.2539702926539173</c:v>
                </c:pt>
                <c:pt idx="252">
                  <c:v>0.25469201237645556</c:v>
                </c:pt>
                <c:pt idx="253">
                  <c:v>0.25541835512444161</c:v>
                </c:pt>
                <c:pt idx="254">
                  <c:v>0.25614941537740915</c:v>
                </c:pt>
                <c:pt idx="255">
                  <c:v>0.25688529002136656</c:v>
                </c:pt>
                <c:pt idx="256">
                  <c:v>0.25762607843781965</c:v>
                </c:pt>
                <c:pt idx="257">
                  <c:v>0.25837188259682431</c:v>
                </c:pt>
                <c:pt idx="258">
                  <c:v>0.25912280715429092</c:v>
                </c:pt>
                <c:pt idx="259">
                  <c:v>0.25987895955378015</c:v>
                </c:pt>
                <c:pt idx="260">
                  <c:v>0.26064045013304221</c:v>
                </c:pt>
                <c:pt idx="261">
                  <c:v>0.26140739223557169</c:v>
                </c:pt>
                <c:pt idx="262">
                  <c:v>0.26217990232746552</c:v>
                </c:pt>
                <c:pt idx="263">
                  <c:v>0.26295810011989212</c:v>
                </c:pt>
                <c:pt idx="264">
                  <c:v>0.26374210869750242</c:v>
                </c:pt>
                <c:pt idx="265">
                  <c:v>0.26453205465313168</c:v>
                </c:pt>
                <c:pt idx="266">
                  <c:v>0.26532806822917154</c:v>
                </c:pt>
                <c:pt idx="267">
                  <c:v>0.2661302834660132</c:v>
                </c:pt>
                <c:pt idx="268">
                  <c:v>0.2669388383579927</c:v>
                </c:pt>
                <c:pt idx="269">
                  <c:v>0.26775387501730286</c:v>
                </c:pt>
                <c:pt idx="270">
                  <c:v>0.26857553984636479</c:v>
                </c:pt>
                <c:pt idx="271">
                  <c:v>0.26940398371919377</c:v>
                </c:pt>
                <c:pt idx="272">
                  <c:v>0.27023936217232875</c:v>
                </c:pt>
                <c:pt idx="273">
                  <c:v>0.27108183560594146</c:v>
                </c:pt>
                <c:pt idx="274">
                  <c:v>0.27193156949578529</c:v>
                </c:pt>
                <c:pt idx="275">
                  <c:v>0.27278873461669484</c:v>
                </c:pt>
                <c:pt idx="276">
                  <c:v>0.27365350727840337</c:v>
                </c:pt>
                <c:pt idx="277">
                  <c:v>0.27452606957450321</c:v>
                </c:pt>
                <c:pt idx="278">
                  <c:v>0.27540660964544211</c:v>
                </c:pt>
                <c:pt idx="279">
                  <c:v>0.27629532195651674</c:v>
                </c:pt>
                <c:pt idx="280">
                  <c:v>0.27719240759190544</c:v>
                </c:pt>
                <c:pt idx="281">
                  <c:v>0.27809807456586594</c:v>
                </c:pt>
                <c:pt idx="282">
                  <c:v>0.27901253815231603</c:v>
                </c:pt>
                <c:pt idx="283">
                  <c:v>0.2799360212341207</c:v>
                </c:pt>
                <c:pt idx="284">
                  <c:v>0.28086875467351702</c:v>
                </c:pt>
                <c:pt idx="285">
                  <c:v>0.28181097770523511</c:v>
                </c:pt>
                <c:pt idx="286">
                  <c:v>0.28276293835400601</c:v>
                </c:pt>
                <c:pt idx="287">
                  <c:v>0.28372489387829775</c:v>
                </c:pt>
                <c:pt idx="288">
                  <c:v>0.28469711124228458</c:v>
                </c:pt>
                <c:pt idx="289">
                  <c:v>0.28567986761823588</c:v>
                </c:pt>
                <c:pt idx="290">
                  <c:v>0.28667345092170937</c:v>
                </c:pt>
                <c:pt idx="291">
                  <c:v>0.28767816038215821</c:v>
                </c:pt>
                <c:pt idx="292">
                  <c:v>0.28869430715180217</c:v>
                </c:pt>
                <c:pt idx="293">
                  <c:v>0.28972221495588779</c:v>
                </c:pt>
                <c:pt idx="294">
                  <c:v>0.29076222078776315</c:v>
                </c:pt>
                <c:pt idx="295">
                  <c:v>0.29181467565252711</c:v>
                </c:pt>
                <c:pt idx="296">
                  <c:v>0.29287994536338857</c:v>
                </c:pt>
                <c:pt idx="297">
                  <c:v>0.29395841139528522</c:v>
                </c:pt>
                <c:pt idx="298">
                  <c:v>0.29505047180077787</c:v>
                </c:pt>
                <c:pt idx="299">
                  <c:v>0.29615654219375626</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9-DEB8-46AA-A96E-0482BD366A3C}"/>
            </c:ext>
          </c:extLst>
        </c:ser>
        <c:ser>
          <c:idx val="12"/>
          <c:order val="10"/>
          <c:tx>
            <c:v>99%</c:v>
          </c:tx>
          <c:spPr>
            <a:ln w="3175">
              <a:solidFill>
                <a:srgbClr val="FF0000"/>
              </a:solidFill>
              <a:prstDash val="solid"/>
            </a:ln>
          </c:spPr>
          <c:marker>
            <c:symbol val="none"/>
          </c:marker>
          <c:xVal>
            <c:numRef>
              <c:f>'EVA Calcs'!$P$35:$P$335</c:f>
              <c:numCache>
                <c:formatCode>0.000</c:formatCode>
                <c:ptCount val="301"/>
                <c:pt idx="0">
                  <c:v>7.9768424084542752E-2</c:v>
                </c:pt>
                <c:pt idx="1">
                  <c:v>8.8305836841835961E-2</c:v>
                </c:pt>
                <c:pt idx="2">
                  <c:v>9.3862149457554847E-2</c:v>
                </c:pt>
                <c:pt idx="3">
                  <c:v>9.8107467953838179E-2</c:v>
                </c:pt>
                <c:pt idx="4">
                  <c:v>0.10159851838335854</c:v>
                </c:pt>
                <c:pt idx="5">
                  <c:v>0.10459409987692461</c:v>
                </c:pt>
                <c:pt idx="6">
                  <c:v>0.10723697697952042</c:v>
                </c:pt>
                <c:pt idx="7">
                  <c:v>0.10961478530335808</c:v>
                </c:pt>
                <c:pt idx="8">
                  <c:v>0.11178543228692374</c:v>
                </c:pt>
                <c:pt idx="9">
                  <c:v>0.11378930781363006</c:v>
                </c:pt>
                <c:pt idx="10">
                  <c:v>0.11565577614981845</c:v>
                </c:pt>
                <c:pt idx="11">
                  <c:v>0.11740689854192428</c:v>
                </c:pt>
                <c:pt idx="12">
                  <c:v>0.11905969764925153</c:v>
                </c:pt>
                <c:pt idx="13">
                  <c:v>0.12062760196759639</c:v>
                </c:pt>
                <c:pt idx="14">
                  <c:v>0.12212140389860442</c:v>
                </c:pt>
                <c:pt idx="15">
                  <c:v>0.12354991637442211</c:v>
                </c:pt>
                <c:pt idx="16">
                  <c:v>0.12492043559199827</c:v>
                </c:pt>
                <c:pt idx="17">
                  <c:v>0.12623907502680043</c:v>
                </c:pt>
                <c:pt idx="18">
                  <c:v>0.12751101162129103</c:v>
                </c:pt>
                <c:pt idx="19">
                  <c:v>0.12874067060201788</c:v>
                </c:pt>
                <c:pt idx="20">
                  <c:v>0.12993186649862193</c:v>
                </c:pt>
                <c:pt idx="21">
                  <c:v>0.13108791231620726</c:v>
                </c:pt>
                <c:pt idx="22">
                  <c:v>0.13221170516089331</c:v>
                </c:pt>
                <c:pt idx="23">
                  <c:v>0.13330579419146812</c:v>
                </c:pt>
                <c:pt idx="24">
                  <c:v>0.13437243512357244</c:v>
                </c:pt>
                <c:pt idx="25">
                  <c:v>0.13541363437485451</c:v>
                </c:pt>
                <c:pt idx="26">
                  <c:v>0.13643118513961711</c:v>
                </c:pt>
                <c:pt idx="27">
                  <c:v>0.13742669711048583</c:v>
                </c:pt>
                <c:pt idx="28">
                  <c:v>0.13840162115125915</c:v>
                </c:pt>
                <c:pt idx="29">
                  <c:v>0.13935726992194919</c:v>
                </c:pt>
                <c:pt idx="30">
                  <c:v>0.14029483523202635</c:v>
                </c:pt>
                <c:pt idx="31">
                  <c:v>0.14121540272903735</c:v>
                </c:pt>
                <c:pt idx="32">
                  <c:v>0.14211996440175537</c:v>
                </c:pt>
                <c:pt idx="33">
                  <c:v>0.14300942927903518</c:v>
                </c:pt>
                <c:pt idx="34">
                  <c:v>0.14388463262987622</c:v>
                </c:pt>
                <c:pt idx="35">
                  <c:v>0.14474634391126556</c:v>
                </c:pt>
                <c:pt idx="36">
                  <c:v>0.14559527366412428</c:v>
                </c:pt>
                <c:pt idx="37">
                  <c:v>0.14643207952111517</c:v>
                </c:pt>
                <c:pt idx="38">
                  <c:v>0.14725737146095799</c:v>
                </c:pt>
                <c:pt idx="39">
                  <c:v>0.14807171642057554</c:v>
                </c:pt>
                <c:pt idx="40">
                  <c:v>0.14887564235758646</c:v>
                </c:pt>
                <c:pt idx="41">
                  <c:v>0.14966964184041245</c:v>
                </c:pt>
                <c:pt idx="42">
                  <c:v>0.15045417523083218</c:v>
                </c:pt>
                <c:pt idx="43">
                  <c:v>0.15122967351362285</c:v>
                </c:pt>
                <c:pt idx="44">
                  <c:v>0.1519965408195339</c:v>
                </c:pt>
                <c:pt idx="45">
                  <c:v>0.1527551566808896</c:v>
                </c:pt>
                <c:pt idx="46">
                  <c:v>0.15350587805334012</c:v>
                </c:pt>
                <c:pt idx="47">
                  <c:v>0.15424904113245763</c:v>
                </c:pt>
                <c:pt idx="48">
                  <c:v>0.15498496298983025</c:v>
                </c:pt>
                <c:pt idx="49">
                  <c:v>0.1557139430499036</c:v>
                </c:pt>
                <c:pt idx="50">
                  <c:v>0.15643626442594519</c:v>
                </c:pt>
                <c:pt idx="51">
                  <c:v>0.15715219513106846</c:v>
                </c:pt>
                <c:pt idx="52">
                  <c:v>0.15786198917818017</c:v>
                </c:pt>
                <c:pt idx="53">
                  <c:v>0.15856588758094539</c:v>
                </c:pt>
                <c:pt idx="54">
                  <c:v>0.15926411926634765</c:v>
                </c:pt>
                <c:pt idx="55">
                  <c:v>0.15995690190812181</c:v>
                </c:pt>
                <c:pt idx="56">
                  <c:v>0.16064444268921438</c:v>
                </c:pt>
                <c:pt idx="57">
                  <c:v>0.16132693900045941</c:v>
                </c:pt>
                <c:pt idx="58">
                  <c:v>0.16200457908181762</c:v>
                </c:pt>
                <c:pt idx="59">
                  <c:v>0.16267754261179979</c:v>
                </c:pt>
                <c:pt idx="60">
                  <c:v>0.16334600125005966</c:v>
                </c:pt>
                <c:pt idx="61">
                  <c:v>0.1640101191375902</c:v>
                </c:pt>
                <c:pt idx="62">
                  <c:v>0.16467005335847079</c:v>
                </c:pt>
                <c:pt idx="63">
                  <c:v>0.16532595436669092</c:v>
                </c:pt>
                <c:pt idx="64">
                  <c:v>0.1659779663812013</c:v>
                </c:pt>
                <c:pt idx="65">
                  <c:v>0.16662622775201602</c:v>
                </c:pt>
                <c:pt idx="66">
                  <c:v>0.16727087129989943</c:v>
                </c:pt>
                <c:pt idx="67">
                  <c:v>0.16791202463191537</c:v>
                </c:pt>
                <c:pt idx="68">
                  <c:v>0.1685498104348899</c:v>
                </c:pt>
                <c:pt idx="69">
                  <c:v>0.16918434674863653</c:v>
                </c:pt>
                <c:pt idx="70">
                  <c:v>0.16981574722061546</c:v>
                </c:pt>
                <c:pt idx="71">
                  <c:v>0.17044412134353759</c:v>
                </c:pt>
                <c:pt idx="72">
                  <c:v>0.17106957467728295</c:v>
                </c:pt>
                <c:pt idx="73">
                  <c:v>0.17169220905637531</c:v>
                </c:pt>
                <c:pt idx="74">
                  <c:v>0.17231212278414221</c:v>
                </c:pt>
                <c:pt idx="75">
                  <c:v>0.17292941081458654</c:v>
                </c:pt>
                <c:pt idx="76">
                  <c:v>0.17354416492290492</c:v>
                </c:pt>
                <c:pt idx="77">
                  <c:v>0.17415647386550628</c:v>
                </c:pt>
                <c:pt idx="78">
                  <c:v>0.17476642353030911</c:v>
                </c:pt>
                <c:pt idx="79">
                  <c:v>0.1753740970780297</c:v>
                </c:pt>
                <c:pt idx="80">
                  <c:v>0.17597957507511353</c:v>
                </c:pt>
                <c:pt idx="81">
                  <c:v>0.1765829356189067</c:v>
                </c:pt>
                <c:pt idx="82">
                  <c:v>0.17718425445561603</c:v>
                </c:pt>
                <c:pt idx="83">
                  <c:v>0.17778360509156108</c:v>
                </c:pt>
                <c:pt idx="84">
                  <c:v>0.17838105889818057</c:v>
                </c:pt>
                <c:pt idx="85">
                  <c:v>0.17897668521121979</c:v>
                </c:pt>
                <c:pt idx="86">
                  <c:v>0.17957055142449097</c:v>
                </c:pt>
                <c:pt idx="87">
                  <c:v>0.18016272307856884</c:v>
                </c:pt>
                <c:pt idx="88">
                  <c:v>0.18075326394475535</c:v>
                </c:pt>
                <c:pt idx="89">
                  <c:v>0.18134223610462238</c:v>
                </c:pt>
                <c:pt idx="90">
                  <c:v>0.18192970002541789</c:v>
                </c:pt>
                <c:pt idx="91">
                  <c:v>0.18251571463159982</c:v>
                </c:pt>
                <c:pt idx="92">
                  <c:v>0.18310033737274264</c:v>
                </c:pt>
                <c:pt idx="93">
                  <c:v>0.18368362428804372</c:v>
                </c:pt>
                <c:pt idx="94">
                  <c:v>0.18426563006764013</c:v>
                </c:pt>
                <c:pt idx="95">
                  <c:v>0.18484640811093181</c:v>
                </c:pt>
                <c:pt idx="96">
                  <c:v>0.1854260105820929</c:v>
                </c:pt>
                <c:pt idx="97">
                  <c:v>0.18600448846294079</c:v>
                </c:pt>
                <c:pt idx="98">
                  <c:v>0.18658189160332062</c:v>
                </c:pt>
                <c:pt idx="99">
                  <c:v>0.18715826876915176</c:v>
                </c:pt>
                <c:pt idx="100">
                  <c:v>0.18773366768827382</c:v>
                </c:pt>
                <c:pt idx="101">
                  <c:v>0.18830813509421956</c:v>
                </c:pt>
                <c:pt idx="102">
                  <c:v>0.18888171676803484</c:v>
                </c:pt>
                <c:pt idx="103">
                  <c:v>0.18945445757825644</c:v>
                </c:pt>
                <c:pt idx="104">
                  <c:v>0.19002640151915268</c:v>
                </c:pt>
                <c:pt idx="105">
                  <c:v>0.19059759174732469</c:v>
                </c:pt>
                <c:pt idx="106">
                  <c:v>0.19116807061675939</c:v>
                </c:pt>
                <c:pt idx="107">
                  <c:v>0.19173787971242032</c:v>
                </c:pt>
                <c:pt idx="108">
                  <c:v>0.19230705988245692</c:v>
                </c:pt>
                <c:pt idx="109">
                  <c:v>0.19287565126910744</c:v>
                </c:pt>
                <c:pt idx="110">
                  <c:v>0.19344369333836681</c:v>
                </c:pt>
                <c:pt idx="111">
                  <c:v>0.1940112249084858</c:v>
                </c:pt>
                <c:pt idx="112">
                  <c:v>0.19457828417736459</c:v>
                </c:pt>
                <c:pt idx="113">
                  <c:v>0.19514490874889931</c:v>
                </c:pt>
                <c:pt idx="114">
                  <c:v>0.19571113565833773</c:v>
                </c:pt>
                <c:pt idx="115">
                  <c:v>0.19627700139669579</c:v>
                </c:pt>
                <c:pt idx="116">
                  <c:v>0.19684254193428477</c:v>
                </c:pt>
                <c:pt idx="117">
                  <c:v>0.19740779274339612</c:v>
                </c:pt>
                <c:pt idx="118">
                  <c:v>0.19797278882018679</c:v>
                </c:pt>
                <c:pt idx="119">
                  <c:v>0.19853756470580769</c:v>
                </c:pt>
                <c:pt idx="120">
                  <c:v>0.19910215450681457</c:v>
                </c:pt>
                <c:pt idx="121">
                  <c:v>0.1996665919148975</c:v>
                </c:pt>
                <c:pt idx="122">
                  <c:v>0.20023091022596529</c:v>
                </c:pt>
                <c:pt idx="123">
                  <c:v>0.20079514235861784</c:v>
                </c:pt>
                <c:pt idx="124">
                  <c:v>0.20135932087203767</c:v>
                </c:pt>
                <c:pt idx="125">
                  <c:v>0.20192347798333105</c:v>
                </c:pt>
                <c:pt idx="126">
                  <c:v>0.20248764558434715</c:v>
                </c:pt>
                <c:pt idx="127">
                  <c:v>0.20305185525800226</c:v>
                </c:pt>
                <c:pt idx="128">
                  <c:v>0.20361613829413433</c:v>
                </c:pt>
                <c:pt idx="129">
                  <c:v>0.2041805257049133</c:v>
                </c:pt>
                <c:pt idx="130">
                  <c:v>0.20474504823982942</c:v>
                </c:pt>
                <c:pt idx="131">
                  <c:v>0.20530973640028255</c:v>
                </c:pt>
                <c:pt idx="132">
                  <c:v>0.20587462045379329</c:v>
                </c:pt>
                <c:pt idx="133">
                  <c:v>0.2064397304478558</c:v>
                </c:pt>
                <c:pt idx="134">
                  <c:v>0.20700509622345264</c:v>
                </c:pt>
                <c:pt idx="135">
                  <c:v>0.20757074742824871</c:v>
                </c:pt>
                <c:pt idx="136">
                  <c:v>0.20813671352948304</c:v>
                </c:pt>
                <c:pt idx="137">
                  <c:v>0.20870302382657469</c:v>
                </c:pt>
                <c:pt idx="138">
                  <c:v>0.20926970746345927</c:v>
                </c:pt>
                <c:pt idx="139">
                  <c:v>0.20983679344067152</c:v>
                </c:pt>
                <c:pt idx="140">
                  <c:v>0.21040431062718867</c:v>
                </c:pt>
                <c:pt idx="141">
                  <c:v>0.21097228777204929</c:v>
                </c:pt>
                <c:pt idx="142">
                  <c:v>0.21154075351576115</c:v>
                </c:pt>
                <c:pt idx="143">
                  <c:v>0.21210973640151154</c:v>
                </c:pt>
                <c:pt idx="144">
                  <c:v>0.21267926488619243</c:v>
                </c:pt>
                <c:pt idx="145">
                  <c:v>0.21324936735125385</c:v>
                </c:pt>
                <c:pt idx="146">
                  <c:v>0.21382007211339621</c:v>
                </c:pt>
                <c:pt idx="147">
                  <c:v>0.21439140743511387</c:v>
                </c:pt>
                <c:pt idx="148">
                  <c:v>0.21496340153510116</c:v>
                </c:pt>
                <c:pt idx="149">
                  <c:v>0.21553608259853141</c:v>
                </c:pt>
                <c:pt idx="150">
                  <c:v>0.21610947878721976</c:v>
                </c:pt>
                <c:pt idx="151">
                  <c:v>0.21668361824967999</c:v>
                </c:pt>
                <c:pt idx="152">
                  <c:v>0.21725852913108543</c:v>
                </c:pt>
                <c:pt idx="153">
                  <c:v>0.21783423958314335</c:v>
                </c:pt>
                <c:pt idx="154">
                  <c:v>0.21841077777389312</c:v>
                </c:pt>
                <c:pt idx="155">
                  <c:v>0.21898817189743652</c:v>
                </c:pt>
                <c:pt idx="156">
                  <c:v>0.21956645018361026</c:v>
                </c:pt>
                <c:pt idx="157">
                  <c:v>0.2201456409076088</c:v>
                </c:pt>
                <c:pt idx="158">
                  <c:v>0.22072577239956706</c:v>
                </c:pt>
                <c:pt idx="159">
                  <c:v>0.22130687305411104</c:v>
                </c:pt>
                <c:pt idx="160">
                  <c:v>0.22188897133988555</c:v>
                </c:pt>
                <c:pt idx="161">
                  <c:v>0.22247209580906671</c:v>
                </c:pt>
                <c:pt idx="162">
                  <c:v>0.2230562751068684</c:v>
                </c:pt>
                <c:pt idx="163">
                  <c:v>0.22364153798105008</c:v>
                </c:pt>
                <c:pt idx="164">
                  <c:v>0.22422791329143515</c:v>
                </c:pt>
                <c:pt idx="165">
                  <c:v>0.22481543001944704</c:v>
                </c:pt>
                <c:pt idx="166">
                  <c:v>0.22540411727767171</c:v>
                </c:pt>
                <c:pt idx="167">
                  <c:v>0.22599400431945488</c:v>
                </c:pt>
                <c:pt idx="168">
                  <c:v>0.22658512054854113</c:v>
                </c:pt>
                <c:pt idx="169">
                  <c:v>0.22717749552876421</c:v>
                </c:pt>
                <c:pt idx="170">
                  <c:v>0.22777115899379549</c:v>
                </c:pt>
                <c:pt idx="171">
                  <c:v>0.2283661408569598</c:v>
                </c:pt>
                <c:pt idx="172">
                  <c:v>0.22896247122112579</c:v>
                </c:pt>
                <c:pt idx="173">
                  <c:v>0.22956018038867981</c:v>
                </c:pt>
                <c:pt idx="174">
                  <c:v>0.23015929887159145</c:v>
                </c:pt>
                <c:pt idx="175">
                  <c:v>0.23075985740157887</c:v>
                </c:pt>
                <c:pt idx="176">
                  <c:v>0.2313618869403827</c:v>
                </c:pt>
                <c:pt idx="177">
                  <c:v>0.23196541869015691</c:v>
                </c:pt>
                <c:pt idx="178">
                  <c:v>0.2325704841039857</c:v>
                </c:pt>
                <c:pt idx="179">
                  <c:v>0.23317711489653481</c:v>
                </c:pt>
                <c:pt idx="180">
                  <c:v>0.23378534305484652</c:v>
                </c:pt>
                <c:pt idx="181">
                  <c:v>0.23439520084928778</c:v>
                </c:pt>
                <c:pt idx="182">
                  <c:v>0.23500672084466023</c:v>
                </c:pt>
                <c:pt idx="183">
                  <c:v>0.23561993591148206</c:v>
                </c:pt>
                <c:pt idx="184">
                  <c:v>0.23623487923745148</c:v>
                </c:pt>
                <c:pt idx="185">
                  <c:v>0.23685158433910167</c:v>
                </c:pt>
                <c:pt idx="186">
                  <c:v>0.23747008507365744</c:v>
                </c:pt>
                <c:pt idx="187">
                  <c:v>0.23809041565110417</c:v>
                </c:pt>
                <c:pt idx="188">
                  <c:v>0.23871261064647972</c:v>
                </c:pt>
                <c:pt idx="189">
                  <c:v>0.2393367050124004</c:v>
                </c:pt>
                <c:pt idx="190">
                  <c:v>0.23996273409183258</c:v>
                </c:pt>
                <c:pt idx="191">
                  <c:v>0.2405907336311211</c:v>
                </c:pt>
                <c:pt idx="192">
                  <c:v>0.2412207397932872</c:v>
                </c:pt>
                <c:pt idx="193">
                  <c:v>0.24185278917160802</c:v>
                </c:pt>
                <c:pt idx="194">
                  <c:v>0.24248691880349046</c:v>
                </c:pt>
                <c:pt idx="195">
                  <c:v>0.2431231661846531</c:v>
                </c:pt>
                <c:pt idx="196">
                  <c:v>0.24376156928362919</c:v>
                </c:pt>
                <c:pt idx="197">
                  <c:v>0.24440216655660538</c:v>
                </c:pt>
                <c:pt idx="198">
                  <c:v>0.24504499696261089</c:v>
                </c:pt>
                <c:pt idx="199">
                  <c:v>0.24569009997907179</c:v>
                </c:pt>
                <c:pt idx="200">
                  <c:v>0.2463375156177465</c:v>
                </c:pt>
                <c:pt idx="201">
                  <c:v>0.24698728444105922</c:v>
                </c:pt>
                <c:pt idx="202">
                  <c:v>0.24763944757884676</c:v>
                </c:pt>
                <c:pt idx="203">
                  <c:v>0.24829404674553845</c:v>
                </c:pt>
                <c:pt idx="204">
                  <c:v>0.24895112425778521</c:v>
                </c:pt>
                <c:pt idx="205">
                  <c:v>0.2496107230525583</c:v>
                </c:pt>
                <c:pt idx="206">
                  <c:v>0.25027288670573705</c:v>
                </c:pt>
                <c:pt idx="207">
                  <c:v>0.25093765945120516</c:v>
                </c:pt>
                <c:pt idx="208">
                  <c:v>0.25160508620047844</c:v>
                </c:pt>
                <c:pt idx="209">
                  <c:v>0.25227521256288526</c:v>
                </c:pt>
                <c:pt idx="210">
                  <c:v>0.25294808486632264</c:v>
                </c:pt>
                <c:pt idx="211">
                  <c:v>0.25362375017861288</c:v>
                </c:pt>
                <c:pt idx="212">
                  <c:v>0.25430225632948555</c:v>
                </c:pt>
                <c:pt idx="213">
                  <c:v>0.25498365193321065</c:v>
                </c:pt>
                <c:pt idx="214">
                  <c:v>0.25566798641191146</c:v>
                </c:pt>
                <c:pt idx="215">
                  <c:v>0.25635531001958412</c:v>
                </c:pt>
                <c:pt idx="216">
                  <c:v>0.25704567386685523</c:v>
                </c:pt>
                <c:pt idx="217">
                  <c:v>0.25773912994650833</c:v>
                </c:pt>
                <c:pt idx="218">
                  <c:v>0.25843573115981111</c:v>
                </c:pt>
                <c:pt idx="219">
                  <c:v>0.25913553134367845</c:v>
                </c:pt>
                <c:pt idx="220">
                  <c:v>0.25983858529870735</c:v>
                </c:pt>
                <c:pt idx="221">
                  <c:v>0.26054494881811924</c:v>
                </c:pt>
                <c:pt idx="222">
                  <c:v>0.26125467871765129</c:v>
                </c:pt>
                <c:pt idx="223">
                  <c:v>0.26196783286643621</c:v>
                </c:pt>
                <c:pt idx="224">
                  <c:v>0.26268447021891395</c:v>
                </c:pt>
                <c:pt idx="225">
                  <c:v>0.26340465084782055</c:v>
                </c:pt>
                <c:pt idx="226">
                  <c:v>0.26412843597830138</c:v>
                </c:pt>
                <c:pt idx="227">
                  <c:v>0.26485588802319815</c:v>
                </c:pt>
                <c:pt idx="228">
                  <c:v>0.26558707061956283</c:v>
                </c:pt>
                <c:pt idx="229">
                  <c:v>0.26632204866645137</c:v>
                </c:pt>
                <c:pt idx="230">
                  <c:v>0.26706088836405684</c:v>
                </c:pt>
                <c:pt idx="231">
                  <c:v>0.26780365725424088</c:v>
                </c:pt>
                <c:pt idx="232">
                  <c:v>0.26855042426252773</c:v>
                </c:pt>
                <c:pt idx="233">
                  <c:v>0.26930125974162777</c:v>
                </c:pt>
                <c:pt idx="234">
                  <c:v>0.27005623551656033</c:v>
                </c:pt>
                <c:pt idx="235">
                  <c:v>0.27081542493145078</c:v>
                </c:pt>
                <c:pt idx="236">
                  <c:v>0.27157890289807879</c:v>
                </c:pt>
                <c:pt idx="237">
                  <c:v>0.27234674594626118</c:v>
                </c:pt>
                <c:pt idx="238">
                  <c:v>0.27311903227615514</c:v>
                </c:pt>
                <c:pt idx="239">
                  <c:v>0.27389584181257337</c:v>
                </c:pt>
                <c:pt idx="240">
                  <c:v>0.27467725626140804</c:v>
                </c:pt>
                <c:pt idx="241">
                  <c:v>0.27546335916826459</c:v>
                </c:pt>
                <c:pt idx="242">
                  <c:v>0.27625423597941384</c:v>
                </c:pt>
                <c:pt idx="243">
                  <c:v>0.27704997410517462</c:v>
                </c:pt>
                <c:pt idx="244">
                  <c:v>0.27785066298584826</c:v>
                </c:pt>
                <c:pt idx="245">
                  <c:v>0.278656394160331</c:v>
                </c:pt>
                <c:pt idx="246">
                  <c:v>0.27946726133753874</c:v>
                </c:pt>
                <c:pt idx="247">
                  <c:v>0.28028336047078639</c:v>
                </c:pt>
                <c:pt idx="248">
                  <c:v>0.28110478983527204</c:v>
                </c:pt>
                <c:pt idx="249">
                  <c:v>0.28193165010882565</c:v>
                </c:pt>
                <c:pt idx="250">
                  <c:v>0.28276404445609071</c:v>
                </c:pt>
                <c:pt idx="251">
                  <c:v>0.28360207861631853</c:v>
                </c:pt>
                <c:pt idx="252">
                  <c:v>0.28444586099496516</c:v>
                </c:pt>
                <c:pt idx="253">
                  <c:v>0.28529550275929266</c:v>
                </c:pt>
                <c:pt idx="254">
                  <c:v>0.28615111793818876</c:v>
                </c:pt>
                <c:pt idx="255">
                  <c:v>0.28701282352643348</c:v>
                </c:pt>
                <c:pt idx="256">
                  <c:v>0.28788073959365429</c:v>
                </c:pt>
                <c:pt idx="257">
                  <c:v>0.28875498939822741</c:v>
                </c:pt>
                <c:pt idx="258">
                  <c:v>0.28963569950640033</c:v>
                </c:pt>
                <c:pt idx="259">
                  <c:v>0.29052299991692654</c:v>
                </c:pt>
                <c:pt idx="260">
                  <c:v>0.29141702419152488</c:v>
                </c:pt>
                <c:pt idx="261">
                  <c:v>0.29231790959149456</c:v>
                </c:pt>
                <c:pt idx="262">
                  <c:v>0.29322579722084058</c:v>
                </c:pt>
                <c:pt idx="263">
                  <c:v>0.29414083217628756</c:v>
                </c:pt>
                <c:pt idx="264">
                  <c:v>0.29506316370458613</c:v>
                </c:pt>
                <c:pt idx="265">
                  <c:v>0.29599294536754239</c:v>
                </c:pt>
                <c:pt idx="266">
                  <c:v>0.29693033521523493</c:v>
                </c:pt>
                <c:pt idx="267">
                  <c:v>0.29787549596791052</c:v>
                </c:pt>
                <c:pt idx="268">
                  <c:v>0.2988285952070906</c:v>
                </c:pt>
                <c:pt idx="269">
                  <c:v>0.29978980557645418</c:v>
                </c:pt>
                <c:pt idx="270">
                  <c:v>0.30075930499310716</c:v>
                </c:pt>
                <c:pt idx="271">
                  <c:v>0.30173727686988999</c:v>
                </c:pt>
                <c:pt idx="272">
                  <c:v>0.30272391034942686</c:v>
                </c:pt>
                <c:pt idx="273">
                  <c:v>0.30371940055066815</c:v>
                </c:pt>
                <c:pt idx="274">
                  <c:v>0.30472394882874015</c:v>
                </c:pt>
                <c:pt idx="275">
                  <c:v>0.30573776304897327</c:v>
                </c:pt>
                <c:pt idx="276">
                  <c:v>0.30676105787605029</c:v>
                </c:pt>
                <c:pt idx="277">
                  <c:v>0.30779405507928848</c:v>
                </c:pt>
                <c:pt idx="278">
                  <c:v>0.30883698385515174</c:v>
                </c:pt>
                <c:pt idx="279">
                  <c:v>0.3098900811681724</c:v>
                </c:pt>
                <c:pt idx="280">
                  <c:v>0.31095359211156315</c:v>
                </c:pt>
                <c:pt idx="281">
                  <c:v>0.31202777028889989</c:v>
                </c:pt>
                <c:pt idx="282">
                  <c:v>0.3131128782183728</c:v>
                </c:pt>
                <c:pt idx="283">
                  <c:v>0.31420918776122936</c:v>
                </c:pt>
                <c:pt idx="284">
                  <c:v>0.31531698057616731</c:v>
                </c:pt>
                <c:pt idx="285">
                  <c:v>0.31643654860159154</c:v>
                </c:pt>
                <c:pt idx="286">
                  <c:v>0.31756819456781094</c:v>
                </c:pt>
                <c:pt idx="287">
                  <c:v>0.31871223254143594</c:v>
                </c:pt>
                <c:pt idx="288">
                  <c:v>0.31986898850443979</c:v>
                </c:pt>
                <c:pt idx="289">
                  <c:v>0.32103880097056819</c:v>
                </c:pt>
                <c:pt idx="290">
                  <c:v>0.3222220216420264</c:v>
                </c:pt>
                <c:pt idx="291">
                  <c:v>0.32341901610964796</c:v>
                </c:pt>
                <c:pt idx="292">
                  <c:v>0.3246301646000474</c:v>
                </c:pt>
                <c:pt idx="293">
                  <c:v>0.32585586277359202</c:v>
                </c:pt>
                <c:pt idx="294">
                  <c:v>0.32709652257740363</c:v>
                </c:pt>
                <c:pt idx="295">
                  <c:v>0.32835257315800609</c:v>
                </c:pt>
                <c:pt idx="296">
                  <c:v>0.32962446183869898</c:v>
                </c:pt>
                <c:pt idx="297">
                  <c:v>0.33091265516724622</c:v>
                </c:pt>
                <c:pt idx="298">
                  <c:v>0.33221764004004112</c:v>
                </c:pt>
                <c:pt idx="299">
                  <c:v>0.33353992490954704</c:v>
                </c:pt>
                <c:pt idx="300">
                  <c:v>0</c:v>
                </c:pt>
              </c:numCache>
            </c:numRef>
          </c:xVal>
          <c:yVal>
            <c:numRef>
              <c:f>'EVA Calcs'!$E$35:$E$335</c:f>
              <c:numCache>
                <c:formatCode>0.000</c:formatCode>
                <c:ptCount val="301"/>
                <c:pt idx="0">
                  <c:v>-1.7758607260199126</c:v>
                </c:pt>
                <c:pt idx="1">
                  <c:v>-1.6510048455776358</c:v>
                </c:pt>
                <c:pt idx="2">
                  <c:v>-1.5700210884047221</c:v>
                </c:pt>
                <c:pt idx="3">
                  <c:v>-1.5083056643593835</c:v>
                </c:pt>
                <c:pt idx="4">
                  <c:v>-1.457666651188656</c:v>
                </c:pt>
                <c:pt idx="5">
                  <c:v>-1.4142991358127015</c:v>
                </c:pt>
                <c:pt idx="6">
                  <c:v>-1.3761055558312669</c:v>
                </c:pt>
                <c:pt idx="7">
                  <c:v>-1.3417990413120324</c:v>
                </c:pt>
                <c:pt idx="8">
                  <c:v>-1.3105296671689599</c:v>
                </c:pt>
                <c:pt idx="9">
                  <c:v>-1.2817048689971569</c:v>
                </c:pt>
                <c:pt idx="10">
                  <c:v>-1.2548940034426439</c:v>
                </c:pt>
                <c:pt idx="11">
                  <c:v>-1.2297736411259936</c:v>
                </c:pt>
                <c:pt idx="12">
                  <c:v>-1.206094299540645</c:v>
                </c:pt>
                <c:pt idx="13">
                  <c:v>-1.1836592291605523</c:v>
                </c:pt>
                <c:pt idx="14">
                  <c:v>-1.1623103463878419</c:v>
                </c:pt>
                <c:pt idx="15">
                  <c:v>-1.1419185949894988</c:v>
                </c:pt>
                <c:pt idx="16">
                  <c:v>-1.1223771552623278</c:v>
                </c:pt>
                <c:pt idx="17">
                  <c:v>-1.1035965433274471</c:v>
                </c:pt>
                <c:pt idx="18">
                  <c:v>-1.0855009997724492</c:v>
                </c:pt>
                <c:pt idx="19">
                  <c:v>-1.0680257790947789</c:v>
                </c:pt>
                <c:pt idx="20">
                  <c:v>-1.0511150818848136</c:v>
                </c:pt>
                <c:pt idx="21">
                  <c:v>-1.0347204542755852</c:v>
                </c:pt>
                <c:pt idx="22">
                  <c:v>-1.0187995328211383</c:v>
                </c:pt>
                <c:pt idx="23">
                  <c:v>-1.0033150486058284</c:v>
                </c:pt>
                <c:pt idx="24">
                  <c:v>-0.98823402856251119</c:v>
                </c:pt>
                <c:pt idx="25">
                  <c:v>-0.9735271486842928</c:v>
                </c:pt>
                <c:pt idx="26">
                  <c:v>-0.95916820555626825</c:v>
                </c:pt>
                <c:pt idx="27">
                  <c:v>-0.94513368101394435</c:v>
                </c:pt>
                <c:pt idx="28">
                  <c:v>-0.93140238080105531</c:v>
                </c:pt>
                <c:pt idx="29">
                  <c:v>-0.91795513254753835</c:v>
                </c:pt>
                <c:pt idx="30">
                  <c:v>-0.90477453168930655</c:v>
                </c:pt>
                <c:pt idx="31">
                  <c:v>-0.89184472642822787</c:v>
                </c:pt>
                <c:pt idx="32">
                  <c:v>-0.87915123470829337</c:v>
                </c:pt>
                <c:pt idx="33">
                  <c:v>-0.8666807876209639</c:v>
                </c:pt>
                <c:pt idx="34">
                  <c:v>-0.85442119476232992</c:v>
                </c:pt>
                <c:pt idx="35">
                  <c:v>-0.84236122792875645</c:v>
                </c:pt>
                <c:pt idx="36">
                  <c:v>-0.83049052021574266</c:v>
                </c:pt>
                <c:pt idx="37">
                  <c:v>-0.81879947812076181</c:v>
                </c:pt>
                <c:pt idx="38">
                  <c:v>-0.80727920467752934</c:v>
                </c:pt>
                <c:pt idx="39">
                  <c:v>-0.79592143199101972</c:v>
                </c:pt>
                <c:pt idx="40">
                  <c:v>-0.78471846181813831</c:v>
                </c:pt>
                <c:pt idx="41">
                  <c:v>-0.77366311306242552</c:v>
                </c:pt>
                <c:pt idx="42">
                  <c:v>-0.76274867523336187</c:v>
                </c:pt>
                <c:pt idx="43">
                  <c:v>-0.75196886707016575</c:v>
                </c:pt>
                <c:pt idx="44">
                  <c:v>-0.74131779965297839</c:v>
                </c:pt>
                <c:pt idx="45">
                  <c:v>-0.73078994342610726</c:v>
                </c:pt>
                <c:pt idx="46">
                  <c:v>-0.72038009864262165</c:v>
                </c:pt>
                <c:pt idx="47">
                  <c:v>-0.71008336881022838</c:v>
                </c:pt>
                <c:pt idx="48">
                  <c:v>-0.6998951367775833</c:v>
                </c:pt>
                <c:pt idx="49">
                  <c:v>-0.68981104315002129</c:v>
                </c:pt>
                <c:pt idx="50">
                  <c:v>-0.67982696676579046</c:v>
                </c:pt>
                <c:pt idx="51">
                  <c:v>-0.66993900699956543</c:v>
                </c:pt>
                <c:pt idx="52">
                  <c:v>-0.66014346769037424</c:v>
                </c:pt>
                <c:pt idx="53">
                  <c:v>-0.65043684251698197</c:v>
                </c:pt>
                <c:pt idx="54">
                  <c:v>-0.64081580166596297</c:v>
                </c:pt>
                <c:pt idx="55">
                  <c:v>-0.6312771796567419</c:v>
                </c:pt>
                <c:pt idx="56">
                  <c:v>-0.62181796420429791</c:v>
                </c:pt>
                <c:pt idx="57">
                  <c:v>-0.61243528601439234</c:v>
                </c:pt>
                <c:pt idx="58">
                  <c:v>-0.60312640941846263</c:v>
                </c:pt>
                <c:pt idx="59">
                  <c:v>-0.59388872376597768</c:v>
                </c:pt>
                <c:pt idx="60">
                  <c:v>-0.58471973550133338</c:v>
                </c:pt>
                <c:pt idx="61">
                  <c:v>-0.5756170608604565</c:v>
                </c:pt>
                <c:pt idx="62">
                  <c:v>-0.56657841912937545</c:v>
                </c:pt>
                <c:pt idx="63">
                  <c:v>-0.55760162641321787</c:v>
                </c:pt>
                <c:pt idx="64">
                  <c:v>-0.54868458986955226</c:v>
                </c:pt>
                <c:pt idx="65">
                  <c:v>-0.53982530236479342</c:v>
                </c:pt>
                <c:pt idx="66">
                  <c:v>-0.53102183751662624</c:v>
                </c:pt>
                <c:pt idx="67">
                  <c:v>-0.52227234508915088</c:v>
                </c:pt>
                <c:pt idx="68">
                  <c:v>-0.51357504671076604</c:v>
                </c:pt>
                <c:pt idx="69">
                  <c:v>-0.50492823188775338</c:v>
                </c:pt>
                <c:pt idx="70">
                  <c:v>-0.49633025428914096</c:v>
                </c:pt>
                <c:pt idx="71">
                  <c:v>-0.48777952828075433</c:v>
                </c:pt>
                <c:pt idx="72">
                  <c:v>-0.47927452568844409</c:v>
                </c:pt>
                <c:pt idx="73">
                  <c:v>-0.47081377277233044</c:v>
                </c:pt>
                <c:pt idx="74">
                  <c:v>-0.46239584739557771</c:v>
                </c:pt>
                <c:pt idx="75">
                  <c:v>-0.45401937637268741</c:v>
                </c:pt>
                <c:pt idx="76">
                  <c:v>-0.44568303298365097</c:v>
                </c:pt>
                <c:pt idx="77">
                  <c:v>-0.43738553464149199</c:v>
                </c:pt>
                <c:pt idx="78">
                  <c:v>-0.42912564070182152</c:v>
                </c:pt>
                <c:pt idx="79">
                  <c:v>-0.42090215040399603</c:v>
                </c:pt>
                <c:pt idx="80">
                  <c:v>-0.41271390093435911</c:v>
                </c:pt>
                <c:pt idx="81">
                  <c:v>-0.40455976560283174</c:v>
                </c:pt>
                <c:pt idx="82">
                  <c:v>-0.39643865212485169</c:v>
                </c:pt>
                <c:pt idx="83">
                  <c:v>-0.38834950100130139</c:v>
                </c:pt>
                <c:pt idx="84">
                  <c:v>-0.38029128398966855</c:v>
                </c:pt>
                <c:pt idx="85">
                  <c:v>-0.37226300266021378</c:v>
                </c:pt>
                <c:pt idx="86">
                  <c:v>-0.36426368703141376</c:v>
                </c:pt>
                <c:pt idx="87">
                  <c:v>-0.35629239427939585</c:v>
                </c:pt>
                <c:pt idx="88">
                  <c:v>-0.34834820751647977</c:v>
                </c:pt>
                <c:pt idx="89">
                  <c:v>-0.34043023463432309</c:v>
                </c:pt>
                <c:pt idx="90">
                  <c:v>-0.33253760720749648</c:v>
                </c:pt>
                <c:pt idx="91">
                  <c:v>-0.32466947945363273</c:v>
                </c:pt>
                <c:pt idx="92">
                  <c:v>-0.31682502724657124</c:v>
                </c:pt>
                <c:pt idx="93">
                  <c:v>-0.30900344717918454</c:v>
                </c:pt>
                <c:pt idx="94">
                  <c:v>-0.30120395567280694</c:v>
                </c:pt>
                <c:pt idx="95">
                  <c:v>-0.29342578813041098</c:v>
                </c:pt>
                <c:pt idx="96">
                  <c:v>-0.28566819813087108</c:v>
                </c:pt>
                <c:pt idx="97">
                  <c:v>-0.27793045666184557</c:v>
                </c:pt>
                <c:pt idx="98">
                  <c:v>-0.27021185138897263</c:v>
                </c:pt>
                <c:pt idx="99">
                  <c:v>-0.26251168595923879</c:v>
                </c:pt>
                <c:pt idx="100">
                  <c:v>-0.25482927933651867</c:v>
                </c:pt>
                <c:pt idx="101">
                  <c:v>-0.24716396516741851</c:v>
                </c:pt>
                <c:pt idx="102">
                  <c:v>-0.23951509117568312</c:v>
                </c:pt>
                <c:pt idx="103">
                  <c:v>-0.23188201858353663</c:v>
                </c:pt>
                <c:pt idx="104">
                  <c:v>-0.22426412155843295</c:v>
                </c:pt>
                <c:pt idx="105">
                  <c:v>-0.21666078668378969</c:v>
                </c:pt>
                <c:pt idx="106">
                  <c:v>-0.20907141245237393</c:v>
                </c:pt>
                <c:pt idx="107">
                  <c:v>-0.20149540878108285</c:v>
                </c:pt>
                <c:pt idx="108">
                  <c:v>-0.19393219654595223</c:v>
                </c:pt>
                <c:pt idx="109">
                  <c:v>-0.18638120713628442</c:v>
                </c:pt>
                <c:pt idx="110">
                  <c:v>-0.17884188202686746</c:v>
                </c:pt>
                <c:pt idx="111">
                  <c:v>-0.17131367236731079</c:v>
                </c:pt>
                <c:pt idx="112">
                  <c:v>-0.16379603858758313</c:v>
                </c:pt>
                <c:pt idx="113">
                  <c:v>-0.15628845001889427</c:v>
                </c:pt>
                <c:pt idx="114">
                  <c:v>-0.14879038452910917</c:v>
                </c:pt>
                <c:pt idx="115">
                  <c:v>-0.14130132817193566</c:v>
                </c:pt>
                <c:pt idx="116">
                  <c:v>-0.1338207748491598</c:v>
                </c:pt>
                <c:pt idx="117">
                  <c:v>-0.12634822598525813</c:v>
                </c:pt>
                <c:pt idx="118">
                  <c:v>-0.11888319021374012</c:v>
                </c:pt>
                <c:pt idx="119">
                  <c:v>-0.11142518307462132</c:v>
                </c:pt>
                <c:pt idx="120">
                  <c:v>-0.10397372672245125</c:v>
                </c:pt>
                <c:pt idx="121">
                  <c:v>-9.6528349644357289E-2</c:v>
                </c:pt>
                <c:pt idx="122">
                  <c:v>-8.9088586387595384E-2</c:v>
                </c:pt>
                <c:pt idx="123">
                  <c:v>-8.1653977296117411E-2</c:v>
                </c:pt>
                <c:pt idx="124">
                  <c:v>-7.4224068255701395E-2</c:v>
                </c:pt>
                <c:pt idx="125">
                  <c:v>-6.6798410447206982E-2</c:v>
                </c:pt>
                <c:pt idx="126">
                  <c:v>-5.9376560107543601E-2</c:v>
                </c:pt>
                <c:pt idx="127">
                  <c:v>-5.1958078297958558E-2</c:v>
                </c:pt>
                <c:pt idx="128">
                  <c:v>-4.454253067927387E-2</c:v>
                </c:pt>
                <c:pt idx="129">
                  <c:v>-3.7129487293716588E-2</c:v>
                </c:pt>
                <c:pt idx="130">
                  <c:v>-2.9718522353005181E-2</c:v>
                </c:pt>
                <c:pt idx="131">
                  <c:v>-2.2309214032372425E-2</c:v>
                </c:pt>
                <c:pt idx="132">
                  <c:v>-1.4901144270219232E-2</c:v>
                </c:pt>
                <c:pt idx="133">
                  <c:v>-7.4938985731052834E-3</c:v>
                </c:pt>
                <c:pt idx="134">
                  <c:v>-8.7065825801786742E-5</c:v>
                </c:pt>
                <c:pt idx="135">
                  <c:v>7.3197618938616715E-3</c:v>
                </c:pt>
                <c:pt idx="136">
                  <c:v>1.4726989495609065E-2</c:v>
                </c:pt>
                <c:pt idx="137">
                  <c:v>2.2135019053031252E-2</c:v>
                </c:pt>
                <c:pt idx="138">
                  <c:v>2.9544249975834172E-2</c:v>
                </c:pt>
                <c:pt idx="139">
                  <c:v>3.695507917824415E-2</c:v>
                </c:pt>
                <c:pt idx="140">
                  <c:v>4.4367901243782051E-2</c:v>
                </c:pt>
                <c:pt idx="141">
                  <c:v>5.1783108586616E-2</c:v>
                </c:pt>
                <c:pt idx="142">
                  <c:v>5.9201091609683974E-2</c:v>
                </c:pt>
                <c:pt idx="143">
                  <c:v>6.6622238859779789E-2</c:v>
                </c:pt>
                <c:pt idx="144">
                  <c:v>7.4046937179782835E-2</c:v>
                </c:pt>
                <c:pt idx="145">
                  <c:v>8.1475571858209E-2</c:v>
                </c:pt>
                <c:pt idx="146">
                  <c:v>8.8908526776249747E-2</c:v>
                </c:pt>
                <c:pt idx="147">
                  <c:v>9.6346184552466255E-2</c:v>
                </c:pt>
                <c:pt idx="148">
                  <c:v>0.10378892668529331</c:v>
                </c:pt>
                <c:pt idx="149">
                  <c:v>0.11123713369351067</c:v>
                </c:pt>
                <c:pt idx="150">
                  <c:v>0.11869118525482614</c:v>
                </c:pt>
                <c:pt idx="151">
                  <c:v>0.12615146034271646</c:v>
                </c:pt>
                <c:pt idx="152">
                  <c:v>0.13361833736166695</c:v>
                </c:pt>
                <c:pt idx="153">
                  <c:v>0.14109219428094424</c:v>
                </c:pt>
                <c:pt idx="154">
                  <c:v>0.14857340876703592</c:v>
                </c:pt>
                <c:pt idx="155">
                  <c:v>0.15606235831488632</c:v>
                </c:pt>
                <c:pt idx="156">
                  <c:v>0.16355942037805526</c:v>
                </c:pt>
                <c:pt idx="157">
                  <c:v>0.17106497249792332</c:v>
                </c:pt>
                <c:pt idx="158">
                  <c:v>0.17857939243206433</c:v>
                </c:pt>
                <c:pt idx="159">
                  <c:v>0.18610305828190474</c:v>
                </c:pt>
                <c:pt idx="160">
                  <c:v>0.19363634861978829</c:v>
                </c:pt>
                <c:pt idx="161">
                  <c:v>0.2011796426155571</c:v>
                </c:pt>
                <c:pt idx="162">
                  <c:v>0.20873332016276666</c:v>
                </c:pt>
                <c:pt idx="163">
                  <c:v>0.21629776200464562</c:v>
                </c:pt>
                <c:pt idx="164">
                  <c:v>0.22387334985991061</c:v>
                </c:pt>
                <c:pt idx="165">
                  <c:v>0.23146046654854555</c:v>
                </c:pt>
                <c:pt idx="166">
                  <c:v>0.23905949611765628</c:v>
                </c:pt>
                <c:pt idx="167">
                  <c:v>0.24667082396750856</c:v>
                </c:pt>
                <c:pt idx="168">
                  <c:v>0.25429483697785427</c:v>
                </c:pt>
                <c:pt idx="169">
                  <c:v>0.26193192363465811</c:v>
                </c:pt>
                <c:pt idx="170">
                  <c:v>0.26958247415732917</c:v>
                </c:pt>
                <c:pt idx="171">
                  <c:v>0.27724688062656555</c:v>
                </c:pt>
                <c:pt idx="172">
                  <c:v>0.28492553711291985</c:v>
                </c:pt>
                <c:pt idx="173">
                  <c:v>0.29261883980619408</c:v>
                </c:pt>
                <c:pt idx="174">
                  <c:v>0.30032718714577333</c:v>
                </c:pt>
                <c:pt idx="175">
                  <c:v>0.30805097995200537</c:v>
                </c:pt>
                <c:pt idx="176">
                  <c:v>0.31579062155873949</c:v>
                </c:pt>
                <c:pt idx="177">
                  <c:v>0.32354651794713363</c:v>
                </c:pt>
                <c:pt idx="178">
                  <c:v>0.33131907788084602</c:v>
                </c:pt>
                <c:pt idx="179">
                  <c:v>0.3391087130427205</c:v>
                </c:pt>
                <c:pt idx="180">
                  <c:v>0.34691583817308647</c:v>
                </c:pt>
                <c:pt idx="181">
                  <c:v>0.35474087120978925</c:v>
                </c:pt>
                <c:pt idx="182">
                  <c:v>0.36258423343006985</c:v>
                </c:pt>
                <c:pt idx="183">
                  <c:v>0.37044634959441686</c:v>
                </c:pt>
                <c:pt idx="184">
                  <c:v>0.37832764809251523</c:v>
                </c:pt>
                <c:pt idx="185">
                  <c:v>0.38622856109141929</c:v>
                </c:pt>
                <c:pt idx="186">
                  <c:v>0.39414952468607772</c:v>
                </c:pt>
                <c:pt idx="187">
                  <c:v>0.40209097905234709</c:v>
                </c:pt>
                <c:pt idx="188">
                  <c:v>0.41005336860262531</c:v>
                </c:pt>
                <c:pt idx="189">
                  <c:v>0.41803714214424792</c:v>
                </c:pt>
                <c:pt idx="190">
                  <c:v>0.42604275304079281</c:v>
                </c:pt>
                <c:pt idx="191">
                  <c:v>0.43407065937643136</c:v>
                </c:pt>
                <c:pt idx="192">
                  <c:v>0.4421213241234907</c:v>
                </c:pt>
                <c:pt idx="193">
                  <c:v>0.45019521531336965</c:v>
                </c:pt>
                <c:pt idx="194">
                  <c:v>0.45829280621098017</c:v>
                </c:pt>
                <c:pt idx="195">
                  <c:v>0.46641457549287352</c:v>
                </c:pt>
                <c:pt idx="196">
                  <c:v>0.47456100742922314</c:v>
                </c:pt>
                <c:pt idx="197">
                  <c:v>0.48273259206984265</c:v>
                </c:pt>
                <c:pt idx="198">
                  <c:v>0.49092982543442254</c:v>
                </c:pt>
                <c:pt idx="199">
                  <c:v>0.4991532097071682</c:v>
                </c:pt>
                <c:pt idx="200">
                  <c:v>0.50740325343604376</c:v>
                </c:pt>
                <c:pt idx="201">
                  <c:v>0.51568047173681986</c:v>
                </c:pt>
                <c:pt idx="202">
                  <c:v>0.52398538650213056</c:v>
                </c:pt>
                <c:pt idx="203">
                  <c:v>0.53231852661577062</c:v>
                </c:pt>
                <c:pt idx="204">
                  <c:v>0.54068042817244211</c:v>
                </c:pt>
                <c:pt idx="205">
                  <c:v>0.54907163470320153</c:v>
                </c:pt>
                <c:pt idx="206">
                  <c:v>0.55749269740684027</c:v>
                </c:pt>
                <c:pt idx="207">
                  <c:v>0.56594417538745556</c:v>
                </c:pt>
                <c:pt idx="208">
                  <c:v>0.57442663589847798</c:v>
                </c:pt>
                <c:pt idx="209">
                  <c:v>0.5829406545934287</c:v>
                </c:pt>
                <c:pt idx="210">
                  <c:v>0.59148681578369056</c:v>
                </c:pt>
                <c:pt idx="211">
                  <c:v>0.60006571270359232</c:v>
                </c:pt>
                <c:pt idx="212">
                  <c:v>0.60867794778312156</c:v>
                </c:pt>
                <c:pt idx="213">
                  <c:v>0.61732413292857857</c:v>
                </c:pt>
                <c:pt idx="214">
                  <c:v>0.62600488981152491</c:v>
                </c:pt>
                <c:pt idx="215">
                  <c:v>0.63472085016636326</c:v>
                </c:pt>
                <c:pt idx="216">
                  <c:v>0.64347265609692939</c:v>
                </c:pt>
                <c:pt idx="217">
                  <c:v>0.65226096039247727</c:v>
                </c:pt>
                <c:pt idx="218">
                  <c:v>0.66108642685345442</c:v>
                </c:pt>
                <c:pt idx="219">
                  <c:v>0.66994973062749807</c:v>
                </c:pt>
                <c:pt idx="220">
                  <c:v>0.67885155855608592</c:v>
                </c:pt>
                <c:pt idx="221">
                  <c:v>0.68779260953229981</c:v>
                </c:pt>
                <c:pt idx="222">
                  <c:v>0.69677359487019419</c:v>
                </c:pt>
                <c:pt idx="223">
                  <c:v>0.70579523868626504</c:v>
                </c:pt>
                <c:pt idx="224">
                  <c:v>0.71485827829355231</c:v>
                </c:pt>
                <c:pt idx="225">
                  <c:v>0.7239634646089349</c:v>
                </c:pt>
                <c:pt idx="226">
                  <c:v>0.73311156257419141</c:v>
                </c:pt>
                <c:pt idx="227">
                  <c:v>0.74230335159144567</c:v>
                </c:pt>
                <c:pt idx="228">
                  <c:v>0.75153962597363688</c:v>
                </c:pt>
                <c:pt idx="229">
                  <c:v>0.76082119541068005</c:v>
                </c:pt>
                <c:pt idx="230">
                  <c:v>0.77014888545203508</c:v>
                </c:pt>
                <c:pt idx="231">
                  <c:v>0.77952353800642071</c:v>
                </c:pt>
                <c:pt idx="232">
                  <c:v>0.78894601185945457</c:v>
                </c:pt>
                <c:pt idx="233">
                  <c:v>0.7984171832100444</c:v>
                </c:pt>
                <c:pt idx="234">
                  <c:v>0.80793794622639659</c:v>
                </c:pt>
                <c:pt idx="235">
                  <c:v>0.81750921362254325</c:v>
                </c:pt>
                <c:pt idx="236">
                  <c:v>0.82713191725636115</c:v>
                </c:pt>
                <c:pt idx="237">
                  <c:v>0.83680700875007819</c:v>
                </c:pt>
                <c:pt idx="238">
                  <c:v>0.84653546013434255</c:v>
                </c:pt>
                <c:pt idx="239">
                  <c:v>0.8563182645169749</c:v>
                </c:pt>
                <c:pt idx="240">
                  <c:v>0.86615643677758269</c:v>
                </c:pt>
                <c:pt idx="241">
                  <c:v>0.87605101428929488</c:v>
                </c:pt>
                <c:pt idx="242">
                  <c:v>0.8860030576689355</c:v>
                </c:pt>
                <c:pt idx="243">
                  <c:v>0.89601365155702328</c:v>
                </c:pt>
                <c:pt idx="244">
                  <c:v>0.90608390542908268</c:v>
                </c:pt>
                <c:pt idx="245">
                  <c:v>0.91621495443981871</c:v>
                </c:pt>
                <c:pt idx="246">
                  <c:v>0.92640796030180084</c:v>
                </c:pt>
                <c:pt idx="247">
                  <c:v>0.93666411220041212</c:v>
                </c:pt>
                <c:pt idx="248">
                  <c:v>0.94698462774689862</c:v>
                </c:pt>
                <c:pt idx="249">
                  <c:v>0.95737075397148563</c:v>
                </c:pt>
                <c:pt idx="250">
                  <c:v>0.96782376835863415</c:v>
                </c:pt>
                <c:pt idx="251">
                  <c:v>0.97834497992663161</c:v>
                </c:pt>
                <c:pt idx="252">
                  <c:v>0.98893573035386051</c:v>
                </c:pt>
                <c:pt idx="253">
                  <c:v>0.99959739515421941</c:v>
                </c:pt>
                <c:pt idx="254">
                  <c:v>1.0103313849043229</c:v>
                </c:pt>
                <c:pt idx="255">
                  <c:v>1.0211391465252881</c:v>
                </c:pt>
                <c:pt idx="256">
                  <c:v>1.0320221646220757</c:v>
                </c:pt>
                <c:pt idx="257">
                  <c:v>1.0429819628835468</c:v>
                </c:pt>
                <c:pt idx="258">
                  <c:v>1.0540201055466094</c:v>
                </c:pt>
                <c:pt idx="259">
                  <c:v>1.0651381989280417</c:v>
                </c:pt>
                <c:pt idx="260">
                  <c:v>1.0763378930278038</c:v>
                </c:pt>
                <c:pt idx="261">
                  <c:v>1.087620883207931</c:v>
                </c:pt>
                <c:pt idx="262">
                  <c:v>1.0989889119513385</c:v>
                </c:pt>
                <c:pt idx="263">
                  <c:v>1.1104437707051966</c:v>
                </c:pt>
                <c:pt idx="264">
                  <c:v>1.1219873018138251</c:v>
                </c:pt>
                <c:pt idx="265">
                  <c:v>1.1336214005464091</c:v>
                </c:pt>
                <c:pt idx="266">
                  <c:v>1.1453480172252111</c:v>
                </c:pt>
                <c:pt idx="267">
                  <c:v>1.1571691594603459</c:v>
                </c:pt>
                <c:pt idx="268">
                  <c:v>1.169086894497614</c:v>
                </c:pt>
                <c:pt idx="269">
                  <c:v>1.181103351686366</c:v>
                </c:pt>
                <c:pt idx="270">
                  <c:v>1.1932207250748688</c:v>
                </c:pt>
                <c:pt idx="271">
                  <c:v>1.2054412761411846</c:v>
                </c:pt>
                <c:pt idx="272">
                  <c:v>1.2177673366681907</c:v>
                </c:pt>
                <c:pt idx="273">
                  <c:v>1.230201311771979</c:v>
                </c:pt>
                <c:pt idx="274">
                  <c:v>1.2427456830936101</c:v>
                </c:pt>
                <c:pt idx="275">
                  <c:v>1.2554030121649324</c:v>
                </c:pt>
                <c:pt idx="276">
                  <c:v>1.2681759439600142</c:v>
                </c:pt>
                <c:pt idx="277">
                  <c:v>1.2810672106446452</c:v>
                </c:pt>
                <c:pt idx="278">
                  <c:v>1.2940796355373445</c:v>
                </c:pt>
                <c:pt idx="279">
                  <c:v>1.3072161372963769</c:v>
                </c:pt>
                <c:pt idx="280">
                  <c:v>1.3204797343484771</c:v>
                </c:pt>
                <c:pt idx="281">
                  <c:v>1.3338735495762419</c:v>
                </c:pt>
                <c:pt idx="282">
                  <c:v>1.3474008152825661</c:v>
                </c:pt>
                <c:pt idx="283">
                  <c:v>1.3610648784520463</c:v>
                </c:pt>
                <c:pt idx="284">
                  <c:v>1.3748692063309458</c:v>
                </c:pt>
                <c:pt idx="285">
                  <c:v>1.3888173923491949</c:v>
                </c:pt>
                <c:pt idx="286">
                  <c:v>1.4029131624099209</c:v>
                </c:pt>
                <c:pt idx="287">
                  <c:v>1.4171603815742526</c:v>
                </c:pt>
                <c:pt idx="288">
                  <c:v>1.4315630611716292</c:v>
                </c:pt>
                <c:pt idx="289">
                  <c:v>1.4461253663685623</c:v>
                </c:pt>
                <c:pt idx="290">
                  <c:v>1.4608516242318079</c:v>
                </c:pt>
                <c:pt idx="291">
                  <c:v>1.4757463323252655</c:v>
                </c:pt>
                <c:pt idx="292">
                  <c:v>1.4908141678835924</c:v>
                </c:pt>
                <c:pt idx="293">
                  <c:v>1.5060599976096136</c:v>
                </c:pt>
                <c:pt idx="294">
                  <c:v>1.521488888147184</c:v>
                </c:pt>
                <c:pt idx="295">
                  <c:v>1.5371061172861742</c:v>
                </c:pt>
                <c:pt idx="296">
                  <c:v>1.5529171859619177</c:v>
                </c:pt>
                <c:pt idx="297">
                  <c:v>1.5689278311177155</c:v>
                </c:pt>
                <c:pt idx="298">
                  <c:v>1.5851440395059995</c:v>
                </c:pt>
                <c:pt idx="299">
                  <c:v>1.6015720625116241</c:v>
                </c:pt>
                <c:pt idx="300">
                  <c:v>0</c:v>
                </c:pt>
              </c:numCache>
            </c:numRef>
          </c:yVal>
          <c:smooth val="0"/>
          <c:extLst>
            <c:ext xmlns:c16="http://schemas.microsoft.com/office/drawing/2014/chart" uri="{C3380CC4-5D6E-409C-BE32-E72D297353CC}">
              <c16:uniqueId val="{0000000A-DEB8-46AA-A96E-0482BD366A3C}"/>
            </c:ext>
          </c:extLst>
        </c:ser>
        <c:dLbls>
          <c:showLegendKey val="0"/>
          <c:showVal val="0"/>
          <c:showCatName val="0"/>
          <c:showSerName val="0"/>
          <c:showPercent val="0"/>
          <c:showBubbleSize val="0"/>
        </c:dLbls>
        <c:axId val="416759640"/>
        <c:axId val="1"/>
      </c:scatterChart>
      <c:valAx>
        <c:axId val="416759640"/>
        <c:scaling>
          <c:orientation val="minMax"/>
          <c:min val="0"/>
        </c:scaling>
        <c:delete val="0"/>
        <c:axPos val="b"/>
        <c:majorGridlines>
          <c:spPr>
            <a:ln w="3175">
              <a:solidFill>
                <a:srgbClr val="C0C0C0"/>
              </a:solidFill>
              <a:prstDash val="solid"/>
            </a:ln>
          </c:spPr>
        </c:majorGridlines>
        <c:title>
          <c:tx>
            <c:rich>
              <a:bodyPr/>
              <a:lstStyle/>
              <a:p>
                <a:pPr>
                  <a:defRPr sz="2000" b="1" i="0" u="none" strike="noStrike" baseline="0">
                    <a:solidFill>
                      <a:srgbClr val="000000"/>
                    </a:solidFill>
                    <a:latin typeface="Arial"/>
                    <a:ea typeface="Arial"/>
                    <a:cs typeface="Arial"/>
                  </a:defRPr>
                </a:pPr>
                <a:r>
                  <a:rPr lang="en-US"/>
                  <a:t>Maximum Wall Loss (mm)</a:t>
                </a:r>
              </a:p>
            </c:rich>
          </c:tx>
          <c:layout>
            <c:manualLayout>
              <c:xMode val="edge"/>
              <c:yMode val="edge"/>
              <c:x val="0.34850172061825607"/>
              <c:y val="0.84615376680535015"/>
            </c:manualLayout>
          </c:layout>
          <c:overlay val="0"/>
          <c:spPr>
            <a:noFill/>
            <a:ln w="25400">
              <a:noFill/>
            </a:ln>
          </c:spPr>
        </c:title>
        <c:numFmt formatCode="0.000" sourceLinked="0"/>
        <c:majorTickMark val="out"/>
        <c:minorTickMark val="out"/>
        <c:tickLblPos val="low"/>
        <c:spPr>
          <a:ln w="9525">
            <a:noFill/>
          </a:ln>
        </c:spPr>
        <c:txPr>
          <a:bodyPr rot="0" vert="horz"/>
          <a:lstStyle/>
          <a:p>
            <a:pPr>
              <a:defRPr sz="1800" b="0" i="0" u="none" strike="noStrike" baseline="0">
                <a:solidFill>
                  <a:srgbClr val="000000"/>
                </a:solidFill>
                <a:latin typeface="Arial"/>
                <a:ea typeface="Arial"/>
                <a:cs typeface="Arial"/>
              </a:defRPr>
            </a:pPr>
            <a:endParaRPr lang="en-US"/>
          </a:p>
        </c:txPr>
        <c:crossAx val="1"/>
        <c:crossesAt val="-1.5"/>
        <c:crossBetween val="midCat"/>
      </c:valAx>
      <c:valAx>
        <c:axId val="1"/>
        <c:scaling>
          <c:orientation val="minMax"/>
        </c:scaling>
        <c:delete val="0"/>
        <c:axPos val="l"/>
        <c:majorGridlines>
          <c:spPr>
            <a:ln w="3175">
              <a:solidFill>
                <a:srgbClr val="C0C0C0"/>
              </a:solidFill>
              <a:prstDash val="solid"/>
            </a:ln>
          </c:spPr>
        </c:majorGridlines>
        <c:title>
          <c:tx>
            <c:rich>
              <a:bodyPr/>
              <a:lstStyle/>
              <a:p>
                <a:pPr>
                  <a:defRPr sz="2000" b="1" i="0" u="none" strike="noStrike" baseline="0">
                    <a:solidFill>
                      <a:srgbClr val="000000"/>
                    </a:solidFill>
                    <a:latin typeface="Arial"/>
                    <a:ea typeface="Arial"/>
                    <a:cs typeface="Arial"/>
                  </a:defRPr>
                </a:pPr>
                <a:r>
                  <a:rPr lang="en-US"/>
                  <a:t>Reduced Variate</a:t>
                </a:r>
              </a:p>
            </c:rich>
          </c:tx>
          <c:layout>
            <c:manualLayout>
              <c:xMode val="edge"/>
              <c:yMode val="edge"/>
              <c:x val="1.5538291046952464E-2"/>
              <c:y val="0.27004916961798986"/>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800" b="0" i="0" u="none" strike="noStrike" baseline="0">
                <a:solidFill>
                  <a:srgbClr val="000000"/>
                </a:solidFill>
                <a:latin typeface="Arial"/>
                <a:ea typeface="Arial"/>
                <a:cs typeface="Arial"/>
              </a:defRPr>
            </a:pPr>
            <a:endParaRPr lang="en-US"/>
          </a:p>
        </c:txPr>
        <c:crossAx val="416759640"/>
        <c:crosses val="autoZero"/>
        <c:crossBetween val="midCat"/>
      </c:valAx>
      <c:spPr>
        <a:noFill/>
        <a:ln w="12700">
          <a:solidFill>
            <a:srgbClr val="000000"/>
          </a:solidFill>
          <a:prstDash val="solid"/>
        </a:ln>
      </c:spPr>
    </c:plotArea>
    <c:legend>
      <c:legendPos val="b"/>
      <c:legendEntry>
        <c:idx val="4"/>
        <c:delete val="1"/>
      </c:legendEntry>
      <c:legendEntry>
        <c:idx val="6"/>
        <c:delete val="1"/>
      </c:legendEntry>
      <c:legendEntry>
        <c:idx val="8"/>
        <c:delete val="1"/>
      </c:legendEntry>
      <c:legendEntry>
        <c:idx val="10"/>
        <c:delete val="1"/>
      </c:legendEntry>
      <c:layout>
        <c:manualLayout>
          <c:xMode val="edge"/>
          <c:yMode val="edge"/>
          <c:x val="4.8834645669291341E-2"/>
          <c:y val="0.93289688133961413"/>
          <c:w val="0.92674808982210566"/>
          <c:h val="4.9099817762954245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2000" b="1" i="0" u="none" strike="noStrike" baseline="0">
                <a:solidFill>
                  <a:srgbClr val="000000"/>
                </a:solidFill>
                <a:latin typeface="Arial"/>
                <a:cs typeface="Arial"/>
              </a:rPr>
              <a:t>Heat Exchanger Tube Inspection Data</a:t>
            </a:r>
            <a:endParaRPr lang="en-US" sz="1400" b="1" i="0" u="none" strike="noStrike" baseline="0">
              <a:solidFill>
                <a:srgbClr val="000000"/>
              </a:solidFill>
              <a:latin typeface="Arial"/>
              <a:cs typeface="Arial"/>
            </a:endParaRPr>
          </a:p>
          <a:p>
            <a:pPr>
              <a:defRPr sz="1000" b="0" i="0" u="none" strike="noStrike" baseline="0">
                <a:solidFill>
                  <a:srgbClr val="000000"/>
                </a:solidFill>
                <a:latin typeface="Arial"/>
                <a:ea typeface="Arial"/>
                <a:cs typeface="Arial"/>
              </a:defRPr>
            </a:pPr>
            <a:r>
              <a:rPr lang="en-US" sz="1400" b="1" i="0" u="none" strike="noStrike" baseline="0">
                <a:solidFill>
                  <a:srgbClr val="000000"/>
                </a:solidFill>
                <a:latin typeface="Arial"/>
                <a:cs typeface="Arial"/>
              </a:rPr>
              <a:t>Cumulative Probability Plot of Max Wall Loss</a:t>
            </a:r>
          </a:p>
        </c:rich>
      </c:tx>
      <c:layout>
        <c:manualLayout>
          <c:xMode val="edge"/>
          <c:yMode val="edge"/>
          <c:x val="0.24639288422280547"/>
          <c:y val="2.2913213905030431E-2"/>
        </c:manualLayout>
      </c:layout>
      <c:overlay val="0"/>
      <c:spPr>
        <a:noFill/>
        <a:ln w="25400">
          <a:noFill/>
        </a:ln>
      </c:spPr>
    </c:title>
    <c:autoTitleDeleted val="0"/>
    <c:plotArea>
      <c:layout>
        <c:manualLayout>
          <c:layoutTarget val="inner"/>
          <c:xMode val="edge"/>
          <c:yMode val="edge"/>
          <c:x val="0.14317425083240842"/>
          <c:y val="0.14893617021276595"/>
          <c:w val="0.78579356270810208"/>
          <c:h val="0.60556464811783961"/>
        </c:manualLayout>
      </c:layout>
      <c:scatterChart>
        <c:scatterStyle val="lineMarker"/>
        <c:varyColors val="0"/>
        <c:ser>
          <c:idx val="0"/>
          <c:order val="0"/>
          <c:tx>
            <c:v>Measured Data</c:v>
          </c:tx>
          <c:spPr>
            <a:ln w="28575">
              <a:noFill/>
            </a:ln>
          </c:spPr>
          <c:marker>
            <c:symbol val="circle"/>
            <c:size val="7"/>
            <c:spPr>
              <a:solidFill>
                <a:srgbClr val="0000FF"/>
              </a:solidFill>
              <a:ln>
                <a:solidFill>
                  <a:srgbClr val="0000FF"/>
                </a:solidFill>
                <a:prstDash val="solid"/>
              </a:ln>
            </c:spPr>
          </c:marker>
          <c:xVal>
            <c:numRef>
              <c:f>HiddenPlotData!$A$3:$A$330</c:f>
              <c:numCache>
                <c:formatCode>General</c:formatCode>
                <c:ptCount val="328"/>
                <c:pt idx="0">
                  <c:v>7.2299999999999809E-2</c:v>
                </c:pt>
                <c:pt idx="1">
                  <c:v>7.2299999999999809E-2</c:v>
                </c:pt>
                <c:pt idx="2">
                  <c:v>9.6400000000000041E-2</c:v>
                </c:pt>
                <c:pt idx="3">
                  <c:v>9.6400000000000041E-2</c:v>
                </c:pt>
                <c:pt idx="4">
                  <c:v>0.12049999999999983</c:v>
                </c:pt>
                <c:pt idx="5">
                  <c:v>0.12049999999999983</c:v>
                </c:pt>
                <c:pt idx="6">
                  <c:v>0.12049999999999983</c:v>
                </c:pt>
                <c:pt idx="7">
                  <c:v>0.12049999999999983</c:v>
                </c:pt>
                <c:pt idx="8">
                  <c:v>0.12049999999999983</c:v>
                </c:pt>
                <c:pt idx="9">
                  <c:v>0.12049999999999983</c:v>
                </c:pt>
                <c:pt idx="10">
                  <c:v>0.12049999999999983</c:v>
                </c:pt>
                <c:pt idx="11">
                  <c:v>0.12049999999999983</c:v>
                </c:pt>
                <c:pt idx="12">
                  <c:v>0.12049999999999983</c:v>
                </c:pt>
                <c:pt idx="13">
                  <c:v>0.12049999999999983</c:v>
                </c:pt>
                <c:pt idx="14">
                  <c:v>0.12049999999999983</c:v>
                </c:pt>
                <c:pt idx="15">
                  <c:v>0.12049999999999983</c:v>
                </c:pt>
                <c:pt idx="16">
                  <c:v>0.12049999999999983</c:v>
                </c:pt>
                <c:pt idx="17">
                  <c:v>0.12049999999999983</c:v>
                </c:pt>
                <c:pt idx="18">
                  <c:v>0.12049999999999983</c:v>
                </c:pt>
                <c:pt idx="19">
                  <c:v>0.12049999999999983</c:v>
                </c:pt>
                <c:pt idx="20">
                  <c:v>0.12049999999999983</c:v>
                </c:pt>
                <c:pt idx="21">
                  <c:v>0.12049999999999983</c:v>
                </c:pt>
                <c:pt idx="22">
                  <c:v>0.12049999999999983</c:v>
                </c:pt>
                <c:pt idx="23">
                  <c:v>0.12049999999999983</c:v>
                </c:pt>
                <c:pt idx="24">
                  <c:v>0.12049999999999983</c:v>
                </c:pt>
                <c:pt idx="25">
                  <c:v>0.12049999999999983</c:v>
                </c:pt>
                <c:pt idx="26">
                  <c:v>0.12049999999999983</c:v>
                </c:pt>
                <c:pt idx="27">
                  <c:v>0.12049999999999983</c:v>
                </c:pt>
                <c:pt idx="28">
                  <c:v>0.12049999999999983</c:v>
                </c:pt>
                <c:pt idx="29">
                  <c:v>0.12049999999999983</c:v>
                </c:pt>
                <c:pt idx="30">
                  <c:v>0.12049999999999983</c:v>
                </c:pt>
                <c:pt idx="31">
                  <c:v>0.12049999999999983</c:v>
                </c:pt>
                <c:pt idx="32">
                  <c:v>0.14460000000000006</c:v>
                </c:pt>
                <c:pt idx="33">
                  <c:v>0.14460000000000006</c:v>
                </c:pt>
                <c:pt idx="34">
                  <c:v>0.14460000000000006</c:v>
                </c:pt>
                <c:pt idx="35">
                  <c:v>0.14460000000000006</c:v>
                </c:pt>
                <c:pt idx="36">
                  <c:v>0.14460000000000006</c:v>
                </c:pt>
                <c:pt idx="37">
                  <c:v>0.14460000000000006</c:v>
                </c:pt>
                <c:pt idx="38">
                  <c:v>0.14460000000000006</c:v>
                </c:pt>
                <c:pt idx="39">
                  <c:v>0.14460000000000006</c:v>
                </c:pt>
                <c:pt idx="40">
                  <c:v>0.14460000000000006</c:v>
                </c:pt>
                <c:pt idx="41">
                  <c:v>0.14460000000000006</c:v>
                </c:pt>
                <c:pt idx="42">
                  <c:v>0.14460000000000006</c:v>
                </c:pt>
                <c:pt idx="43">
                  <c:v>0.14460000000000006</c:v>
                </c:pt>
                <c:pt idx="44">
                  <c:v>0.14460000000000006</c:v>
                </c:pt>
                <c:pt idx="45">
                  <c:v>0.14460000000000006</c:v>
                </c:pt>
                <c:pt idx="46">
                  <c:v>0.14460000000000006</c:v>
                </c:pt>
                <c:pt idx="47">
                  <c:v>0.14460000000000006</c:v>
                </c:pt>
                <c:pt idx="48">
                  <c:v>0.14460000000000006</c:v>
                </c:pt>
                <c:pt idx="49">
                  <c:v>0.14460000000000006</c:v>
                </c:pt>
                <c:pt idx="50">
                  <c:v>0.14460000000000006</c:v>
                </c:pt>
                <c:pt idx="51">
                  <c:v>0.14460000000000006</c:v>
                </c:pt>
                <c:pt idx="52">
                  <c:v>0.14460000000000006</c:v>
                </c:pt>
                <c:pt idx="53">
                  <c:v>0.14460000000000006</c:v>
                </c:pt>
                <c:pt idx="54">
                  <c:v>0.14460000000000006</c:v>
                </c:pt>
                <c:pt idx="55">
                  <c:v>0.14460000000000006</c:v>
                </c:pt>
                <c:pt idx="56">
                  <c:v>0.14460000000000006</c:v>
                </c:pt>
                <c:pt idx="57">
                  <c:v>0.14460000000000006</c:v>
                </c:pt>
                <c:pt idx="58">
                  <c:v>0.14460000000000006</c:v>
                </c:pt>
                <c:pt idx="59">
                  <c:v>0.14460000000000006</c:v>
                </c:pt>
                <c:pt idx="60">
                  <c:v>0.14460000000000006</c:v>
                </c:pt>
                <c:pt idx="61">
                  <c:v>0.14460000000000006</c:v>
                </c:pt>
                <c:pt idx="62">
                  <c:v>0.14460000000000006</c:v>
                </c:pt>
                <c:pt idx="63">
                  <c:v>0.14460000000000006</c:v>
                </c:pt>
                <c:pt idx="64">
                  <c:v>0.14460000000000006</c:v>
                </c:pt>
                <c:pt idx="65">
                  <c:v>0.14460000000000006</c:v>
                </c:pt>
                <c:pt idx="66">
                  <c:v>0.14460000000000006</c:v>
                </c:pt>
                <c:pt idx="67">
                  <c:v>0.14460000000000006</c:v>
                </c:pt>
                <c:pt idx="68">
                  <c:v>0.14460000000000006</c:v>
                </c:pt>
                <c:pt idx="69">
                  <c:v>0.14460000000000006</c:v>
                </c:pt>
                <c:pt idx="70">
                  <c:v>0.14460000000000006</c:v>
                </c:pt>
                <c:pt idx="71">
                  <c:v>0.16869999999999985</c:v>
                </c:pt>
                <c:pt idx="72">
                  <c:v>0.16869999999999985</c:v>
                </c:pt>
                <c:pt idx="73">
                  <c:v>0.16869999999999985</c:v>
                </c:pt>
                <c:pt idx="74">
                  <c:v>0.16869999999999985</c:v>
                </c:pt>
                <c:pt idx="75">
                  <c:v>0.16869999999999985</c:v>
                </c:pt>
                <c:pt idx="76">
                  <c:v>0.16869999999999985</c:v>
                </c:pt>
                <c:pt idx="77">
                  <c:v>0.16869999999999985</c:v>
                </c:pt>
                <c:pt idx="78">
                  <c:v>0.16869999999999985</c:v>
                </c:pt>
                <c:pt idx="79">
                  <c:v>0.16869999999999985</c:v>
                </c:pt>
                <c:pt idx="80">
                  <c:v>0.16869999999999985</c:v>
                </c:pt>
                <c:pt idx="81">
                  <c:v>0.16869999999999985</c:v>
                </c:pt>
                <c:pt idx="82">
                  <c:v>0.16869999999999985</c:v>
                </c:pt>
                <c:pt idx="83">
                  <c:v>0.16869999999999985</c:v>
                </c:pt>
                <c:pt idx="84">
                  <c:v>0.16869999999999985</c:v>
                </c:pt>
                <c:pt idx="85">
                  <c:v>0.16869999999999985</c:v>
                </c:pt>
                <c:pt idx="86">
                  <c:v>0.16869999999999985</c:v>
                </c:pt>
                <c:pt idx="87">
                  <c:v>0.16869999999999985</c:v>
                </c:pt>
                <c:pt idx="88">
                  <c:v>0.19280000000000008</c:v>
                </c:pt>
                <c:pt idx="89">
                  <c:v>0.19280000000000008</c:v>
                </c:pt>
                <c:pt idx="90">
                  <c:v>0.19280000000000008</c:v>
                </c:pt>
                <c:pt idx="91">
                  <c:v>0.19280000000000008</c:v>
                </c:pt>
                <c:pt idx="92">
                  <c:v>0.19280000000000008</c:v>
                </c:pt>
                <c:pt idx="93">
                  <c:v>0.19280000000000008</c:v>
                </c:pt>
                <c:pt idx="94">
                  <c:v>0.19280000000000008</c:v>
                </c:pt>
                <c:pt idx="95">
                  <c:v>0.19280000000000008</c:v>
                </c:pt>
                <c:pt idx="96">
                  <c:v>0.19280000000000008</c:v>
                </c:pt>
                <c:pt idx="97">
                  <c:v>0.19280000000000008</c:v>
                </c:pt>
                <c:pt idx="98">
                  <c:v>0.19280000000000008</c:v>
                </c:pt>
                <c:pt idx="99">
                  <c:v>0.19280000000000008</c:v>
                </c:pt>
                <c:pt idx="100">
                  <c:v>0.19280000000000008</c:v>
                </c:pt>
                <c:pt idx="101">
                  <c:v>0.19280000000000008</c:v>
                </c:pt>
                <c:pt idx="102">
                  <c:v>0.19280000000000008</c:v>
                </c:pt>
                <c:pt idx="103">
                  <c:v>0.19280000000000008</c:v>
                </c:pt>
                <c:pt idx="104">
                  <c:v>0.19280000000000008</c:v>
                </c:pt>
                <c:pt idx="105">
                  <c:v>0.21689999999999987</c:v>
                </c:pt>
                <c:pt idx="106">
                  <c:v>0.21689999999999987</c:v>
                </c:pt>
                <c:pt idx="107">
                  <c:v>0.21689999999999987</c:v>
                </c:pt>
                <c:pt idx="108">
                  <c:v>0.21689999999999987</c:v>
                </c:pt>
                <c:pt idx="109">
                  <c:v>0.21689999999999987</c:v>
                </c:pt>
                <c:pt idx="110">
                  <c:v>0.21689999999999987</c:v>
                </c:pt>
                <c:pt idx="111">
                  <c:v>0.21689999999999987</c:v>
                </c:pt>
                <c:pt idx="112">
                  <c:v>0.21689999999999987</c:v>
                </c:pt>
                <c:pt idx="113">
                  <c:v>0.21689999999999987</c:v>
                </c:pt>
                <c:pt idx="114">
                  <c:v>0.21689999999999987</c:v>
                </c:pt>
                <c:pt idx="115">
                  <c:v>0.2410000000000001</c:v>
                </c:pt>
                <c:pt idx="116">
                  <c:v>0.2410000000000001</c:v>
                </c:pt>
                <c:pt idx="117">
                  <c:v>0.2410000000000001</c:v>
                </c:pt>
                <c:pt idx="118">
                  <c:v>0.2410000000000001</c:v>
                </c:pt>
                <c:pt idx="119">
                  <c:v>0.2410000000000001</c:v>
                </c:pt>
                <c:pt idx="120">
                  <c:v>0.2410000000000001</c:v>
                </c:pt>
                <c:pt idx="121">
                  <c:v>0.2410000000000001</c:v>
                </c:pt>
                <c:pt idx="122">
                  <c:v>0.2410000000000001</c:v>
                </c:pt>
                <c:pt idx="123">
                  <c:v>0.2410000000000001</c:v>
                </c:pt>
                <c:pt idx="124">
                  <c:v>0.2410000000000001</c:v>
                </c:pt>
                <c:pt idx="125">
                  <c:v>0.2410000000000001</c:v>
                </c:pt>
                <c:pt idx="126">
                  <c:v>0.2410000000000001</c:v>
                </c:pt>
                <c:pt idx="127">
                  <c:v>0.2410000000000001</c:v>
                </c:pt>
                <c:pt idx="128">
                  <c:v>0.2410000000000001</c:v>
                </c:pt>
                <c:pt idx="129">
                  <c:v>0.2410000000000001</c:v>
                </c:pt>
                <c:pt idx="130">
                  <c:v>0.2410000000000001</c:v>
                </c:pt>
                <c:pt idx="131">
                  <c:v>0.2410000000000001</c:v>
                </c:pt>
                <c:pt idx="132">
                  <c:v>0.2410000000000001</c:v>
                </c:pt>
                <c:pt idx="133">
                  <c:v>0.2410000000000001</c:v>
                </c:pt>
                <c:pt idx="134">
                  <c:v>0.2410000000000001</c:v>
                </c:pt>
                <c:pt idx="135">
                  <c:v>0.2410000000000001</c:v>
                </c:pt>
                <c:pt idx="136">
                  <c:v>0.2410000000000001</c:v>
                </c:pt>
                <c:pt idx="137">
                  <c:v>0.2410000000000001</c:v>
                </c:pt>
                <c:pt idx="138">
                  <c:v>0.2410000000000001</c:v>
                </c:pt>
                <c:pt idx="139">
                  <c:v>0.2410000000000001</c:v>
                </c:pt>
                <c:pt idx="140">
                  <c:v>0.2410000000000001</c:v>
                </c:pt>
                <c:pt idx="141">
                  <c:v>0.2410000000000001</c:v>
                </c:pt>
                <c:pt idx="142">
                  <c:v>0.2410000000000001</c:v>
                </c:pt>
                <c:pt idx="143">
                  <c:v>0.2410000000000001</c:v>
                </c:pt>
                <c:pt idx="144">
                  <c:v>0.2410000000000001</c:v>
                </c:pt>
                <c:pt idx="145">
                  <c:v>0.2410000000000001</c:v>
                </c:pt>
                <c:pt idx="146">
                  <c:v>0.2410000000000001</c:v>
                </c:pt>
                <c:pt idx="147">
                  <c:v>0.2410000000000001</c:v>
                </c:pt>
                <c:pt idx="148">
                  <c:v>0.2410000000000001</c:v>
                </c:pt>
                <c:pt idx="149">
                  <c:v>0.2410000000000001</c:v>
                </c:pt>
                <c:pt idx="150">
                  <c:v>0.2410000000000001</c:v>
                </c:pt>
                <c:pt idx="151">
                  <c:v>0.2410000000000001</c:v>
                </c:pt>
                <c:pt idx="152">
                  <c:v>0.2410000000000001</c:v>
                </c:pt>
                <c:pt idx="153">
                  <c:v>0.2410000000000001</c:v>
                </c:pt>
                <c:pt idx="154">
                  <c:v>0.2410000000000001</c:v>
                </c:pt>
                <c:pt idx="155">
                  <c:v>0.2410000000000001</c:v>
                </c:pt>
                <c:pt idx="156">
                  <c:v>0.2410000000000001</c:v>
                </c:pt>
                <c:pt idx="157">
                  <c:v>0.2410000000000001</c:v>
                </c:pt>
                <c:pt idx="158">
                  <c:v>0.2410000000000001</c:v>
                </c:pt>
                <c:pt idx="159">
                  <c:v>0.26509999999999989</c:v>
                </c:pt>
                <c:pt idx="160">
                  <c:v>0.26509999999999989</c:v>
                </c:pt>
                <c:pt idx="161">
                  <c:v>0.26509999999999989</c:v>
                </c:pt>
                <c:pt idx="162">
                  <c:v>0.26509999999999989</c:v>
                </c:pt>
                <c:pt idx="163">
                  <c:v>0.26509999999999989</c:v>
                </c:pt>
                <c:pt idx="164">
                  <c:v>0.26509999999999989</c:v>
                </c:pt>
                <c:pt idx="165">
                  <c:v>0.26509999999999989</c:v>
                </c:pt>
                <c:pt idx="166">
                  <c:v>0.26509999999999989</c:v>
                </c:pt>
                <c:pt idx="167">
                  <c:v>0.26509999999999989</c:v>
                </c:pt>
                <c:pt idx="168">
                  <c:v>0.26509999999999989</c:v>
                </c:pt>
                <c:pt idx="169">
                  <c:v>0.26509999999999989</c:v>
                </c:pt>
                <c:pt idx="170">
                  <c:v>0.26509999999999989</c:v>
                </c:pt>
                <c:pt idx="171">
                  <c:v>0.26509999999999989</c:v>
                </c:pt>
                <c:pt idx="172">
                  <c:v>0.26509999999999989</c:v>
                </c:pt>
                <c:pt idx="173">
                  <c:v>0.26509999999999989</c:v>
                </c:pt>
                <c:pt idx="174">
                  <c:v>0.26509999999999989</c:v>
                </c:pt>
                <c:pt idx="175">
                  <c:v>0.26509999999999989</c:v>
                </c:pt>
                <c:pt idx="176">
                  <c:v>0.26509999999999989</c:v>
                </c:pt>
                <c:pt idx="177">
                  <c:v>0.26509999999999989</c:v>
                </c:pt>
                <c:pt idx="178">
                  <c:v>0.26509999999999989</c:v>
                </c:pt>
                <c:pt idx="179">
                  <c:v>0.26509999999999989</c:v>
                </c:pt>
                <c:pt idx="180">
                  <c:v>0.26509999999999989</c:v>
                </c:pt>
                <c:pt idx="181">
                  <c:v>0.26509999999999989</c:v>
                </c:pt>
                <c:pt idx="182">
                  <c:v>0.26509999999999989</c:v>
                </c:pt>
                <c:pt idx="183">
                  <c:v>0.26509999999999989</c:v>
                </c:pt>
                <c:pt idx="184">
                  <c:v>0.26509999999999989</c:v>
                </c:pt>
                <c:pt idx="185">
                  <c:v>0.26509999999999989</c:v>
                </c:pt>
                <c:pt idx="186">
                  <c:v>0.28920000000000012</c:v>
                </c:pt>
                <c:pt idx="187">
                  <c:v>0.28920000000000012</c:v>
                </c:pt>
                <c:pt idx="188">
                  <c:v>0.28920000000000012</c:v>
                </c:pt>
                <c:pt idx="189">
                  <c:v>0.28920000000000012</c:v>
                </c:pt>
                <c:pt idx="190">
                  <c:v>0.28920000000000012</c:v>
                </c:pt>
                <c:pt idx="191">
                  <c:v>0.28920000000000012</c:v>
                </c:pt>
                <c:pt idx="192">
                  <c:v>0.28920000000000012</c:v>
                </c:pt>
                <c:pt idx="193">
                  <c:v>0.28920000000000012</c:v>
                </c:pt>
                <c:pt idx="194">
                  <c:v>0.28920000000000012</c:v>
                </c:pt>
                <c:pt idx="195">
                  <c:v>0.28920000000000012</c:v>
                </c:pt>
                <c:pt idx="196">
                  <c:v>0.28920000000000012</c:v>
                </c:pt>
                <c:pt idx="197">
                  <c:v>0.28920000000000012</c:v>
                </c:pt>
                <c:pt idx="198">
                  <c:v>0.28920000000000012</c:v>
                </c:pt>
                <c:pt idx="199">
                  <c:v>0.28920000000000012</c:v>
                </c:pt>
                <c:pt idx="200">
                  <c:v>0.28920000000000012</c:v>
                </c:pt>
                <c:pt idx="201">
                  <c:v>0.28920000000000012</c:v>
                </c:pt>
                <c:pt idx="202">
                  <c:v>0.28920000000000012</c:v>
                </c:pt>
                <c:pt idx="203">
                  <c:v>0.28920000000000012</c:v>
                </c:pt>
                <c:pt idx="204">
                  <c:v>0.28920000000000012</c:v>
                </c:pt>
                <c:pt idx="205">
                  <c:v>0.28920000000000012</c:v>
                </c:pt>
                <c:pt idx="206">
                  <c:v>0.28920000000000012</c:v>
                </c:pt>
                <c:pt idx="207">
                  <c:v>0.28920000000000012</c:v>
                </c:pt>
                <c:pt idx="208">
                  <c:v>0.28920000000000012</c:v>
                </c:pt>
                <c:pt idx="209">
                  <c:v>0.28920000000000012</c:v>
                </c:pt>
                <c:pt idx="210">
                  <c:v>0.28920000000000012</c:v>
                </c:pt>
                <c:pt idx="211">
                  <c:v>0.28920000000000012</c:v>
                </c:pt>
                <c:pt idx="212">
                  <c:v>0.28920000000000012</c:v>
                </c:pt>
                <c:pt idx="213">
                  <c:v>0.28920000000000012</c:v>
                </c:pt>
                <c:pt idx="214">
                  <c:v>0.28920000000000012</c:v>
                </c:pt>
                <c:pt idx="215">
                  <c:v>0.28920000000000012</c:v>
                </c:pt>
                <c:pt idx="216">
                  <c:v>0.28920000000000012</c:v>
                </c:pt>
                <c:pt idx="217">
                  <c:v>0.28920000000000012</c:v>
                </c:pt>
                <c:pt idx="218">
                  <c:v>0.28920000000000012</c:v>
                </c:pt>
                <c:pt idx="219">
                  <c:v>0.28920000000000012</c:v>
                </c:pt>
                <c:pt idx="220">
                  <c:v>0.28920000000000012</c:v>
                </c:pt>
                <c:pt idx="221">
                  <c:v>0.28920000000000012</c:v>
                </c:pt>
                <c:pt idx="222">
                  <c:v>0.28920000000000012</c:v>
                </c:pt>
                <c:pt idx="223">
                  <c:v>0.28920000000000012</c:v>
                </c:pt>
                <c:pt idx="224">
                  <c:v>0.28920000000000012</c:v>
                </c:pt>
                <c:pt idx="225">
                  <c:v>0.28920000000000012</c:v>
                </c:pt>
                <c:pt idx="226">
                  <c:v>0.28920000000000012</c:v>
                </c:pt>
                <c:pt idx="227">
                  <c:v>0.28920000000000012</c:v>
                </c:pt>
                <c:pt idx="228">
                  <c:v>0.28920000000000012</c:v>
                </c:pt>
                <c:pt idx="229">
                  <c:v>0.28920000000000012</c:v>
                </c:pt>
                <c:pt idx="230">
                  <c:v>0.28920000000000012</c:v>
                </c:pt>
                <c:pt idx="231">
                  <c:v>0.28920000000000012</c:v>
                </c:pt>
                <c:pt idx="232">
                  <c:v>0.28920000000000012</c:v>
                </c:pt>
                <c:pt idx="233">
                  <c:v>0.28920000000000012</c:v>
                </c:pt>
                <c:pt idx="234">
                  <c:v>0.28920000000000012</c:v>
                </c:pt>
                <c:pt idx="235">
                  <c:v>0.28920000000000012</c:v>
                </c:pt>
                <c:pt idx="236">
                  <c:v>0.28920000000000012</c:v>
                </c:pt>
                <c:pt idx="237">
                  <c:v>0.28920000000000012</c:v>
                </c:pt>
                <c:pt idx="238">
                  <c:v>0.28920000000000012</c:v>
                </c:pt>
                <c:pt idx="239">
                  <c:v>0.28920000000000012</c:v>
                </c:pt>
                <c:pt idx="240">
                  <c:v>0.31329999999999991</c:v>
                </c:pt>
                <c:pt idx="241">
                  <c:v>0.31329999999999991</c:v>
                </c:pt>
                <c:pt idx="242">
                  <c:v>0.31329999999999991</c:v>
                </c:pt>
                <c:pt idx="243">
                  <c:v>0.31329999999999991</c:v>
                </c:pt>
                <c:pt idx="244">
                  <c:v>0.31329999999999991</c:v>
                </c:pt>
                <c:pt idx="245">
                  <c:v>0.31329999999999991</c:v>
                </c:pt>
                <c:pt idx="246">
                  <c:v>0.31329999999999991</c:v>
                </c:pt>
                <c:pt idx="247">
                  <c:v>0.31329999999999991</c:v>
                </c:pt>
                <c:pt idx="248">
                  <c:v>0.31329999999999991</c:v>
                </c:pt>
                <c:pt idx="249">
                  <c:v>0.31329999999999991</c:v>
                </c:pt>
                <c:pt idx="250">
                  <c:v>0.31329999999999991</c:v>
                </c:pt>
                <c:pt idx="251">
                  <c:v>0.31329999999999991</c:v>
                </c:pt>
                <c:pt idx="252">
                  <c:v>0.31329999999999991</c:v>
                </c:pt>
                <c:pt idx="253">
                  <c:v>0.31329999999999991</c:v>
                </c:pt>
                <c:pt idx="254">
                  <c:v>0.31329999999999991</c:v>
                </c:pt>
                <c:pt idx="255">
                  <c:v>0.31329999999999991</c:v>
                </c:pt>
                <c:pt idx="256">
                  <c:v>0.31329999999999991</c:v>
                </c:pt>
                <c:pt idx="257">
                  <c:v>0.31329999999999991</c:v>
                </c:pt>
                <c:pt idx="258">
                  <c:v>0.31329999999999991</c:v>
                </c:pt>
                <c:pt idx="259">
                  <c:v>0.31329999999999991</c:v>
                </c:pt>
                <c:pt idx="260">
                  <c:v>0.31329999999999991</c:v>
                </c:pt>
                <c:pt idx="261">
                  <c:v>0.31329999999999991</c:v>
                </c:pt>
                <c:pt idx="262">
                  <c:v>0.31329999999999991</c:v>
                </c:pt>
                <c:pt idx="263">
                  <c:v>0.31329999999999991</c:v>
                </c:pt>
                <c:pt idx="264">
                  <c:v>0.31329999999999991</c:v>
                </c:pt>
                <c:pt idx="265">
                  <c:v>0.31329999999999991</c:v>
                </c:pt>
                <c:pt idx="266">
                  <c:v>0.31329999999999991</c:v>
                </c:pt>
                <c:pt idx="267">
                  <c:v>0.31329999999999991</c:v>
                </c:pt>
                <c:pt idx="268">
                  <c:v>0.31329999999999991</c:v>
                </c:pt>
                <c:pt idx="269">
                  <c:v>0.31329999999999991</c:v>
                </c:pt>
                <c:pt idx="270">
                  <c:v>0.31329999999999991</c:v>
                </c:pt>
                <c:pt idx="271">
                  <c:v>0.31329999999999991</c:v>
                </c:pt>
                <c:pt idx="272">
                  <c:v>0.31329999999999991</c:v>
                </c:pt>
                <c:pt idx="273">
                  <c:v>0.31329999999999991</c:v>
                </c:pt>
                <c:pt idx="274">
                  <c:v>0.31329999999999991</c:v>
                </c:pt>
                <c:pt idx="275">
                  <c:v>0.33740000000000014</c:v>
                </c:pt>
                <c:pt idx="276">
                  <c:v>0.33740000000000014</c:v>
                </c:pt>
                <c:pt idx="277">
                  <c:v>0.33740000000000014</c:v>
                </c:pt>
                <c:pt idx="278">
                  <c:v>0.33740000000000014</c:v>
                </c:pt>
                <c:pt idx="279">
                  <c:v>0.33740000000000014</c:v>
                </c:pt>
                <c:pt idx="280">
                  <c:v>0.33740000000000014</c:v>
                </c:pt>
                <c:pt idx="281">
                  <c:v>0.33740000000000014</c:v>
                </c:pt>
                <c:pt idx="282">
                  <c:v>0.33740000000000014</c:v>
                </c:pt>
                <c:pt idx="283">
                  <c:v>0.33740000000000014</c:v>
                </c:pt>
                <c:pt idx="284">
                  <c:v>0.33740000000000014</c:v>
                </c:pt>
                <c:pt idx="285">
                  <c:v>0.33740000000000014</c:v>
                </c:pt>
                <c:pt idx="286">
                  <c:v>0.33740000000000014</c:v>
                </c:pt>
                <c:pt idx="287">
                  <c:v>0.33740000000000014</c:v>
                </c:pt>
                <c:pt idx="288">
                  <c:v>0.33740000000000014</c:v>
                </c:pt>
                <c:pt idx="289">
                  <c:v>0.33740000000000014</c:v>
                </c:pt>
                <c:pt idx="290">
                  <c:v>0.33740000000000014</c:v>
                </c:pt>
                <c:pt idx="291">
                  <c:v>0.33740000000000014</c:v>
                </c:pt>
                <c:pt idx="292">
                  <c:v>0.33740000000000014</c:v>
                </c:pt>
                <c:pt idx="293">
                  <c:v>0.33740000000000014</c:v>
                </c:pt>
                <c:pt idx="294">
                  <c:v>0.33740000000000014</c:v>
                </c:pt>
                <c:pt idx="295">
                  <c:v>0.33740000000000014</c:v>
                </c:pt>
                <c:pt idx="296">
                  <c:v>0.33740000000000014</c:v>
                </c:pt>
                <c:pt idx="297">
                  <c:v>0.33740000000000014</c:v>
                </c:pt>
                <c:pt idx="298">
                  <c:v>0.33740000000000014</c:v>
                </c:pt>
                <c:pt idx="299">
                  <c:v>0.33740000000000014</c:v>
                </c:pt>
                <c:pt idx="300">
                  <c:v>0</c:v>
                </c:pt>
              </c:numCache>
            </c:numRef>
          </c:xVal>
          <c:yVal>
            <c:numRef>
              <c:f>HiddenPlotData!$B$3:$B$330</c:f>
              <c:numCache>
                <c:formatCode>General</c:formatCode>
                <c:ptCount val="328"/>
                <c:pt idx="0">
                  <c:v>2.7247956403269754E-3</c:v>
                </c:pt>
                <c:pt idx="1">
                  <c:v>5.4495912806539508E-3</c:v>
                </c:pt>
                <c:pt idx="2">
                  <c:v>8.1743869209809257E-3</c:v>
                </c:pt>
                <c:pt idx="3">
                  <c:v>1.0899182561307902E-2</c:v>
                </c:pt>
                <c:pt idx="4">
                  <c:v>1.3623978201634877E-2</c:v>
                </c:pt>
                <c:pt idx="5">
                  <c:v>1.6348773841961851E-2</c:v>
                </c:pt>
                <c:pt idx="6">
                  <c:v>1.9073569482288829E-2</c:v>
                </c:pt>
                <c:pt idx="7">
                  <c:v>2.1798365122615803E-2</c:v>
                </c:pt>
                <c:pt idx="8">
                  <c:v>2.4523160762942781E-2</c:v>
                </c:pt>
                <c:pt idx="9">
                  <c:v>2.7247956403269755E-2</c:v>
                </c:pt>
                <c:pt idx="10">
                  <c:v>2.9972752043596729E-2</c:v>
                </c:pt>
                <c:pt idx="11">
                  <c:v>3.2697547683923703E-2</c:v>
                </c:pt>
                <c:pt idx="12">
                  <c:v>3.5422343324250684E-2</c:v>
                </c:pt>
                <c:pt idx="13">
                  <c:v>3.8147138964577658E-2</c:v>
                </c:pt>
                <c:pt idx="14">
                  <c:v>4.0871934604904632E-2</c:v>
                </c:pt>
                <c:pt idx="15">
                  <c:v>4.3596730245231606E-2</c:v>
                </c:pt>
                <c:pt idx="16">
                  <c:v>4.632152588555858E-2</c:v>
                </c:pt>
                <c:pt idx="17">
                  <c:v>4.9046321525885561E-2</c:v>
                </c:pt>
                <c:pt idx="18">
                  <c:v>5.1771117166212535E-2</c:v>
                </c:pt>
                <c:pt idx="19">
                  <c:v>5.4495912806539509E-2</c:v>
                </c:pt>
                <c:pt idx="20">
                  <c:v>5.7220708446866483E-2</c:v>
                </c:pt>
                <c:pt idx="21">
                  <c:v>5.9945504087193457E-2</c:v>
                </c:pt>
                <c:pt idx="22">
                  <c:v>6.2670299727520432E-2</c:v>
                </c:pt>
                <c:pt idx="23">
                  <c:v>6.5395095367847406E-2</c:v>
                </c:pt>
                <c:pt idx="24">
                  <c:v>6.8119891008174394E-2</c:v>
                </c:pt>
                <c:pt idx="25">
                  <c:v>7.0844686648501368E-2</c:v>
                </c:pt>
                <c:pt idx="26">
                  <c:v>7.3569482288828342E-2</c:v>
                </c:pt>
                <c:pt idx="27">
                  <c:v>7.6294277929155316E-2</c:v>
                </c:pt>
                <c:pt idx="28">
                  <c:v>7.901907356948229E-2</c:v>
                </c:pt>
                <c:pt idx="29">
                  <c:v>8.1743869209809264E-2</c:v>
                </c:pt>
                <c:pt idx="30">
                  <c:v>8.4468664850136238E-2</c:v>
                </c:pt>
                <c:pt idx="31">
                  <c:v>8.7193460490463212E-2</c:v>
                </c:pt>
                <c:pt idx="32">
                  <c:v>8.9918256130790186E-2</c:v>
                </c:pt>
                <c:pt idx="33">
                  <c:v>9.264305177111716E-2</c:v>
                </c:pt>
                <c:pt idx="34">
                  <c:v>9.5367847411444148E-2</c:v>
                </c:pt>
                <c:pt idx="35">
                  <c:v>9.8092643051771122E-2</c:v>
                </c:pt>
                <c:pt idx="36">
                  <c:v>0.1008174386920981</c:v>
                </c:pt>
                <c:pt idx="37">
                  <c:v>0.10354223433242507</c:v>
                </c:pt>
                <c:pt idx="38">
                  <c:v>0.10626702997275204</c:v>
                </c:pt>
                <c:pt idx="39">
                  <c:v>0.10899182561307902</c:v>
                </c:pt>
                <c:pt idx="40">
                  <c:v>0.11171662125340599</c:v>
                </c:pt>
                <c:pt idx="41">
                  <c:v>0.11444141689373297</c:v>
                </c:pt>
                <c:pt idx="42">
                  <c:v>0.11716621253405994</c:v>
                </c:pt>
                <c:pt idx="43">
                  <c:v>0.11989100817438691</c:v>
                </c:pt>
                <c:pt idx="44">
                  <c:v>0.1226158038147139</c:v>
                </c:pt>
                <c:pt idx="45">
                  <c:v>0.12534059945504086</c:v>
                </c:pt>
                <c:pt idx="46">
                  <c:v>0.12806539509536785</c:v>
                </c:pt>
                <c:pt idx="47">
                  <c:v>0.13079019073569481</c:v>
                </c:pt>
                <c:pt idx="48">
                  <c:v>0.1335149863760218</c:v>
                </c:pt>
                <c:pt idx="49">
                  <c:v>0.13623978201634879</c:v>
                </c:pt>
                <c:pt idx="50">
                  <c:v>0.13896457765667575</c:v>
                </c:pt>
                <c:pt idx="51">
                  <c:v>0.14168937329700274</c:v>
                </c:pt>
                <c:pt idx="52">
                  <c:v>0.1444141689373297</c:v>
                </c:pt>
                <c:pt idx="53">
                  <c:v>0.14713896457765668</c:v>
                </c:pt>
                <c:pt idx="54">
                  <c:v>0.14986376021798364</c:v>
                </c:pt>
                <c:pt idx="55">
                  <c:v>0.15258855585831063</c:v>
                </c:pt>
                <c:pt idx="56">
                  <c:v>0.15531335149863759</c:v>
                </c:pt>
                <c:pt idx="57">
                  <c:v>0.15803814713896458</c:v>
                </c:pt>
                <c:pt idx="58">
                  <c:v>0.16076294277929154</c:v>
                </c:pt>
                <c:pt idx="59">
                  <c:v>0.16348773841961853</c:v>
                </c:pt>
                <c:pt idx="60">
                  <c:v>0.16621253405994552</c:v>
                </c:pt>
                <c:pt idx="61">
                  <c:v>0.16893732970027248</c:v>
                </c:pt>
                <c:pt idx="62">
                  <c:v>0.17166212534059946</c:v>
                </c:pt>
                <c:pt idx="63">
                  <c:v>0.17438692098092642</c:v>
                </c:pt>
                <c:pt idx="64">
                  <c:v>0.17711171662125341</c:v>
                </c:pt>
                <c:pt idx="65">
                  <c:v>0.17983651226158037</c:v>
                </c:pt>
                <c:pt idx="66">
                  <c:v>0.18256130790190736</c:v>
                </c:pt>
                <c:pt idx="67">
                  <c:v>0.18528610354223432</c:v>
                </c:pt>
                <c:pt idx="68">
                  <c:v>0.18801089918256131</c:v>
                </c:pt>
                <c:pt idx="69">
                  <c:v>0.1907356948228883</c:v>
                </c:pt>
                <c:pt idx="70">
                  <c:v>0.19346049046321526</c:v>
                </c:pt>
                <c:pt idx="71">
                  <c:v>0.19618528610354224</c:v>
                </c:pt>
                <c:pt idx="72">
                  <c:v>0.1989100817438692</c:v>
                </c:pt>
                <c:pt idx="73">
                  <c:v>0.20163487738419619</c:v>
                </c:pt>
                <c:pt idx="74">
                  <c:v>0.20435967302452315</c:v>
                </c:pt>
                <c:pt idx="75">
                  <c:v>0.20708446866485014</c:v>
                </c:pt>
                <c:pt idx="76">
                  <c:v>0.2098092643051771</c:v>
                </c:pt>
                <c:pt idx="77">
                  <c:v>0.21253405994550409</c:v>
                </c:pt>
                <c:pt idx="78">
                  <c:v>0.21525885558583105</c:v>
                </c:pt>
                <c:pt idx="79">
                  <c:v>0.21798365122615804</c:v>
                </c:pt>
                <c:pt idx="80">
                  <c:v>0.22070844686648503</c:v>
                </c:pt>
                <c:pt idx="81">
                  <c:v>0.22343324250681199</c:v>
                </c:pt>
                <c:pt idx="82">
                  <c:v>0.22615803814713897</c:v>
                </c:pt>
                <c:pt idx="83">
                  <c:v>0.22888283378746593</c:v>
                </c:pt>
                <c:pt idx="84">
                  <c:v>0.23160762942779292</c:v>
                </c:pt>
                <c:pt idx="85">
                  <c:v>0.23433242506811988</c:v>
                </c:pt>
                <c:pt idx="86">
                  <c:v>0.23705722070844687</c:v>
                </c:pt>
                <c:pt idx="87">
                  <c:v>0.23978201634877383</c:v>
                </c:pt>
                <c:pt idx="88">
                  <c:v>0.24250681198910082</c:v>
                </c:pt>
                <c:pt idx="89">
                  <c:v>0.24523160762942781</c:v>
                </c:pt>
                <c:pt idx="90">
                  <c:v>0.24795640326975477</c:v>
                </c:pt>
                <c:pt idx="91">
                  <c:v>0.25068119891008173</c:v>
                </c:pt>
                <c:pt idx="92">
                  <c:v>0.25340599455040874</c:v>
                </c:pt>
                <c:pt idx="93">
                  <c:v>0.2561307901907357</c:v>
                </c:pt>
                <c:pt idx="94">
                  <c:v>0.25885558583106266</c:v>
                </c:pt>
                <c:pt idx="95">
                  <c:v>0.26158038147138962</c:v>
                </c:pt>
                <c:pt idx="96">
                  <c:v>0.26430517711171664</c:v>
                </c:pt>
                <c:pt idx="97">
                  <c:v>0.2670299727520436</c:v>
                </c:pt>
                <c:pt idx="98">
                  <c:v>0.26975476839237056</c:v>
                </c:pt>
                <c:pt idx="99">
                  <c:v>0.27247956403269757</c:v>
                </c:pt>
                <c:pt idx="100">
                  <c:v>0.27520435967302453</c:v>
                </c:pt>
                <c:pt idx="101">
                  <c:v>0.27792915531335149</c:v>
                </c:pt>
                <c:pt idx="102">
                  <c:v>0.28065395095367845</c:v>
                </c:pt>
                <c:pt idx="103">
                  <c:v>0.28337874659400547</c:v>
                </c:pt>
                <c:pt idx="104">
                  <c:v>0.28610354223433243</c:v>
                </c:pt>
                <c:pt idx="105">
                  <c:v>0.28882833787465939</c:v>
                </c:pt>
                <c:pt idx="106">
                  <c:v>0.29155313351498635</c:v>
                </c:pt>
                <c:pt idx="107">
                  <c:v>0.29427792915531337</c:v>
                </c:pt>
                <c:pt idx="108">
                  <c:v>0.29700272479564033</c:v>
                </c:pt>
                <c:pt idx="109">
                  <c:v>0.29972752043596729</c:v>
                </c:pt>
                <c:pt idx="110">
                  <c:v>0.3024523160762943</c:v>
                </c:pt>
                <c:pt idx="111">
                  <c:v>0.30517711171662126</c:v>
                </c:pt>
                <c:pt idx="112">
                  <c:v>0.30790190735694822</c:v>
                </c:pt>
                <c:pt idx="113">
                  <c:v>0.31062670299727518</c:v>
                </c:pt>
                <c:pt idx="114">
                  <c:v>0.3133514986376022</c:v>
                </c:pt>
                <c:pt idx="115">
                  <c:v>0.31607629427792916</c:v>
                </c:pt>
                <c:pt idx="116">
                  <c:v>0.31880108991825612</c:v>
                </c:pt>
                <c:pt idx="117">
                  <c:v>0.32152588555858308</c:v>
                </c:pt>
                <c:pt idx="118">
                  <c:v>0.3242506811989101</c:v>
                </c:pt>
                <c:pt idx="119">
                  <c:v>0.32697547683923706</c:v>
                </c:pt>
                <c:pt idx="120">
                  <c:v>0.32970027247956402</c:v>
                </c:pt>
                <c:pt idx="121">
                  <c:v>0.33242506811989103</c:v>
                </c:pt>
                <c:pt idx="122">
                  <c:v>0.33514986376021799</c:v>
                </c:pt>
                <c:pt idx="123">
                  <c:v>0.33787465940054495</c:v>
                </c:pt>
                <c:pt idx="124">
                  <c:v>0.34059945504087191</c:v>
                </c:pt>
                <c:pt idx="125">
                  <c:v>0.34332425068119893</c:v>
                </c:pt>
                <c:pt idx="126">
                  <c:v>0.34604904632152589</c:v>
                </c:pt>
                <c:pt idx="127">
                  <c:v>0.34877384196185285</c:v>
                </c:pt>
                <c:pt idx="128">
                  <c:v>0.35149863760217986</c:v>
                </c:pt>
                <c:pt idx="129">
                  <c:v>0.35422343324250682</c:v>
                </c:pt>
                <c:pt idx="130">
                  <c:v>0.35694822888283378</c:v>
                </c:pt>
                <c:pt idx="131">
                  <c:v>0.35967302452316074</c:v>
                </c:pt>
                <c:pt idx="132">
                  <c:v>0.36239782016348776</c:v>
                </c:pt>
                <c:pt idx="133">
                  <c:v>0.36512261580381472</c:v>
                </c:pt>
                <c:pt idx="134">
                  <c:v>0.36784741144414168</c:v>
                </c:pt>
                <c:pt idx="135">
                  <c:v>0.37057220708446864</c:v>
                </c:pt>
                <c:pt idx="136">
                  <c:v>0.37329700272479566</c:v>
                </c:pt>
                <c:pt idx="137">
                  <c:v>0.37602179836512262</c:v>
                </c:pt>
                <c:pt idx="138">
                  <c:v>0.37874659400544958</c:v>
                </c:pt>
                <c:pt idx="139">
                  <c:v>0.38147138964577659</c:v>
                </c:pt>
                <c:pt idx="140">
                  <c:v>0.38419618528610355</c:v>
                </c:pt>
                <c:pt idx="141">
                  <c:v>0.38692098092643051</c:v>
                </c:pt>
                <c:pt idx="142">
                  <c:v>0.38964577656675747</c:v>
                </c:pt>
                <c:pt idx="143">
                  <c:v>0.39237057220708449</c:v>
                </c:pt>
                <c:pt idx="144">
                  <c:v>0.39509536784741145</c:v>
                </c:pt>
                <c:pt idx="145">
                  <c:v>0.39782016348773841</c:v>
                </c:pt>
                <c:pt idx="146">
                  <c:v>0.40054495912806537</c:v>
                </c:pt>
                <c:pt idx="147">
                  <c:v>0.40326975476839239</c:v>
                </c:pt>
                <c:pt idx="148">
                  <c:v>0.40599455040871935</c:v>
                </c:pt>
                <c:pt idx="149">
                  <c:v>0.40871934604904631</c:v>
                </c:pt>
                <c:pt idx="150">
                  <c:v>0.41144414168937332</c:v>
                </c:pt>
                <c:pt idx="151">
                  <c:v>0.41416893732970028</c:v>
                </c:pt>
                <c:pt idx="152">
                  <c:v>0.41689373297002724</c:v>
                </c:pt>
                <c:pt idx="153">
                  <c:v>0.4196185286103542</c:v>
                </c:pt>
                <c:pt idx="154">
                  <c:v>0.42234332425068122</c:v>
                </c:pt>
                <c:pt idx="155">
                  <c:v>0.42506811989100818</c:v>
                </c:pt>
                <c:pt idx="156">
                  <c:v>0.42779291553133514</c:v>
                </c:pt>
                <c:pt idx="157">
                  <c:v>0.4305177111716621</c:v>
                </c:pt>
                <c:pt idx="158">
                  <c:v>0.43324250681198911</c:v>
                </c:pt>
                <c:pt idx="159">
                  <c:v>0.43596730245231607</c:v>
                </c:pt>
                <c:pt idx="160">
                  <c:v>0.43869209809264303</c:v>
                </c:pt>
                <c:pt idx="161">
                  <c:v>0.44141689373297005</c:v>
                </c:pt>
                <c:pt idx="162">
                  <c:v>0.44414168937329701</c:v>
                </c:pt>
                <c:pt idx="163">
                  <c:v>0.44686648501362397</c:v>
                </c:pt>
                <c:pt idx="164">
                  <c:v>0.44959128065395093</c:v>
                </c:pt>
                <c:pt idx="165">
                  <c:v>0.45231607629427795</c:v>
                </c:pt>
                <c:pt idx="166">
                  <c:v>0.45504087193460491</c:v>
                </c:pt>
                <c:pt idx="167">
                  <c:v>0.45776566757493187</c:v>
                </c:pt>
                <c:pt idx="168">
                  <c:v>0.46049046321525888</c:v>
                </c:pt>
                <c:pt idx="169">
                  <c:v>0.46321525885558584</c:v>
                </c:pt>
                <c:pt idx="170">
                  <c:v>0.4659400544959128</c:v>
                </c:pt>
                <c:pt idx="171">
                  <c:v>0.46866485013623976</c:v>
                </c:pt>
                <c:pt idx="172">
                  <c:v>0.47138964577656678</c:v>
                </c:pt>
                <c:pt idx="173">
                  <c:v>0.47411444141689374</c:v>
                </c:pt>
                <c:pt idx="174">
                  <c:v>0.4768392370572207</c:v>
                </c:pt>
                <c:pt idx="175">
                  <c:v>0.47956403269754766</c:v>
                </c:pt>
                <c:pt idx="176">
                  <c:v>0.48228882833787468</c:v>
                </c:pt>
                <c:pt idx="177">
                  <c:v>0.48501362397820164</c:v>
                </c:pt>
                <c:pt idx="178">
                  <c:v>0.4877384196185286</c:v>
                </c:pt>
                <c:pt idx="179">
                  <c:v>0.49046321525885561</c:v>
                </c:pt>
                <c:pt idx="180">
                  <c:v>0.49318801089918257</c:v>
                </c:pt>
                <c:pt idx="181">
                  <c:v>0.49591280653950953</c:v>
                </c:pt>
                <c:pt idx="182">
                  <c:v>0.49863760217983649</c:v>
                </c:pt>
                <c:pt idx="183">
                  <c:v>0.50136239782016345</c:v>
                </c:pt>
                <c:pt idx="184">
                  <c:v>0.50408719346049047</c:v>
                </c:pt>
                <c:pt idx="185">
                  <c:v>0.50681198910081748</c:v>
                </c:pt>
                <c:pt idx="186">
                  <c:v>0.50953678474114439</c:v>
                </c:pt>
                <c:pt idx="187">
                  <c:v>0.5122615803814714</c:v>
                </c:pt>
                <c:pt idx="188">
                  <c:v>0.51498637602179842</c:v>
                </c:pt>
                <c:pt idx="189">
                  <c:v>0.51771117166212532</c:v>
                </c:pt>
                <c:pt idx="190">
                  <c:v>0.52043596730245234</c:v>
                </c:pt>
                <c:pt idx="191">
                  <c:v>0.52316076294277924</c:v>
                </c:pt>
                <c:pt idx="192">
                  <c:v>0.52588555858310626</c:v>
                </c:pt>
                <c:pt idx="193">
                  <c:v>0.52861035422343328</c:v>
                </c:pt>
                <c:pt idx="194">
                  <c:v>0.53133514986376018</c:v>
                </c:pt>
                <c:pt idx="195">
                  <c:v>0.5340599455040872</c:v>
                </c:pt>
                <c:pt idx="196">
                  <c:v>0.53678474114441421</c:v>
                </c:pt>
                <c:pt idx="197">
                  <c:v>0.53950953678474112</c:v>
                </c:pt>
                <c:pt idx="198">
                  <c:v>0.54223433242506813</c:v>
                </c:pt>
                <c:pt idx="199">
                  <c:v>0.54495912806539515</c:v>
                </c:pt>
                <c:pt idx="200">
                  <c:v>0.54768392370572205</c:v>
                </c:pt>
                <c:pt idx="201">
                  <c:v>0.55040871934604907</c:v>
                </c:pt>
                <c:pt idx="202">
                  <c:v>0.55313351498637597</c:v>
                </c:pt>
                <c:pt idx="203">
                  <c:v>0.55585831062670299</c:v>
                </c:pt>
                <c:pt idx="204">
                  <c:v>0.55858310626703001</c:v>
                </c:pt>
                <c:pt idx="205">
                  <c:v>0.56130790190735691</c:v>
                </c:pt>
                <c:pt idx="206">
                  <c:v>0.56403269754768393</c:v>
                </c:pt>
                <c:pt idx="207">
                  <c:v>0.56675749318801094</c:v>
                </c:pt>
                <c:pt idx="208">
                  <c:v>0.56948228882833785</c:v>
                </c:pt>
                <c:pt idx="209">
                  <c:v>0.57220708446866486</c:v>
                </c:pt>
                <c:pt idx="210">
                  <c:v>0.57493188010899188</c:v>
                </c:pt>
                <c:pt idx="211">
                  <c:v>0.57765667574931878</c:v>
                </c:pt>
                <c:pt idx="212">
                  <c:v>0.5803814713896458</c:v>
                </c:pt>
                <c:pt idx="213">
                  <c:v>0.5831062670299727</c:v>
                </c:pt>
                <c:pt idx="214">
                  <c:v>0.58583106267029972</c:v>
                </c:pt>
                <c:pt idx="215">
                  <c:v>0.58855585831062673</c:v>
                </c:pt>
                <c:pt idx="216">
                  <c:v>0.59128065395095364</c:v>
                </c:pt>
                <c:pt idx="217">
                  <c:v>0.59400544959128065</c:v>
                </c:pt>
                <c:pt idx="218">
                  <c:v>0.59673024523160767</c:v>
                </c:pt>
                <c:pt idx="219">
                  <c:v>0.59945504087193457</c:v>
                </c:pt>
                <c:pt idx="220">
                  <c:v>0.60217983651226159</c:v>
                </c:pt>
                <c:pt idx="221">
                  <c:v>0.60490463215258861</c:v>
                </c:pt>
                <c:pt idx="222">
                  <c:v>0.60762942779291551</c:v>
                </c:pt>
                <c:pt idx="223">
                  <c:v>0.61035422343324253</c:v>
                </c:pt>
                <c:pt idx="224">
                  <c:v>0.61307901907356943</c:v>
                </c:pt>
                <c:pt idx="225">
                  <c:v>0.61580381471389645</c:v>
                </c:pt>
                <c:pt idx="226">
                  <c:v>0.61852861035422346</c:v>
                </c:pt>
                <c:pt idx="227">
                  <c:v>0.62125340599455037</c:v>
                </c:pt>
                <c:pt idx="228">
                  <c:v>0.62397820163487738</c:v>
                </c:pt>
                <c:pt idx="229">
                  <c:v>0.6267029972752044</c:v>
                </c:pt>
                <c:pt idx="230">
                  <c:v>0.6294277929155313</c:v>
                </c:pt>
                <c:pt idx="231">
                  <c:v>0.63215258855585832</c:v>
                </c:pt>
                <c:pt idx="232">
                  <c:v>0.63487738419618533</c:v>
                </c:pt>
                <c:pt idx="233">
                  <c:v>0.63760217983651224</c:v>
                </c:pt>
                <c:pt idx="234">
                  <c:v>0.64032697547683926</c:v>
                </c:pt>
                <c:pt idx="235">
                  <c:v>0.64305177111716616</c:v>
                </c:pt>
                <c:pt idx="236">
                  <c:v>0.64577656675749318</c:v>
                </c:pt>
                <c:pt idx="237">
                  <c:v>0.64850136239782019</c:v>
                </c:pt>
                <c:pt idx="238">
                  <c:v>0.6512261580381471</c:v>
                </c:pt>
                <c:pt idx="239">
                  <c:v>0.65395095367847411</c:v>
                </c:pt>
                <c:pt idx="240">
                  <c:v>0.65667574931880113</c:v>
                </c:pt>
                <c:pt idx="241">
                  <c:v>0.65940054495912803</c:v>
                </c:pt>
                <c:pt idx="242">
                  <c:v>0.66212534059945505</c:v>
                </c:pt>
                <c:pt idx="243">
                  <c:v>0.66485013623978206</c:v>
                </c:pt>
                <c:pt idx="244">
                  <c:v>0.66757493188010897</c:v>
                </c:pt>
                <c:pt idx="245">
                  <c:v>0.67029972752043598</c:v>
                </c:pt>
                <c:pt idx="246">
                  <c:v>0.67302452316076289</c:v>
                </c:pt>
                <c:pt idx="247">
                  <c:v>0.6757493188010899</c:v>
                </c:pt>
                <c:pt idx="248">
                  <c:v>0.67847411444141692</c:v>
                </c:pt>
                <c:pt idx="249">
                  <c:v>0.68119891008174382</c:v>
                </c:pt>
                <c:pt idx="250">
                  <c:v>0.68392370572207084</c:v>
                </c:pt>
                <c:pt idx="251">
                  <c:v>0.68664850136239786</c:v>
                </c:pt>
                <c:pt idx="252">
                  <c:v>0.68937329700272476</c:v>
                </c:pt>
                <c:pt idx="253">
                  <c:v>0.69209809264305178</c:v>
                </c:pt>
                <c:pt idx="254">
                  <c:v>0.69482288828337879</c:v>
                </c:pt>
                <c:pt idx="255">
                  <c:v>0.6975476839237057</c:v>
                </c:pt>
                <c:pt idx="256">
                  <c:v>0.70027247956403271</c:v>
                </c:pt>
                <c:pt idx="257">
                  <c:v>0.70299727520435973</c:v>
                </c:pt>
                <c:pt idx="258">
                  <c:v>0.70572207084468663</c:v>
                </c:pt>
                <c:pt idx="259">
                  <c:v>0.70844686648501365</c:v>
                </c:pt>
                <c:pt idx="260">
                  <c:v>0.71117166212534055</c:v>
                </c:pt>
                <c:pt idx="261">
                  <c:v>0.71389645776566757</c:v>
                </c:pt>
                <c:pt idx="262">
                  <c:v>0.71662125340599458</c:v>
                </c:pt>
                <c:pt idx="263">
                  <c:v>0.71934604904632149</c:v>
                </c:pt>
                <c:pt idx="264">
                  <c:v>0.72207084468664851</c:v>
                </c:pt>
                <c:pt idx="265">
                  <c:v>0.72479564032697552</c:v>
                </c:pt>
                <c:pt idx="266">
                  <c:v>0.72752043596730243</c:v>
                </c:pt>
                <c:pt idx="267">
                  <c:v>0.73024523160762944</c:v>
                </c:pt>
                <c:pt idx="268">
                  <c:v>0.73297002724795646</c:v>
                </c:pt>
                <c:pt idx="269">
                  <c:v>0.73569482288828336</c:v>
                </c:pt>
                <c:pt idx="270">
                  <c:v>0.73841961852861038</c:v>
                </c:pt>
                <c:pt idx="271">
                  <c:v>0.74114441416893728</c:v>
                </c:pt>
                <c:pt idx="272">
                  <c:v>0.7438692098092643</c:v>
                </c:pt>
                <c:pt idx="273">
                  <c:v>0.74659400544959131</c:v>
                </c:pt>
                <c:pt idx="274">
                  <c:v>0.74931880108991822</c:v>
                </c:pt>
                <c:pt idx="275">
                  <c:v>0.75204359673024523</c:v>
                </c:pt>
                <c:pt idx="276">
                  <c:v>0.75476839237057225</c:v>
                </c:pt>
                <c:pt idx="277">
                  <c:v>0.75749318801089915</c:v>
                </c:pt>
                <c:pt idx="278">
                  <c:v>0.76021798365122617</c:v>
                </c:pt>
                <c:pt idx="279">
                  <c:v>0.76294277929155319</c:v>
                </c:pt>
                <c:pt idx="280">
                  <c:v>0.76566757493188009</c:v>
                </c:pt>
                <c:pt idx="281">
                  <c:v>0.76839237057220711</c:v>
                </c:pt>
                <c:pt idx="282">
                  <c:v>0.77111716621253401</c:v>
                </c:pt>
                <c:pt idx="283">
                  <c:v>0.77384196185286103</c:v>
                </c:pt>
                <c:pt idx="284">
                  <c:v>0.77656675749318804</c:v>
                </c:pt>
                <c:pt idx="285">
                  <c:v>0.77929155313351495</c:v>
                </c:pt>
                <c:pt idx="286">
                  <c:v>0.78201634877384196</c:v>
                </c:pt>
                <c:pt idx="287">
                  <c:v>0.78474114441416898</c:v>
                </c:pt>
                <c:pt idx="288">
                  <c:v>0.78746594005449588</c:v>
                </c:pt>
                <c:pt idx="289">
                  <c:v>0.7901907356948229</c:v>
                </c:pt>
                <c:pt idx="290">
                  <c:v>0.79291553133514991</c:v>
                </c:pt>
                <c:pt idx="291">
                  <c:v>0.79564032697547682</c:v>
                </c:pt>
                <c:pt idx="292">
                  <c:v>0.79836512261580383</c:v>
                </c:pt>
                <c:pt idx="293">
                  <c:v>0.80108991825613074</c:v>
                </c:pt>
                <c:pt idx="294">
                  <c:v>0.80381471389645776</c:v>
                </c:pt>
                <c:pt idx="295">
                  <c:v>0.80653950953678477</c:v>
                </c:pt>
                <c:pt idx="296">
                  <c:v>0.80926430517711168</c:v>
                </c:pt>
                <c:pt idx="297">
                  <c:v>0.81198910081743869</c:v>
                </c:pt>
                <c:pt idx="298">
                  <c:v>0.81471389645776571</c:v>
                </c:pt>
                <c:pt idx="299">
                  <c:v>0.81743869209809261</c:v>
                </c:pt>
                <c:pt idx="300">
                  <c:v>0</c:v>
                </c:pt>
                <c:pt idx="301">
                  <c:v>#N/A</c:v>
                </c:pt>
              </c:numCache>
            </c:numRef>
          </c:yVal>
          <c:smooth val="0"/>
          <c:extLst>
            <c:ext xmlns:c16="http://schemas.microsoft.com/office/drawing/2014/chart" uri="{C3380CC4-5D6E-409C-BE32-E72D297353CC}">
              <c16:uniqueId val="{00000000-C776-481B-991F-84658B7901BC}"/>
            </c:ext>
          </c:extLst>
        </c:ser>
        <c:ser>
          <c:idx val="1"/>
          <c:order val="1"/>
          <c:tx>
            <c:v>Cumulative Distribution Function</c:v>
          </c:tx>
          <c:spPr>
            <a:ln w="25400">
              <a:solidFill>
                <a:srgbClr val="FF0000"/>
              </a:solidFill>
              <a:prstDash val="solid"/>
            </a:ln>
          </c:spPr>
          <c:marker>
            <c:symbol val="none"/>
          </c:marker>
          <c:xVal>
            <c:numRef>
              <c:f>'PDF and CDF'!$B$2:$B$201</c:f>
              <c:numCache>
                <c:formatCode>0.000</c:formatCode>
                <c:ptCount val="200"/>
                <c:pt idx="0">
                  <c:v>3.1631699694412928E-3</c:v>
                </c:pt>
                <c:pt idx="1">
                  <c:v>6.3263399388825857E-3</c:v>
                </c:pt>
                <c:pt idx="2">
                  <c:v>9.4895099083238781E-3</c:v>
                </c:pt>
                <c:pt idx="3">
                  <c:v>1.2652679877765171E-2</c:v>
                </c:pt>
                <c:pt idx="4">
                  <c:v>1.5815849847206465E-2</c:v>
                </c:pt>
                <c:pt idx="5">
                  <c:v>1.8979019816647756E-2</c:v>
                </c:pt>
                <c:pt idx="6">
                  <c:v>2.2142189786089048E-2</c:v>
                </c:pt>
                <c:pt idx="7">
                  <c:v>2.5305359755530343E-2</c:v>
                </c:pt>
                <c:pt idx="8">
                  <c:v>2.8468529724971638E-2</c:v>
                </c:pt>
                <c:pt idx="9">
                  <c:v>3.1631699694412929E-2</c:v>
                </c:pt>
                <c:pt idx="10">
                  <c:v>3.4794869663854221E-2</c:v>
                </c:pt>
                <c:pt idx="11">
                  <c:v>3.7958039633295512E-2</c:v>
                </c:pt>
                <c:pt idx="12">
                  <c:v>4.1121209602736811E-2</c:v>
                </c:pt>
                <c:pt idx="13">
                  <c:v>4.4284379572178095E-2</c:v>
                </c:pt>
                <c:pt idx="14">
                  <c:v>4.7447549541619394E-2</c:v>
                </c:pt>
                <c:pt idx="15">
                  <c:v>5.0610719511060685E-2</c:v>
                </c:pt>
                <c:pt idx="16">
                  <c:v>5.3773889480501984E-2</c:v>
                </c:pt>
                <c:pt idx="17">
                  <c:v>5.6937059449943275E-2</c:v>
                </c:pt>
                <c:pt idx="18">
                  <c:v>6.010022941938456E-2</c:v>
                </c:pt>
                <c:pt idx="19">
                  <c:v>6.3263399388825858E-2</c:v>
                </c:pt>
                <c:pt idx="20">
                  <c:v>6.6426569358267157E-2</c:v>
                </c:pt>
                <c:pt idx="21">
                  <c:v>6.9589739327708441E-2</c:v>
                </c:pt>
                <c:pt idx="22">
                  <c:v>7.275290929714974E-2</c:v>
                </c:pt>
                <c:pt idx="23">
                  <c:v>7.5916079266591024E-2</c:v>
                </c:pt>
                <c:pt idx="24">
                  <c:v>7.9079249236032323E-2</c:v>
                </c:pt>
                <c:pt idx="25">
                  <c:v>8.2242419205473621E-2</c:v>
                </c:pt>
                <c:pt idx="26">
                  <c:v>8.540558917491492E-2</c:v>
                </c:pt>
                <c:pt idx="27">
                  <c:v>8.8568759144356191E-2</c:v>
                </c:pt>
                <c:pt idx="28">
                  <c:v>9.1731929113797489E-2</c:v>
                </c:pt>
                <c:pt idx="29">
                  <c:v>9.4895099083238788E-2</c:v>
                </c:pt>
                <c:pt idx="30">
                  <c:v>9.8058269052680072E-2</c:v>
                </c:pt>
                <c:pt idx="31">
                  <c:v>0.10122143902212137</c:v>
                </c:pt>
                <c:pt idx="32">
                  <c:v>0.10438460899156267</c:v>
                </c:pt>
                <c:pt idx="33">
                  <c:v>0.10754777896100397</c:v>
                </c:pt>
                <c:pt idx="34">
                  <c:v>0.11071094893044525</c:v>
                </c:pt>
                <c:pt idx="35">
                  <c:v>0.11387411889988655</c:v>
                </c:pt>
                <c:pt idx="36">
                  <c:v>0.11703728886932784</c:v>
                </c:pt>
                <c:pt idx="37">
                  <c:v>0.12020045883876912</c:v>
                </c:pt>
                <c:pt idx="38">
                  <c:v>0.12336362880821042</c:v>
                </c:pt>
                <c:pt idx="39">
                  <c:v>0.12652679877765172</c:v>
                </c:pt>
                <c:pt idx="40">
                  <c:v>0.12968996874709302</c:v>
                </c:pt>
                <c:pt idx="41">
                  <c:v>0.13285313871653431</c:v>
                </c:pt>
                <c:pt idx="42">
                  <c:v>0.13601630868597561</c:v>
                </c:pt>
                <c:pt idx="43">
                  <c:v>0.13917947865541688</c:v>
                </c:pt>
                <c:pt idx="44">
                  <c:v>0.14234264862485818</c:v>
                </c:pt>
                <c:pt idx="45">
                  <c:v>0.14550581859429948</c:v>
                </c:pt>
                <c:pt idx="46">
                  <c:v>0.14866898856374078</c:v>
                </c:pt>
                <c:pt idx="47">
                  <c:v>0.15183215853318205</c:v>
                </c:pt>
                <c:pt idx="48">
                  <c:v>0.15499532850262335</c:v>
                </c:pt>
                <c:pt idx="49">
                  <c:v>0.15815849847206465</c:v>
                </c:pt>
                <c:pt idx="50">
                  <c:v>0.16132166844150592</c:v>
                </c:pt>
                <c:pt idx="51">
                  <c:v>0.16448483841094724</c:v>
                </c:pt>
                <c:pt idx="52">
                  <c:v>0.16764800838038851</c:v>
                </c:pt>
                <c:pt idx="53">
                  <c:v>0.17081117834982984</c:v>
                </c:pt>
                <c:pt idx="54">
                  <c:v>0.17397434831927111</c:v>
                </c:pt>
                <c:pt idx="55">
                  <c:v>0.17713751828871238</c:v>
                </c:pt>
                <c:pt idx="56">
                  <c:v>0.18030068825815371</c:v>
                </c:pt>
                <c:pt idx="57">
                  <c:v>0.18346385822759498</c:v>
                </c:pt>
                <c:pt idx="58">
                  <c:v>0.18662702819703628</c:v>
                </c:pt>
                <c:pt idx="59">
                  <c:v>0.18979019816647758</c:v>
                </c:pt>
                <c:pt idx="60">
                  <c:v>0.19295336813591887</c:v>
                </c:pt>
                <c:pt idx="61">
                  <c:v>0.19611653810536014</c:v>
                </c:pt>
                <c:pt idx="62">
                  <c:v>0.19927970807480147</c:v>
                </c:pt>
                <c:pt idx="63">
                  <c:v>0.20244287804424274</c:v>
                </c:pt>
                <c:pt idx="64">
                  <c:v>0.20560604801368401</c:v>
                </c:pt>
                <c:pt idx="65">
                  <c:v>0.20876921798312534</c:v>
                </c:pt>
                <c:pt idx="66">
                  <c:v>0.21193238795256661</c:v>
                </c:pt>
                <c:pt idx="67">
                  <c:v>0.21509555792200794</c:v>
                </c:pt>
                <c:pt idx="68">
                  <c:v>0.21825872789144921</c:v>
                </c:pt>
                <c:pt idx="69">
                  <c:v>0.2214218978608905</c:v>
                </c:pt>
                <c:pt idx="70">
                  <c:v>0.2245850678303318</c:v>
                </c:pt>
                <c:pt idx="71">
                  <c:v>0.2277482377997731</c:v>
                </c:pt>
                <c:pt idx="72">
                  <c:v>0.23091140776921437</c:v>
                </c:pt>
                <c:pt idx="73">
                  <c:v>0.23407457773865567</c:v>
                </c:pt>
                <c:pt idx="74">
                  <c:v>0.23723774770809697</c:v>
                </c:pt>
                <c:pt idx="75">
                  <c:v>0.24040091767753824</c:v>
                </c:pt>
                <c:pt idx="76">
                  <c:v>0.24356408764697957</c:v>
                </c:pt>
                <c:pt idx="77">
                  <c:v>0.24672725761642084</c:v>
                </c:pt>
                <c:pt idx="78">
                  <c:v>0.24989042758586216</c:v>
                </c:pt>
                <c:pt idx="79">
                  <c:v>0.25305359755530343</c:v>
                </c:pt>
                <c:pt idx="80">
                  <c:v>0.2562167675247447</c:v>
                </c:pt>
                <c:pt idx="81">
                  <c:v>0.25937993749418603</c:v>
                </c:pt>
                <c:pt idx="82">
                  <c:v>0.2625431074636273</c:v>
                </c:pt>
                <c:pt idx="83">
                  <c:v>0.26570627743306863</c:v>
                </c:pt>
                <c:pt idx="84">
                  <c:v>0.2688694474025099</c:v>
                </c:pt>
                <c:pt idx="85">
                  <c:v>0.27203261737195122</c:v>
                </c:pt>
                <c:pt idx="86">
                  <c:v>0.27519578734139249</c:v>
                </c:pt>
                <c:pt idx="87">
                  <c:v>0.27835895731083377</c:v>
                </c:pt>
                <c:pt idx="88">
                  <c:v>0.28152212728027509</c:v>
                </c:pt>
                <c:pt idx="89">
                  <c:v>0.28468529724971636</c:v>
                </c:pt>
                <c:pt idx="90">
                  <c:v>0.28784846721915769</c:v>
                </c:pt>
                <c:pt idx="91">
                  <c:v>0.29101163718859896</c:v>
                </c:pt>
                <c:pt idx="92">
                  <c:v>0.29417480715804023</c:v>
                </c:pt>
                <c:pt idx="93">
                  <c:v>0.29733797712748156</c:v>
                </c:pt>
                <c:pt idx="94">
                  <c:v>0.30050114709692283</c:v>
                </c:pt>
                <c:pt idx="95">
                  <c:v>0.3036643170663641</c:v>
                </c:pt>
                <c:pt idx="96">
                  <c:v>0.30682748703580542</c:v>
                </c:pt>
                <c:pt idx="97">
                  <c:v>0.30999065700524669</c:v>
                </c:pt>
                <c:pt idx="98">
                  <c:v>0.31315382697468797</c:v>
                </c:pt>
                <c:pt idx="99">
                  <c:v>0.31631699694412929</c:v>
                </c:pt>
                <c:pt idx="100">
                  <c:v>0.31948016691357056</c:v>
                </c:pt>
                <c:pt idx="101">
                  <c:v>0.32264333688301183</c:v>
                </c:pt>
                <c:pt idx="102">
                  <c:v>0.32580650685245316</c:v>
                </c:pt>
                <c:pt idx="103">
                  <c:v>0.32896967682189449</c:v>
                </c:pt>
                <c:pt idx="104">
                  <c:v>0.3321328467913357</c:v>
                </c:pt>
                <c:pt idx="105">
                  <c:v>0.33529601676077703</c:v>
                </c:pt>
                <c:pt idx="106">
                  <c:v>0.33845918673021835</c:v>
                </c:pt>
                <c:pt idx="107">
                  <c:v>0.34162235669965968</c:v>
                </c:pt>
                <c:pt idx="108">
                  <c:v>0.34478552666910089</c:v>
                </c:pt>
                <c:pt idx="109">
                  <c:v>0.34794869663854222</c:v>
                </c:pt>
                <c:pt idx="110">
                  <c:v>0.35111186660798355</c:v>
                </c:pt>
                <c:pt idx="111">
                  <c:v>0.35427503657742476</c:v>
                </c:pt>
                <c:pt idx="112">
                  <c:v>0.35743820654686609</c:v>
                </c:pt>
                <c:pt idx="113">
                  <c:v>0.36060137651630741</c:v>
                </c:pt>
                <c:pt idx="114">
                  <c:v>0.36376454648574869</c:v>
                </c:pt>
                <c:pt idx="115">
                  <c:v>0.36692771645518996</c:v>
                </c:pt>
                <c:pt idx="116">
                  <c:v>0.37009088642463128</c:v>
                </c:pt>
                <c:pt idx="117">
                  <c:v>0.37325405639407255</c:v>
                </c:pt>
                <c:pt idx="118">
                  <c:v>0.37641722636351388</c:v>
                </c:pt>
                <c:pt idx="119">
                  <c:v>0.37958039633295515</c:v>
                </c:pt>
                <c:pt idx="120">
                  <c:v>0.38274356630239642</c:v>
                </c:pt>
                <c:pt idx="121">
                  <c:v>0.38590673627183775</c:v>
                </c:pt>
                <c:pt idx="122">
                  <c:v>0.38906990624127902</c:v>
                </c:pt>
                <c:pt idx="123">
                  <c:v>0.39223307621072029</c:v>
                </c:pt>
                <c:pt idx="124">
                  <c:v>0.39539624618016161</c:v>
                </c:pt>
                <c:pt idx="125">
                  <c:v>0.39855941614960294</c:v>
                </c:pt>
                <c:pt idx="126">
                  <c:v>0.40172258611904416</c:v>
                </c:pt>
                <c:pt idx="127">
                  <c:v>0.40488575608848548</c:v>
                </c:pt>
                <c:pt idx="128">
                  <c:v>0.40804892605792681</c:v>
                </c:pt>
                <c:pt idx="129">
                  <c:v>0.41121209602736802</c:v>
                </c:pt>
                <c:pt idx="130">
                  <c:v>0.41437526599680935</c:v>
                </c:pt>
                <c:pt idx="131">
                  <c:v>0.41753843596625068</c:v>
                </c:pt>
                <c:pt idx="132">
                  <c:v>0.420701605935692</c:v>
                </c:pt>
                <c:pt idx="133">
                  <c:v>0.42386477590513322</c:v>
                </c:pt>
                <c:pt idx="134">
                  <c:v>0.42702794587457454</c:v>
                </c:pt>
                <c:pt idx="135">
                  <c:v>0.43019111584401587</c:v>
                </c:pt>
                <c:pt idx="136">
                  <c:v>0.43335428581345709</c:v>
                </c:pt>
                <c:pt idx="137">
                  <c:v>0.43651745578289841</c:v>
                </c:pt>
                <c:pt idx="138">
                  <c:v>0.43968062575233974</c:v>
                </c:pt>
                <c:pt idx="139">
                  <c:v>0.44284379572178101</c:v>
                </c:pt>
                <c:pt idx="140">
                  <c:v>0.44600696569122228</c:v>
                </c:pt>
                <c:pt idx="141">
                  <c:v>0.44917013566066361</c:v>
                </c:pt>
                <c:pt idx="142">
                  <c:v>0.45233330563010488</c:v>
                </c:pt>
                <c:pt idx="143">
                  <c:v>0.4554964755995462</c:v>
                </c:pt>
                <c:pt idx="144">
                  <c:v>0.45865964556898747</c:v>
                </c:pt>
                <c:pt idx="145">
                  <c:v>0.46182281553842874</c:v>
                </c:pt>
                <c:pt idx="146">
                  <c:v>0.46498598550787007</c:v>
                </c:pt>
                <c:pt idx="147">
                  <c:v>0.46814915547731134</c:v>
                </c:pt>
                <c:pt idx="148">
                  <c:v>0.47131232544675261</c:v>
                </c:pt>
                <c:pt idx="149">
                  <c:v>0.47447549541619394</c:v>
                </c:pt>
                <c:pt idx="150">
                  <c:v>0.47763866538563526</c:v>
                </c:pt>
                <c:pt idx="151">
                  <c:v>0.48080183535507648</c:v>
                </c:pt>
                <c:pt idx="152">
                  <c:v>0.48396500532451781</c:v>
                </c:pt>
                <c:pt idx="153">
                  <c:v>0.48712817529395913</c:v>
                </c:pt>
                <c:pt idx="154">
                  <c:v>0.49029134526340035</c:v>
                </c:pt>
                <c:pt idx="155">
                  <c:v>0.49345451523284167</c:v>
                </c:pt>
                <c:pt idx="156">
                  <c:v>0.496617685202283</c:v>
                </c:pt>
                <c:pt idx="157">
                  <c:v>0.49978085517172433</c:v>
                </c:pt>
                <c:pt idx="158">
                  <c:v>0.50294402514116554</c:v>
                </c:pt>
                <c:pt idx="159">
                  <c:v>0.50610719511060687</c:v>
                </c:pt>
                <c:pt idx="160">
                  <c:v>0.50927036508004819</c:v>
                </c:pt>
                <c:pt idx="161">
                  <c:v>0.51243353504948941</c:v>
                </c:pt>
                <c:pt idx="162">
                  <c:v>0.51559670501893073</c:v>
                </c:pt>
                <c:pt idx="163">
                  <c:v>0.51875987498837206</c:v>
                </c:pt>
                <c:pt idx="164">
                  <c:v>0.52192304495781339</c:v>
                </c:pt>
                <c:pt idx="165">
                  <c:v>0.5250862149272546</c:v>
                </c:pt>
                <c:pt idx="166">
                  <c:v>0.52824938489669593</c:v>
                </c:pt>
                <c:pt idx="167">
                  <c:v>0.53141255486613725</c:v>
                </c:pt>
                <c:pt idx="168">
                  <c:v>0.53457572483557847</c:v>
                </c:pt>
                <c:pt idx="169">
                  <c:v>0.5377388948050198</c:v>
                </c:pt>
                <c:pt idx="170">
                  <c:v>0.54090206477446112</c:v>
                </c:pt>
                <c:pt idx="171">
                  <c:v>0.54406523474390245</c:v>
                </c:pt>
                <c:pt idx="172">
                  <c:v>0.54722840471334366</c:v>
                </c:pt>
                <c:pt idx="173">
                  <c:v>0.55039157468278499</c:v>
                </c:pt>
                <c:pt idx="174">
                  <c:v>0.55355474465222632</c:v>
                </c:pt>
                <c:pt idx="175">
                  <c:v>0.55671791462166753</c:v>
                </c:pt>
                <c:pt idx="176">
                  <c:v>0.55988108459110886</c:v>
                </c:pt>
                <c:pt idx="177">
                  <c:v>0.56304425456055018</c:v>
                </c:pt>
                <c:pt idx="178">
                  <c:v>0.56620742452999151</c:v>
                </c:pt>
                <c:pt idx="179">
                  <c:v>0.56937059449943273</c:v>
                </c:pt>
                <c:pt idx="180">
                  <c:v>0.57253376446887405</c:v>
                </c:pt>
                <c:pt idx="181">
                  <c:v>0.57569693443831538</c:v>
                </c:pt>
                <c:pt idx="182">
                  <c:v>0.57886010440775659</c:v>
                </c:pt>
                <c:pt idx="183">
                  <c:v>0.58202327437719792</c:v>
                </c:pt>
                <c:pt idx="184">
                  <c:v>0.58518644434663925</c:v>
                </c:pt>
                <c:pt idx="185">
                  <c:v>0.58834961431608046</c:v>
                </c:pt>
                <c:pt idx="186">
                  <c:v>0.59151278428552179</c:v>
                </c:pt>
                <c:pt idx="187">
                  <c:v>0.59467595425496311</c:v>
                </c:pt>
                <c:pt idx="188">
                  <c:v>0.59783912422440433</c:v>
                </c:pt>
                <c:pt idx="189">
                  <c:v>0.60100229419384565</c:v>
                </c:pt>
                <c:pt idx="190">
                  <c:v>0.60416546416328698</c:v>
                </c:pt>
                <c:pt idx="191">
                  <c:v>0.6073286341327282</c:v>
                </c:pt>
                <c:pt idx="192">
                  <c:v>0.61049180410216952</c:v>
                </c:pt>
                <c:pt idx="193">
                  <c:v>0.61365497407161085</c:v>
                </c:pt>
                <c:pt idx="194">
                  <c:v>0.61681814404105206</c:v>
                </c:pt>
                <c:pt idx="195">
                  <c:v>0.61998131401049339</c:v>
                </c:pt>
                <c:pt idx="196">
                  <c:v>0.62314448397993472</c:v>
                </c:pt>
                <c:pt idx="197">
                  <c:v>0.62630765394937593</c:v>
                </c:pt>
                <c:pt idx="198">
                  <c:v>0.62947082391881726</c:v>
                </c:pt>
                <c:pt idx="199">
                  <c:v>0.63263399388825858</c:v>
                </c:pt>
              </c:numCache>
            </c:numRef>
          </c:xVal>
          <c:yVal>
            <c:numRef>
              <c:f>'PDF and CDF'!$D$2:$D$201</c:f>
              <c:numCache>
                <c:formatCode>0.000</c:formatCode>
                <c:ptCount val="200"/>
                <c:pt idx="0">
                  <c:v>1.1507235018741677E-6</c:v>
                </c:pt>
                <c:pt idx="1">
                  <c:v>2.040743142178905E-6</c:v>
                </c:pt>
                <c:pt idx="2">
                  <c:v>3.5333074740298214E-6</c:v>
                </c:pt>
                <c:pt idx="3">
                  <c:v>5.9784275436772645E-6</c:v>
                </c:pt>
                <c:pt idx="4">
                  <c:v>9.8951729923289995E-6</c:v>
                </c:pt>
                <c:pt idx="5">
                  <c:v>1.603583563507424E-5</c:v>
                </c:pt>
                <c:pt idx="6">
                  <c:v>2.5466876966936816E-5</c:v>
                </c:pt>
                <c:pt idx="7">
                  <c:v>3.9668308874742115E-5</c:v>
                </c:pt>
                <c:pt idx="8">
                  <c:v>6.0652426334244107E-5</c:v>
                </c:pt>
                <c:pt idx="9">
                  <c:v>9.1101807060431012E-5</c:v>
                </c:pt>
                <c:pt idx="10">
                  <c:v>1.3452524554089423E-4</c:v>
                </c:pt>
                <c:pt idx="11">
                  <c:v>1.9542885790596549E-4</c:v>
                </c:pt>
                <c:pt idx="12">
                  <c:v>2.7949806824719087E-4</c:v>
                </c:pt>
                <c:pt idx="13">
                  <c:v>3.9378467689621909E-4</c:v>
                </c:pt>
                <c:pt idx="14">
                  <c:v>5.4689183996696684E-4</c:v>
                </c:pt>
                <c:pt idx="15">
                  <c:v>7.4914868116561625E-4</c:v>
                </c:pt>
                <c:pt idx="16">
                  <c:v>1.0127655239618228E-3</c:v>
                </c:pt>
                <c:pt idx="17">
                  <c:v>1.3519604639851135E-3</c:v>
                </c:pt>
                <c:pt idx="18">
                  <c:v>1.7830482546302433E-3</c:v>
                </c:pt>
                <c:pt idx="19">
                  <c:v>2.3244832712088774E-3</c:v>
                </c:pt>
                <c:pt idx="20">
                  <c:v>2.9968496274453485E-3</c:v>
                </c:pt>
                <c:pt idx="21">
                  <c:v>3.8227932803676099E-3</c:v>
                </c:pt>
                <c:pt idx="22">
                  <c:v>4.8268930797023659E-3</c:v>
                </c:pt>
                <c:pt idx="23">
                  <c:v>6.0354700745092133E-3</c:v>
                </c:pt>
                <c:pt idx="24">
                  <c:v>7.4763368468020782E-3</c:v>
                </c:pt>
                <c:pt idx="25">
                  <c:v>9.1784910592157074E-3</c:v>
                </c:pt>
                <c:pt idx="26">
                  <c:v>1.117175964801541E-2</c:v>
                </c:pt>
                <c:pt idx="27">
                  <c:v>1.3486402046580732E-2</c:v>
                </c:pt>
                <c:pt idx="28">
                  <c:v>1.6152682393845475E-2</c:v>
                </c:pt>
                <c:pt idx="29">
                  <c:v>1.9200421801012422E-2</c:v>
                </c:pt>
                <c:pt idx="30">
                  <c:v>2.2658542382354409E-2</c:v>
                </c:pt>
                <c:pt idx="31">
                  <c:v>2.6554614896148288E-2</c:v>
                </c:pt>
                <c:pt idx="32">
                  <c:v>3.0914421511336772E-2</c:v>
                </c:pt>
                <c:pt idx="33">
                  <c:v>3.5761544459364254E-2</c:v>
                </c:pt>
                <c:pt idx="34">
                  <c:v>4.1116990212000847E-2</c:v>
                </c:pt>
                <c:pt idx="35">
                  <c:v>4.6998857420579847E-2</c:v>
                </c:pt>
                <c:pt idx="36">
                  <c:v>5.3422055242354008E-2</c:v>
                </c:pt>
                <c:pt idx="37">
                  <c:v>6.0398076949372319E-2</c:v>
                </c:pt>
                <c:pt idx="38">
                  <c:v>6.7934831944710894E-2</c:v>
                </c:pt>
                <c:pt idx="39">
                  <c:v>7.6036537573161964E-2</c:v>
                </c:pt>
                <c:pt idx="40">
                  <c:v>8.4703670471652934E-2</c:v>
                </c:pt>
                <c:pt idx="41">
                  <c:v>9.3932975709954347E-2</c:v>
                </c:pt>
                <c:pt idx="42">
                  <c:v>0.10371753066319431</c:v>
                </c:pt>
                <c:pt idx="43">
                  <c:v>0.11404685946018456</c:v>
                </c:pt>
                <c:pt idx="44">
                  <c:v>0.12490709297943295</c:v>
                </c:pt>
                <c:pt idx="45">
                  <c:v>0.13628116872098847</c:v>
                </c:pt>
                <c:pt idx="46">
                  <c:v>0.14814906446069978</c:v>
                </c:pt>
                <c:pt idx="47">
                  <c:v>0.16048805938025484</c:v>
                </c:pt>
                <c:pt idx="48">
                  <c:v>0.17327301634199169</c:v>
                </c:pt>
                <c:pt idx="49">
                  <c:v>0.18647667911839141</c:v>
                </c:pt>
                <c:pt idx="50">
                  <c:v>0.20006997866651524</c:v>
                </c:pt>
                <c:pt idx="51">
                  <c:v>0.21402234293059411</c:v>
                </c:pt>
                <c:pt idx="52">
                  <c:v>0.22830200513499083</c:v>
                </c:pt>
                <c:pt idx="53">
                  <c:v>0.24287630606954957</c:v>
                </c:pt>
                <c:pt idx="54">
                  <c:v>0.25771198644658566</c:v>
                </c:pt>
                <c:pt idx="55">
                  <c:v>0.27277546600268526</c:v>
                </c:pt>
                <c:pt idx="56">
                  <c:v>0.28803310661100712</c:v>
                </c:pt>
                <c:pt idx="57">
                  <c:v>0.30345145724589007</c:v>
                </c:pt>
                <c:pt idx="58">
                  <c:v>0.31899747918910143</c:v>
                </c:pt>
                <c:pt idx="59">
                  <c:v>0.33463875037668983</c:v>
                </c:pt>
                <c:pt idx="60">
                  <c:v>0.35034364825045822</c:v>
                </c:pt>
                <c:pt idx="61">
                  <c:v>0.36608151089415575</c:v>
                </c:pt>
                <c:pt idx="62">
                  <c:v>0.38182277659935698</c:v>
                </c:pt>
                <c:pt idx="63">
                  <c:v>0.3975391023190864</c:v>
                </c:pt>
                <c:pt idx="64">
                  <c:v>0.41320346172951528</c:v>
                </c:pt>
                <c:pt idx="65">
                  <c:v>0.42879022383352217</c:v>
                </c:pt>
                <c:pt idx="66">
                  <c:v>0.4442752132075703</c:v>
                </c:pt>
                <c:pt idx="67">
                  <c:v>0.45963575311875293</c:v>
                </c:pt>
                <c:pt idx="68">
                  <c:v>0.47485069282597797</c:v>
                </c:pt>
                <c:pt idx="69">
                  <c:v>0.48990042043235194</c:v>
                </c:pt>
                <c:pt idx="70">
                  <c:v>0.50476686267909809</c:v>
                </c:pt>
                <c:pt idx="71">
                  <c:v>0.51943347306908894</c:v>
                </c:pt>
                <c:pt idx="72">
                  <c:v>0.53388520968429076</c:v>
                </c:pt>
                <c:pt idx="73">
                  <c:v>0.54810850401998079</c:v>
                </c:pt>
                <c:pt idx="74">
                  <c:v>0.56209122210302498</c:v>
                </c:pt>
                <c:pt idx="75">
                  <c:v>0.57582261909503862</c:v>
                </c:pt>
                <c:pt idx="76">
                  <c:v>0.58929328850677576</c:v>
                </c:pt>
                <c:pt idx="77">
                  <c:v>0.60249510707016329</c:v>
                </c:pt>
                <c:pt idx="78">
                  <c:v>0.6154211762312346</c:v>
                </c:pt>
                <c:pt idx="79">
                  <c:v>0.62806576114269852</c:v>
                </c:pt>
                <c:pt idx="80">
                  <c:v>0.64042422795062404</c:v>
                </c:pt>
                <c:pt idx="81">
                  <c:v>0.65249298008699863</c:v>
                </c:pt>
                <c:pt idx="82">
                  <c:v>0.6642693941998189</c:v>
                </c:pt>
                <c:pt idx="83">
                  <c:v>0.67575175627568895</c:v>
                </c:pt>
                <c:pt idx="84">
                  <c:v>0.68693919843725415</c:v>
                </c:pt>
                <c:pt idx="85">
                  <c:v>0.69783163682964822</c:v>
                </c:pt>
                <c:pt idx="86">
                  <c:v>0.70842971094672491</c:v>
                </c:pt>
                <c:pt idx="87">
                  <c:v>0.71873472468937349</c:v>
                </c:pt>
                <c:pt idx="88">
                  <c:v>0.72874858939469844</c:v>
                </c:pt>
                <c:pt idx="89">
                  <c:v>0.73847376902624706</c:v>
                </c:pt>
                <c:pt idx="90">
                  <c:v>0.74791322767168122</c:v>
                </c:pt>
                <c:pt idx="91">
                  <c:v>0.75707037945511868</c:v>
                </c:pt>
                <c:pt idx="92">
                  <c:v>0.76594904093663396</c:v>
                </c:pt>
                <c:pt idx="93">
                  <c:v>0.77455338604082546</c:v>
                </c:pt>
                <c:pt idx="94">
                  <c:v>0.78288790352969084</c:v>
                </c:pt>
                <c:pt idx="95">
                  <c:v>0.79095735701200764</c:v>
                </c:pt>
                <c:pt idx="96">
                  <c:v>0.79876674746171095</c:v>
                </c:pt>
                <c:pt idx="97">
                  <c:v>0.80632127820111787</c:v>
                </c:pt>
                <c:pt idx="98">
                  <c:v>0.81362632229098653</c:v>
                </c:pt>
                <c:pt idx="99">
                  <c:v>0.82068739225803822</c:v>
                </c:pt>
                <c:pt idx="100">
                  <c:v>0.82751011208147285</c:v>
                </c:pt>
                <c:pt idx="101">
                  <c:v>0.83410019135291202</c:v>
                </c:pt>
                <c:pt idx="102">
                  <c:v>0.84046340151888199</c:v>
                </c:pt>
                <c:pt idx="103">
                  <c:v>0.84660555411119076</c:v>
                </c:pt>
                <c:pt idx="104">
                  <c:v>0.85253248086816058</c:v>
                </c:pt>
                <c:pt idx="105">
                  <c:v>0.85825001564845749</c:v>
                </c:pt>
                <c:pt idx="106">
                  <c:v>0.86376397803905169</c:v>
                </c:pt>
                <c:pt idx="107">
                  <c:v>0.86908015855951071</c:v>
                </c:pt>
                <c:pt idx="108">
                  <c:v>0.87420430536618998</c:v>
                </c:pt>
                <c:pt idx="109">
                  <c:v>0.879142112361884</c:v>
                </c:pt>
                <c:pt idx="110">
                  <c:v>0.88389920861895266</c:v>
                </c:pt>
                <c:pt idx="111">
                  <c:v>0.88848114902682174</c:v>
                </c:pt>
                <c:pt idx="112">
                  <c:v>0.89289340607791012</c:v>
                </c:pt>
                <c:pt idx="113">
                  <c:v>0.89714136270944889</c:v>
                </c:pt>
                <c:pt idx="114">
                  <c:v>0.9012303061222251</c:v>
                </c:pt>
                <c:pt idx="115">
                  <c:v>0.90516542250095888</c:v>
                </c:pt>
                <c:pt idx="116">
                  <c:v>0.90895179256475978</c:v>
                </c:pt>
                <c:pt idx="117">
                  <c:v>0.91259438787986802</c:v>
                </c:pt>
                <c:pt idx="118">
                  <c:v>0.91609806787062276</c:v>
                </c:pt>
                <c:pt idx="119">
                  <c:v>0.91946757746829277</c:v>
                </c:pt>
                <c:pt idx="120">
                  <c:v>0.92270754534102795</c:v>
                </c:pt>
                <c:pt idx="121">
                  <c:v>0.9258224826517214</c:v>
                </c:pt>
                <c:pt idx="122">
                  <c:v>0.92881678229399678</c:v>
                </c:pt>
                <c:pt idx="123">
                  <c:v>0.93169471855984476</c:v>
                </c:pt>
                <c:pt idx="124">
                  <c:v>0.93446044719560772</c:v>
                </c:pt>
                <c:pt idx="125">
                  <c:v>0.93711800580605964</c:v>
                </c:pt>
                <c:pt idx="126">
                  <c:v>0.93967131456923503</c:v>
                </c:pt>
                <c:pt idx="127">
                  <c:v>0.94212417722742015</c:v>
                </c:pt>
                <c:pt idx="128">
                  <c:v>0.94448028232234904</c:v>
                </c:pt>
                <c:pt idx="129">
                  <c:v>0.94674320464512429</c:v>
                </c:pt>
                <c:pt idx="130">
                  <c:v>0.94891640687372636</c:v>
                </c:pt>
                <c:pt idx="131">
                  <c:v>0.95100324137317627</c:v>
                </c:pt>
                <c:pt idx="132">
                  <c:v>0.95300695213549569</c:v>
                </c:pt>
                <c:pt idx="133">
                  <c:v>0.95493067683853949</c:v>
                </c:pt>
                <c:pt idx="134">
                  <c:v>0.95677744900460315</c:v>
                </c:pt>
                <c:pt idx="135">
                  <c:v>0.95855020024139381</c:v>
                </c:pt>
                <c:pt idx="136">
                  <c:v>0.96025176254954492</c:v>
                </c:pt>
                <c:pt idx="137">
                  <c:v>0.96188487068231776</c:v>
                </c:pt>
                <c:pt idx="138">
                  <c:v>0.963452164544502</c:v>
                </c:pt>
                <c:pt idx="139">
                  <c:v>0.96495619161880031</c:v>
                </c:pt>
                <c:pt idx="140">
                  <c:v>0.9663994094091457</c:v>
                </c:pt>
                <c:pt idx="141">
                  <c:v>0.9677841878914939</c:v>
                </c:pt>
                <c:pt idx="142">
                  <c:v>0.96911281196362897</c:v>
                </c:pt>
                <c:pt idx="143">
                  <c:v>0.97038748388644491</c:v>
                </c:pt>
                <c:pt idx="144">
                  <c:v>0.97161032571001493</c:v>
                </c:pt>
                <c:pt idx="145">
                  <c:v>0.97278338167853751</c:v>
                </c:pt>
                <c:pt idx="146">
                  <c:v>0.97390862060896788</c:v>
                </c:pt>
                <c:pt idx="147">
                  <c:v>0.9749879382387926</c:v>
                </c:pt>
                <c:pt idx="148">
                  <c:v>0.97602315953900898</c:v>
                </c:pt>
                <c:pt idx="149">
                  <c:v>0.97701604098891393</c:v>
                </c:pt>
                <c:pt idx="150">
                  <c:v>0.97796827280980592</c:v>
                </c:pt>
                <c:pt idx="151">
                  <c:v>0.97888148115515516</c:v>
                </c:pt>
                <c:pt idx="152">
                  <c:v>0.979757230255212</c:v>
                </c:pt>
                <c:pt idx="153">
                  <c:v>0.98059702451438802</c:v>
                </c:pt>
                <c:pt idx="154">
                  <c:v>0.98140231056009042</c:v>
                </c:pt>
                <c:pt idx="155">
                  <c:v>0.98217447924198575</c:v>
                </c:pt>
                <c:pt idx="156">
                  <c:v>0.98291486758094637</c:v>
                </c:pt>
                <c:pt idx="157">
                  <c:v>0.98362476066717863</c:v>
                </c:pt>
                <c:pt idx="158">
                  <c:v>0.984305393507247</c:v>
                </c:pt>
                <c:pt idx="159">
                  <c:v>0.98495795281991028</c:v>
                </c:pt>
                <c:pt idx="160">
                  <c:v>0.98558357878085479</c:v>
                </c:pt>
                <c:pt idx="161">
                  <c:v>0.98618336671656659</c:v>
                </c:pt>
                <c:pt idx="162">
                  <c:v>0.98675836874772105</c:v>
                </c:pt>
                <c:pt idx="163">
                  <c:v>0.98730959538258578</c:v>
                </c:pt>
                <c:pt idx="164">
                  <c:v>0.98783801706103991</c:v>
                </c:pt>
                <c:pt idx="165">
                  <c:v>0.98834456564990081</c:v>
                </c:pt>
                <c:pt idx="166">
                  <c:v>0.98883013589032942</c:v>
                </c:pt>
                <c:pt idx="167">
                  <c:v>0.9892955867981521</c:v>
                </c:pt>
                <c:pt idx="168">
                  <c:v>0.98974174301799167</c:v>
                </c:pt>
                <c:pt idx="169">
                  <c:v>0.99016939613214838</c:v>
                </c:pt>
                <c:pt idx="170">
                  <c:v>0.99057930592521237</c:v>
                </c:pt>
                <c:pt idx="171">
                  <c:v>0.99097220160541521</c:v>
                </c:pt>
                <c:pt idx="172">
                  <c:v>0.99134878298375784</c:v>
                </c:pt>
                <c:pt idx="173">
                  <c:v>0.9917097216119668</c:v>
                </c:pt>
                <c:pt idx="174">
                  <c:v>0.99205566188034289</c:v>
                </c:pt>
                <c:pt idx="175">
                  <c:v>0.99238722207657848</c:v>
                </c:pt>
                <c:pt idx="176">
                  <c:v>0.99270499540661583</c:v>
                </c:pt>
                <c:pt idx="177">
                  <c:v>0.9930095509786252</c:v>
                </c:pt>
                <c:pt idx="178">
                  <c:v>0.99330143475117194</c:v>
                </c:pt>
                <c:pt idx="179">
                  <c:v>0.99358117044663885</c:v>
                </c:pt>
                <c:pt idx="180">
                  <c:v>0.99384926043095667</c:v>
                </c:pt>
                <c:pt idx="181">
                  <c:v>0.99410618656068572</c:v>
                </c:pt>
                <c:pt idx="182">
                  <c:v>0.9943524109984776</c:v>
                </c:pt>
                <c:pt idx="183">
                  <c:v>0.9945883769979279</c:v>
                </c:pt>
                <c:pt idx="184">
                  <c:v>0.99481450965881624</c:v>
                </c:pt>
                <c:pt idx="185">
                  <c:v>0.99503121665370931</c:v>
                </c:pt>
                <c:pt idx="186">
                  <c:v>0.9952388889268835</c:v>
                </c:pt>
                <c:pt idx="187">
                  <c:v>0.99543790136650323</c:v>
                </c:pt>
                <c:pt idx="188">
                  <c:v>0.99562861345097087</c:v>
                </c:pt>
                <c:pt idx="189">
                  <c:v>0.9958113698703398</c:v>
                </c:pt>
                <c:pt idx="190">
                  <c:v>0.99598650112366216</c:v>
                </c:pt>
                <c:pt idx="191">
                  <c:v>0.99615432409312099</c:v>
                </c:pt>
                <c:pt idx="192">
                  <c:v>0.99631514259577025</c:v>
                </c:pt>
                <c:pt idx="193">
                  <c:v>0.99646924791368729</c:v>
                </c:pt>
                <c:pt idx="194">
                  <c:v>0.99661691930331842</c:v>
                </c:pt>
                <c:pt idx="195">
                  <c:v>0.99675842448477359</c:v>
                </c:pt>
                <c:pt idx="196">
                  <c:v>0.99689402011180772</c:v>
                </c:pt>
                <c:pt idx="197">
                  <c:v>0.99702395222319851</c:v>
                </c:pt>
                <c:pt idx="198">
                  <c:v>0.99714845667621466</c:v>
                </c:pt>
                <c:pt idx="199">
                  <c:v>0.99726775956284153</c:v>
                </c:pt>
              </c:numCache>
            </c:numRef>
          </c:yVal>
          <c:smooth val="0"/>
          <c:extLst>
            <c:ext xmlns:c16="http://schemas.microsoft.com/office/drawing/2014/chart" uri="{C3380CC4-5D6E-409C-BE32-E72D297353CC}">
              <c16:uniqueId val="{00000001-C776-481B-991F-84658B7901BC}"/>
            </c:ext>
          </c:extLst>
        </c:ser>
        <c:ser>
          <c:idx val="2"/>
          <c:order val="2"/>
          <c:tx>
            <c:v>Extreme Value</c:v>
          </c:tx>
          <c:spPr>
            <a:ln w="12700">
              <a:solidFill>
                <a:srgbClr val="FF0000"/>
              </a:solidFill>
              <a:prstDash val="sysDash"/>
            </a:ln>
          </c:spPr>
          <c:marker>
            <c:symbol val="none"/>
          </c:marker>
          <c:dLbls>
            <c:dLbl>
              <c:idx val="0"/>
              <c:numFmt formatCode="0.000" sourceLinked="0"/>
              <c:spPr>
                <a:noFill/>
                <a:ln w="25400">
                  <a:noFill/>
                </a:ln>
              </c:spPr>
              <c:txPr>
                <a:bodyPr/>
                <a:lstStyle/>
                <a:p>
                  <a:pPr>
                    <a:defRPr sz="1600" b="0" i="0" u="none" strike="noStrike" baseline="0">
                      <a:solidFill>
                        <a:srgbClr val="800000"/>
                      </a:solidFill>
                      <a:latin typeface="Arial"/>
                      <a:ea typeface="Arial"/>
                      <a:cs typeface="Arial"/>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776-481B-991F-84658B7901BC}"/>
                </c:ext>
              </c:extLst>
            </c:dLbl>
            <c:dLbl>
              <c:idx val="1"/>
              <c:numFmt formatCode="0.000" sourceLinked="0"/>
              <c:spPr>
                <a:noFill/>
                <a:ln w="25400">
                  <a:noFill/>
                </a:ln>
              </c:spPr>
              <c:txPr>
                <a:bodyPr/>
                <a:lstStyle/>
                <a:p>
                  <a:pPr>
                    <a:defRPr sz="1600" b="0" i="0" u="none" strike="noStrike" baseline="0">
                      <a:solidFill>
                        <a:srgbClr val="800000"/>
                      </a:solidFill>
                      <a:latin typeface="Arial"/>
                      <a:ea typeface="Arial"/>
                      <a:cs typeface="Arial"/>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C776-481B-991F-84658B7901BC}"/>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'EVA Calcs'!$G$338:$G$339</c:f>
              <c:numCache>
                <c:formatCode>0.000</c:formatCode>
                <c:ptCount val="2"/>
                <c:pt idx="0">
                  <c:v>0</c:v>
                </c:pt>
                <c:pt idx="1">
                  <c:v>0</c:v>
                </c:pt>
              </c:numCache>
            </c:numRef>
          </c:xVal>
          <c:yVal>
            <c:numRef>
              <c:f>'EVA Calcs'!$D$338:$D$339</c:f>
              <c:numCache>
                <c:formatCode>0.00</c:formatCode>
                <c:ptCount val="2"/>
                <c:pt idx="0">
                  <c:v>0</c:v>
                </c:pt>
                <c:pt idx="1">
                  <c:v>0</c:v>
                </c:pt>
              </c:numCache>
            </c:numRef>
          </c:yVal>
          <c:smooth val="0"/>
          <c:extLst>
            <c:ext xmlns:c16="http://schemas.microsoft.com/office/drawing/2014/chart" uri="{C3380CC4-5D6E-409C-BE32-E72D297353CC}">
              <c16:uniqueId val="{00000004-C776-481B-991F-84658B7901BC}"/>
            </c:ext>
          </c:extLst>
        </c:ser>
        <c:ser>
          <c:idx val="3"/>
          <c:order val="3"/>
          <c:tx>
            <c:v>95% CI</c:v>
          </c:tx>
          <c:spPr>
            <a:ln w="12700">
              <a:solidFill>
                <a:srgbClr val="FF00FF"/>
              </a:solidFill>
              <a:prstDash val="sysDash"/>
            </a:ln>
          </c:spPr>
          <c:marker>
            <c:symbol val="none"/>
          </c:marker>
          <c:dPt>
            <c:idx val="0"/>
            <c:bubble3D val="0"/>
            <c:extLst>
              <c:ext xmlns:c16="http://schemas.microsoft.com/office/drawing/2014/chart" uri="{C3380CC4-5D6E-409C-BE32-E72D297353CC}">
                <c16:uniqueId val="{00000006-C776-481B-991F-84658B7901BC}"/>
              </c:ext>
            </c:extLst>
          </c:dPt>
          <c:dLbls>
            <c:dLbl>
              <c:idx val="0"/>
              <c:delete val="1"/>
              <c:extLst>
                <c:ext xmlns:c15="http://schemas.microsoft.com/office/drawing/2012/chart" uri="{CE6537A1-D6FC-4f65-9D91-7224C49458BB}"/>
                <c:ext xmlns:c16="http://schemas.microsoft.com/office/drawing/2014/chart" uri="{C3380CC4-5D6E-409C-BE32-E72D297353CC}">
                  <c16:uniqueId val="{00000006-C776-481B-991F-84658B7901BC}"/>
                </c:ext>
              </c:extLst>
            </c:dLbl>
            <c:numFmt formatCode="0.000" sourceLinked="0"/>
            <c:spPr>
              <a:noFill/>
              <a:ln w="25400">
                <a:noFill/>
              </a:ln>
            </c:spPr>
            <c:txPr>
              <a:bodyPr wrap="square" lIns="38100" tIns="19050" rIns="38100" bIns="19050" anchor="ctr">
                <a:spAutoFit/>
              </a:bodyPr>
              <a:lstStyle/>
              <a:p>
                <a:pPr>
                  <a:defRPr sz="1600" b="0" i="0" u="none" strike="noStrike" baseline="0">
                    <a:solidFill>
                      <a:srgbClr val="8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'EVA Calcs'!$U$338:$U$339</c:f>
              <c:numCache>
                <c:formatCode>0.000</c:formatCode>
                <c:ptCount val="2"/>
                <c:pt idx="0">
                  <c:v>0</c:v>
                </c:pt>
                <c:pt idx="1">
                  <c:v>0</c:v>
                </c:pt>
              </c:numCache>
            </c:numRef>
          </c:xVal>
          <c:yVal>
            <c:numRef>
              <c:f>'EVA Calcs'!$D$338:$D$339</c:f>
              <c:numCache>
                <c:formatCode>0.00</c:formatCode>
                <c:ptCount val="2"/>
                <c:pt idx="0">
                  <c:v>0</c:v>
                </c:pt>
                <c:pt idx="1">
                  <c:v>0</c:v>
                </c:pt>
              </c:numCache>
            </c:numRef>
          </c:yVal>
          <c:smooth val="0"/>
          <c:extLst>
            <c:ext xmlns:c16="http://schemas.microsoft.com/office/drawing/2014/chart" uri="{C3380CC4-5D6E-409C-BE32-E72D297353CC}">
              <c16:uniqueId val="{00000007-C776-481B-991F-84658B7901BC}"/>
            </c:ext>
          </c:extLst>
        </c:ser>
        <c:ser>
          <c:idx val="4"/>
          <c:order val="4"/>
          <c:spPr>
            <a:ln w="12700">
              <a:solidFill>
                <a:srgbClr val="FF00FF"/>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8-C776-481B-991F-84658B7901BC}"/>
                </c:ext>
              </c:extLst>
            </c:dLbl>
            <c:spPr>
              <a:noFill/>
              <a:ln w="25400">
                <a:noFill/>
              </a:ln>
            </c:spPr>
            <c:txPr>
              <a:bodyPr wrap="square" lIns="38100" tIns="19050" rIns="38100" bIns="19050" anchor="ctr">
                <a:spAutoFit/>
              </a:bodyPr>
              <a:lstStyle/>
              <a:p>
                <a:pPr>
                  <a:defRPr sz="1600" b="0" i="0" u="none" strike="noStrike" baseline="0">
                    <a:solidFill>
                      <a:srgbClr val="800000"/>
                    </a:solidFill>
                    <a:latin typeface="Arial"/>
                    <a:ea typeface="Arial"/>
                    <a:cs typeface="Arial"/>
                  </a:defRPr>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0"/>
              </c:ext>
            </c:extLst>
          </c:dLbls>
          <c:xVal>
            <c:numRef>
              <c:f>'EVA Calcs'!$T$338:$T$339</c:f>
              <c:numCache>
                <c:formatCode>0.000</c:formatCode>
                <c:ptCount val="2"/>
                <c:pt idx="0">
                  <c:v>0</c:v>
                </c:pt>
                <c:pt idx="1">
                  <c:v>0</c:v>
                </c:pt>
              </c:numCache>
            </c:numRef>
          </c:xVal>
          <c:yVal>
            <c:numRef>
              <c:f>'EVA Calcs'!$D$340:$D$341</c:f>
              <c:numCache>
                <c:formatCode>0.00</c:formatCode>
                <c:ptCount val="2"/>
                <c:pt idx="0">
                  <c:v>0</c:v>
                </c:pt>
                <c:pt idx="1">
                  <c:v>0</c:v>
                </c:pt>
              </c:numCache>
            </c:numRef>
          </c:yVal>
          <c:smooth val="0"/>
          <c:extLst>
            <c:ext xmlns:c16="http://schemas.microsoft.com/office/drawing/2014/chart" uri="{C3380CC4-5D6E-409C-BE32-E72D297353CC}">
              <c16:uniqueId val="{00000009-C776-481B-991F-84658B7901BC}"/>
            </c:ext>
          </c:extLst>
        </c:ser>
        <c:dLbls>
          <c:showLegendKey val="0"/>
          <c:showVal val="0"/>
          <c:showCatName val="0"/>
          <c:showSerName val="0"/>
          <c:showPercent val="0"/>
          <c:showBubbleSize val="0"/>
        </c:dLbls>
        <c:axId val="416444608"/>
        <c:axId val="1"/>
      </c:scatterChart>
      <c:valAx>
        <c:axId val="416444608"/>
        <c:scaling>
          <c:orientation val="minMax"/>
          <c:min val="0"/>
        </c:scaling>
        <c:delete val="0"/>
        <c:axPos val="b"/>
        <c:title>
          <c:tx>
            <c:rich>
              <a:bodyPr/>
              <a:lstStyle/>
              <a:p>
                <a:pPr>
                  <a:defRPr sz="1550" b="1" i="0" u="none" strike="noStrike" baseline="0">
                    <a:solidFill>
                      <a:srgbClr val="000000"/>
                    </a:solidFill>
                    <a:latin typeface="Arial"/>
                    <a:ea typeface="Arial"/>
                    <a:cs typeface="Arial"/>
                  </a:defRPr>
                </a:pPr>
                <a:r>
                  <a:rPr lang="en-US"/>
                  <a:t>Maximum Wall Loss (mm)</a:t>
                </a:r>
              </a:p>
            </c:rich>
          </c:tx>
          <c:layout>
            <c:manualLayout>
              <c:xMode val="edge"/>
              <c:yMode val="edge"/>
              <c:x val="0.38623750364537768"/>
              <c:y val="0.83142385586081213"/>
            </c:manualLayout>
          </c:layout>
          <c:overlay val="0"/>
          <c:spPr>
            <a:noFill/>
            <a:ln w="25400">
              <a:noFill/>
            </a:ln>
          </c:spPr>
        </c:title>
        <c:numFmt formatCode="0.000" sourceLinked="0"/>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1"/>
        </c:scaling>
        <c:delete val="0"/>
        <c:axPos val="l"/>
        <c:title>
          <c:tx>
            <c:rich>
              <a:bodyPr/>
              <a:lstStyle/>
              <a:p>
                <a:pPr>
                  <a:defRPr sz="1550" b="1" i="0" u="none" strike="noStrike" baseline="0">
                    <a:solidFill>
                      <a:srgbClr val="000000"/>
                    </a:solidFill>
                    <a:latin typeface="Arial"/>
                    <a:ea typeface="Arial"/>
                    <a:cs typeface="Arial"/>
                  </a:defRPr>
                </a:pPr>
                <a:r>
                  <a:rPr lang="en-US"/>
                  <a:t>Probability</a:t>
                </a:r>
              </a:p>
            </c:rich>
          </c:tx>
          <c:layout>
            <c:manualLayout>
              <c:xMode val="edge"/>
              <c:yMode val="edge"/>
              <c:x val="4.6614873140857396E-2"/>
              <c:y val="0.36006550218340611"/>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416444608"/>
        <c:crosses val="autoZero"/>
        <c:crossBetween val="midCat"/>
        <c:majorUnit val="0.1"/>
        <c:minorUnit val="0.05"/>
      </c:valAx>
      <c:spPr>
        <a:solidFill>
          <a:srgbClr val="C0C0C0"/>
        </a:solidFill>
        <a:ln w="12700">
          <a:solidFill>
            <a:srgbClr val="808080"/>
          </a:solidFill>
          <a:prstDash val="solid"/>
        </a:ln>
      </c:spPr>
    </c:plotArea>
    <c:legend>
      <c:legendPos val="r"/>
      <c:legendEntry>
        <c:idx val="4"/>
        <c:delete val="1"/>
      </c:legendEntry>
      <c:layout>
        <c:manualLayout>
          <c:xMode val="edge"/>
          <c:yMode val="edge"/>
          <c:x val="7.5471682706328369E-2"/>
          <c:y val="0.92471357837912183"/>
          <c:w val="0.89456156313794111"/>
          <c:h val="4.9099817762954245E-2"/>
        </c:manualLayout>
      </c:layout>
      <c:overlay val="0"/>
      <c:spPr>
        <a:solidFill>
          <a:srgbClr val="FFFFFF"/>
        </a:solidFill>
        <a:ln w="3175">
          <a:solidFill>
            <a:srgbClr val="000000"/>
          </a:solidFill>
          <a:prstDash val="solid"/>
        </a:ln>
      </c:spPr>
      <c:txPr>
        <a:bodyPr/>
        <a:lstStyle/>
        <a:p>
          <a:pPr>
            <a:defRPr sz="1285" b="0" i="0" u="none" strike="noStrike" baseline="0">
              <a:solidFill>
                <a:srgbClr val="000000"/>
              </a:solidFill>
              <a:latin typeface="Arial"/>
              <a:ea typeface="Arial"/>
              <a:cs typeface="Arial"/>
            </a:defRPr>
          </a:pPr>
          <a:endParaRPr lang="en-US"/>
        </a:p>
      </c:txPr>
    </c:legend>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623323013415894E-2"/>
          <c:y val="3.7162162162162164E-2"/>
          <c:w val="0.87616099071207432"/>
          <c:h val="0.79560810810810811"/>
        </c:manualLayout>
      </c:layout>
      <c:scatterChart>
        <c:scatterStyle val="lineMarker"/>
        <c:varyColors val="0"/>
        <c:ser>
          <c:idx val="0"/>
          <c:order val="0"/>
          <c:spPr>
            <a:ln w="12700">
              <a:solidFill>
                <a:srgbClr val="000080"/>
              </a:solidFill>
              <a:prstDash val="solid"/>
            </a:ln>
          </c:spPr>
          <c:marker>
            <c:symbol val="none"/>
          </c:marker>
          <c:xVal>
            <c:numRef>
              <c:f>'PDF and CDF'!$E$2:$E$201</c:f>
              <c:numCache>
                <c:formatCode>0.000</c:formatCode>
                <c:ptCount val="200"/>
                <c:pt idx="0">
                  <c:v>2.4068368300305587</c:v>
                </c:pt>
                <c:pt idx="1">
                  <c:v>2.4036736600611177</c:v>
                </c:pt>
                <c:pt idx="2">
                  <c:v>2.4005104900916763</c:v>
                </c:pt>
                <c:pt idx="3">
                  <c:v>2.3973473201222348</c:v>
                </c:pt>
                <c:pt idx="4">
                  <c:v>2.3941841501527938</c:v>
                </c:pt>
                <c:pt idx="5">
                  <c:v>2.3910209801833524</c:v>
                </c:pt>
                <c:pt idx="6">
                  <c:v>2.387857810213911</c:v>
                </c:pt>
                <c:pt idx="7">
                  <c:v>2.38469464024447</c:v>
                </c:pt>
                <c:pt idx="8">
                  <c:v>2.3815314702750285</c:v>
                </c:pt>
                <c:pt idx="9">
                  <c:v>2.3783683003055871</c:v>
                </c:pt>
                <c:pt idx="10">
                  <c:v>2.3752051303361461</c:v>
                </c:pt>
                <c:pt idx="11">
                  <c:v>2.3720419603667047</c:v>
                </c:pt>
                <c:pt idx="12">
                  <c:v>2.3688787903972632</c:v>
                </c:pt>
                <c:pt idx="13">
                  <c:v>2.3657156204278222</c:v>
                </c:pt>
                <c:pt idx="14">
                  <c:v>2.3625524504583808</c:v>
                </c:pt>
                <c:pt idx="15">
                  <c:v>2.3593892804889394</c:v>
                </c:pt>
                <c:pt idx="16">
                  <c:v>2.3562261105194984</c:v>
                </c:pt>
                <c:pt idx="17">
                  <c:v>2.3530629405500569</c:v>
                </c:pt>
                <c:pt idx="18">
                  <c:v>2.3498997705806155</c:v>
                </c:pt>
                <c:pt idx="19">
                  <c:v>2.3467366006111741</c:v>
                </c:pt>
                <c:pt idx="20">
                  <c:v>2.3435734306417331</c:v>
                </c:pt>
                <c:pt idx="21">
                  <c:v>2.3404102606722916</c:v>
                </c:pt>
                <c:pt idx="22">
                  <c:v>2.3372470907028502</c:v>
                </c:pt>
                <c:pt idx="23">
                  <c:v>2.3340839207334092</c:v>
                </c:pt>
                <c:pt idx="24">
                  <c:v>2.3309207507639678</c:v>
                </c:pt>
                <c:pt idx="25">
                  <c:v>2.3277575807945263</c:v>
                </c:pt>
                <c:pt idx="26">
                  <c:v>2.3245944108250853</c:v>
                </c:pt>
                <c:pt idx="27">
                  <c:v>2.3214312408556439</c:v>
                </c:pt>
                <c:pt idx="28">
                  <c:v>2.3182680708862025</c:v>
                </c:pt>
                <c:pt idx="29">
                  <c:v>2.3151049009167615</c:v>
                </c:pt>
                <c:pt idx="30">
                  <c:v>2.31194173094732</c:v>
                </c:pt>
                <c:pt idx="31">
                  <c:v>2.3087785609778786</c:v>
                </c:pt>
                <c:pt idx="32">
                  <c:v>2.3056153910084376</c:v>
                </c:pt>
                <c:pt idx="33">
                  <c:v>2.3024522210389962</c:v>
                </c:pt>
                <c:pt idx="34">
                  <c:v>2.2992890510695547</c:v>
                </c:pt>
                <c:pt idx="35">
                  <c:v>2.2961258811001137</c:v>
                </c:pt>
                <c:pt idx="36">
                  <c:v>2.2929627111306723</c:v>
                </c:pt>
                <c:pt idx="37">
                  <c:v>2.2897995411612309</c:v>
                </c:pt>
                <c:pt idx="38">
                  <c:v>2.2866363711917899</c:v>
                </c:pt>
                <c:pt idx="39">
                  <c:v>2.2834732012223484</c:v>
                </c:pt>
                <c:pt idx="40">
                  <c:v>2.280310031252907</c:v>
                </c:pt>
                <c:pt idx="41">
                  <c:v>2.277146861283466</c:v>
                </c:pt>
                <c:pt idx="42">
                  <c:v>2.2739836913140246</c:v>
                </c:pt>
                <c:pt idx="43">
                  <c:v>2.2708205213445831</c:v>
                </c:pt>
                <c:pt idx="44">
                  <c:v>2.2676573513751421</c:v>
                </c:pt>
                <c:pt idx="45">
                  <c:v>2.2644941814057007</c:v>
                </c:pt>
                <c:pt idx="46">
                  <c:v>2.2613310114362593</c:v>
                </c:pt>
                <c:pt idx="47">
                  <c:v>2.2581678414668183</c:v>
                </c:pt>
                <c:pt idx="48">
                  <c:v>2.2550046714973768</c:v>
                </c:pt>
                <c:pt idx="49">
                  <c:v>2.2518415015279354</c:v>
                </c:pt>
                <c:pt idx="50">
                  <c:v>2.2486783315584944</c:v>
                </c:pt>
                <c:pt idx="51">
                  <c:v>2.245515161589053</c:v>
                </c:pt>
                <c:pt idx="52">
                  <c:v>2.2423519916196115</c:v>
                </c:pt>
                <c:pt idx="53">
                  <c:v>2.2391888216501705</c:v>
                </c:pt>
                <c:pt idx="54">
                  <c:v>2.2360256516807291</c:v>
                </c:pt>
                <c:pt idx="55">
                  <c:v>2.2328624817112876</c:v>
                </c:pt>
                <c:pt idx="56">
                  <c:v>2.2296993117418467</c:v>
                </c:pt>
                <c:pt idx="57">
                  <c:v>2.2265361417724052</c:v>
                </c:pt>
                <c:pt idx="58">
                  <c:v>2.2233729718029638</c:v>
                </c:pt>
                <c:pt idx="59">
                  <c:v>2.2202098018335228</c:v>
                </c:pt>
                <c:pt idx="60">
                  <c:v>2.2170466318640814</c:v>
                </c:pt>
                <c:pt idx="61">
                  <c:v>2.2138834618946399</c:v>
                </c:pt>
                <c:pt idx="62">
                  <c:v>2.2107202919251985</c:v>
                </c:pt>
                <c:pt idx="63">
                  <c:v>2.2075571219557575</c:v>
                </c:pt>
                <c:pt idx="64">
                  <c:v>2.204393951986316</c:v>
                </c:pt>
                <c:pt idx="65">
                  <c:v>2.2012307820168746</c:v>
                </c:pt>
                <c:pt idx="66">
                  <c:v>2.1980676120474336</c:v>
                </c:pt>
                <c:pt idx="67">
                  <c:v>2.1949044420779922</c:v>
                </c:pt>
                <c:pt idx="68">
                  <c:v>2.1917412721085507</c:v>
                </c:pt>
                <c:pt idx="69">
                  <c:v>2.1885781021391097</c:v>
                </c:pt>
                <c:pt idx="70">
                  <c:v>2.1854149321696683</c:v>
                </c:pt>
                <c:pt idx="71">
                  <c:v>2.1822517622002269</c:v>
                </c:pt>
                <c:pt idx="72">
                  <c:v>2.1790885922307859</c:v>
                </c:pt>
                <c:pt idx="73">
                  <c:v>2.1759254222613444</c:v>
                </c:pt>
                <c:pt idx="74">
                  <c:v>2.172762252291903</c:v>
                </c:pt>
                <c:pt idx="75">
                  <c:v>2.169599082322462</c:v>
                </c:pt>
                <c:pt idx="76">
                  <c:v>2.1664359123530206</c:v>
                </c:pt>
                <c:pt idx="77">
                  <c:v>2.1632727423835791</c:v>
                </c:pt>
                <c:pt idx="78">
                  <c:v>2.1601095724141381</c:v>
                </c:pt>
                <c:pt idx="79">
                  <c:v>2.1569464024446967</c:v>
                </c:pt>
                <c:pt idx="80">
                  <c:v>2.1537832324752553</c:v>
                </c:pt>
                <c:pt idx="81">
                  <c:v>2.1506200625058143</c:v>
                </c:pt>
                <c:pt idx="82">
                  <c:v>2.1474568925363728</c:v>
                </c:pt>
                <c:pt idx="83">
                  <c:v>2.1442937225669314</c:v>
                </c:pt>
                <c:pt idx="84">
                  <c:v>2.1411305525974904</c:v>
                </c:pt>
                <c:pt idx="85">
                  <c:v>2.137967382628049</c:v>
                </c:pt>
                <c:pt idx="86">
                  <c:v>2.1348042126586075</c:v>
                </c:pt>
                <c:pt idx="87">
                  <c:v>2.1316410426891665</c:v>
                </c:pt>
                <c:pt idx="88">
                  <c:v>2.1284778727197251</c:v>
                </c:pt>
                <c:pt idx="89">
                  <c:v>2.1253147027502837</c:v>
                </c:pt>
                <c:pt idx="90">
                  <c:v>2.1221515327808422</c:v>
                </c:pt>
                <c:pt idx="91">
                  <c:v>2.1189883628114012</c:v>
                </c:pt>
                <c:pt idx="92">
                  <c:v>2.1158251928419598</c:v>
                </c:pt>
                <c:pt idx="93">
                  <c:v>2.1126620228725184</c:v>
                </c:pt>
                <c:pt idx="94">
                  <c:v>2.1094988529030774</c:v>
                </c:pt>
                <c:pt idx="95">
                  <c:v>2.1063356829336359</c:v>
                </c:pt>
                <c:pt idx="96">
                  <c:v>2.1031725129641945</c:v>
                </c:pt>
                <c:pt idx="97">
                  <c:v>2.1000093429947535</c:v>
                </c:pt>
                <c:pt idx="98">
                  <c:v>2.0968461730253121</c:v>
                </c:pt>
                <c:pt idx="99">
                  <c:v>2.0936830030558706</c:v>
                </c:pt>
                <c:pt idx="100">
                  <c:v>2.0905198330864296</c:v>
                </c:pt>
                <c:pt idx="101">
                  <c:v>2.0873566631169882</c:v>
                </c:pt>
                <c:pt idx="102">
                  <c:v>2.0841934931475468</c:v>
                </c:pt>
                <c:pt idx="103">
                  <c:v>2.0810303231781058</c:v>
                </c:pt>
                <c:pt idx="104">
                  <c:v>2.0778671532086643</c:v>
                </c:pt>
                <c:pt idx="105">
                  <c:v>2.0747039832392229</c:v>
                </c:pt>
                <c:pt idx="106">
                  <c:v>2.0715408132697819</c:v>
                </c:pt>
                <c:pt idx="107">
                  <c:v>2.0683776433003405</c:v>
                </c:pt>
                <c:pt idx="108">
                  <c:v>2.065214473330899</c:v>
                </c:pt>
                <c:pt idx="109">
                  <c:v>2.062051303361458</c:v>
                </c:pt>
                <c:pt idx="110">
                  <c:v>2.0588881333920166</c:v>
                </c:pt>
                <c:pt idx="111">
                  <c:v>2.0557249634225752</c:v>
                </c:pt>
                <c:pt idx="112">
                  <c:v>2.0525617934531342</c:v>
                </c:pt>
                <c:pt idx="113">
                  <c:v>2.0493986234836927</c:v>
                </c:pt>
                <c:pt idx="114">
                  <c:v>2.0462354535142513</c:v>
                </c:pt>
                <c:pt idx="115">
                  <c:v>2.0430722835448103</c:v>
                </c:pt>
                <c:pt idx="116">
                  <c:v>2.0399091135753689</c:v>
                </c:pt>
                <c:pt idx="117">
                  <c:v>2.0367459436059274</c:v>
                </c:pt>
                <c:pt idx="118">
                  <c:v>2.0335827736364864</c:v>
                </c:pt>
                <c:pt idx="119">
                  <c:v>2.030419603667045</c:v>
                </c:pt>
                <c:pt idx="120">
                  <c:v>2.0272564336976036</c:v>
                </c:pt>
                <c:pt idx="121">
                  <c:v>2.0240932637281626</c:v>
                </c:pt>
                <c:pt idx="122">
                  <c:v>2.0209300937587211</c:v>
                </c:pt>
                <c:pt idx="123">
                  <c:v>2.0177669237892797</c:v>
                </c:pt>
                <c:pt idx="124">
                  <c:v>2.0146037538198387</c:v>
                </c:pt>
                <c:pt idx="125">
                  <c:v>2.0114405838503973</c:v>
                </c:pt>
                <c:pt idx="126">
                  <c:v>2.0082774138809558</c:v>
                </c:pt>
                <c:pt idx="127">
                  <c:v>2.0051142439115148</c:v>
                </c:pt>
                <c:pt idx="128">
                  <c:v>2.0019510739420734</c:v>
                </c:pt>
                <c:pt idx="129">
                  <c:v>1.9987879039726322</c:v>
                </c:pt>
                <c:pt idx="130">
                  <c:v>1.9956247340031907</c:v>
                </c:pt>
                <c:pt idx="131">
                  <c:v>1.9924615640337495</c:v>
                </c:pt>
                <c:pt idx="132">
                  <c:v>1.9892983940643081</c:v>
                </c:pt>
                <c:pt idx="133">
                  <c:v>1.9861352240948669</c:v>
                </c:pt>
                <c:pt idx="134">
                  <c:v>1.9829720541254257</c:v>
                </c:pt>
                <c:pt idx="135">
                  <c:v>1.9798088841559842</c:v>
                </c:pt>
                <c:pt idx="136">
                  <c:v>1.976645714186543</c:v>
                </c:pt>
                <c:pt idx="137">
                  <c:v>1.9734825442171018</c:v>
                </c:pt>
                <c:pt idx="138">
                  <c:v>1.9703193742476603</c:v>
                </c:pt>
                <c:pt idx="139">
                  <c:v>1.9671562042782191</c:v>
                </c:pt>
                <c:pt idx="140">
                  <c:v>1.9639930343087779</c:v>
                </c:pt>
                <c:pt idx="141">
                  <c:v>1.9608298643393365</c:v>
                </c:pt>
                <c:pt idx="142">
                  <c:v>1.9576666943698953</c:v>
                </c:pt>
                <c:pt idx="143">
                  <c:v>1.9545035244004541</c:v>
                </c:pt>
                <c:pt idx="144">
                  <c:v>1.9513403544310126</c:v>
                </c:pt>
                <c:pt idx="145">
                  <c:v>1.9481771844615714</c:v>
                </c:pt>
                <c:pt idx="146">
                  <c:v>1.9450140144921302</c:v>
                </c:pt>
                <c:pt idx="147">
                  <c:v>1.9418508445226887</c:v>
                </c:pt>
                <c:pt idx="148">
                  <c:v>1.9386876745532475</c:v>
                </c:pt>
                <c:pt idx="149">
                  <c:v>1.9355245045838063</c:v>
                </c:pt>
                <c:pt idx="150">
                  <c:v>1.9323613346143649</c:v>
                </c:pt>
                <c:pt idx="151">
                  <c:v>1.9291981646449237</c:v>
                </c:pt>
                <c:pt idx="152">
                  <c:v>1.9260349946754824</c:v>
                </c:pt>
                <c:pt idx="153">
                  <c:v>1.922871824706041</c:v>
                </c:pt>
                <c:pt idx="154">
                  <c:v>1.9197086547365998</c:v>
                </c:pt>
                <c:pt idx="155">
                  <c:v>1.9165454847671586</c:v>
                </c:pt>
                <c:pt idx="156">
                  <c:v>1.9133823147977171</c:v>
                </c:pt>
                <c:pt idx="157">
                  <c:v>1.9102191448282757</c:v>
                </c:pt>
                <c:pt idx="158">
                  <c:v>1.9070559748588347</c:v>
                </c:pt>
                <c:pt idx="159">
                  <c:v>1.9038928048893933</c:v>
                </c:pt>
                <c:pt idx="160">
                  <c:v>1.9007296349199518</c:v>
                </c:pt>
                <c:pt idx="161">
                  <c:v>1.8975664649505108</c:v>
                </c:pt>
                <c:pt idx="162">
                  <c:v>1.8944032949810694</c:v>
                </c:pt>
                <c:pt idx="163">
                  <c:v>1.891240125011628</c:v>
                </c:pt>
                <c:pt idx="164">
                  <c:v>1.8880769550421868</c:v>
                </c:pt>
                <c:pt idx="165">
                  <c:v>1.8849137850727455</c:v>
                </c:pt>
                <c:pt idx="166">
                  <c:v>1.8817506151033041</c:v>
                </c:pt>
                <c:pt idx="167">
                  <c:v>1.8785874451338629</c:v>
                </c:pt>
                <c:pt idx="168">
                  <c:v>1.8754242751644217</c:v>
                </c:pt>
                <c:pt idx="169">
                  <c:v>1.8722611051949802</c:v>
                </c:pt>
                <c:pt idx="170">
                  <c:v>1.869097935225539</c:v>
                </c:pt>
                <c:pt idx="171">
                  <c:v>1.8659347652560978</c:v>
                </c:pt>
                <c:pt idx="172">
                  <c:v>1.8627715952866564</c:v>
                </c:pt>
                <c:pt idx="173">
                  <c:v>1.8596084253172152</c:v>
                </c:pt>
                <c:pt idx="174">
                  <c:v>1.8564452553477739</c:v>
                </c:pt>
                <c:pt idx="175">
                  <c:v>1.8532820853783325</c:v>
                </c:pt>
                <c:pt idx="176">
                  <c:v>1.8501189154088913</c:v>
                </c:pt>
                <c:pt idx="177">
                  <c:v>1.8469557454394501</c:v>
                </c:pt>
                <c:pt idx="178">
                  <c:v>1.8437925754700086</c:v>
                </c:pt>
                <c:pt idx="179">
                  <c:v>1.8406294055005674</c:v>
                </c:pt>
                <c:pt idx="180">
                  <c:v>1.8374662355311262</c:v>
                </c:pt>
                <c:pt idx="181">
                  <c:v>1.8343030655616848</c:v>
                </c:pt>
                <c:pt idx="182">
                  <c:v>1.8311398955922435</c:v>
                </c:pt>
                <c:pt idx="183">
                  <c:v>1.8279767256228023</c:v>
                </c:pt>
                <c:pt idx="184">
                  <c:v>1.8248135556533609</c:v>
                </c:pt>
                <c:pt idx="185">
                  <c:v>1.8216503856839197</c:v>
                </c:pt>
                <c:pt idx="186">
                  <c:v>1.8184872157144785</c:v>
                </c:pt>
                <c:pt idx="187">
                  <c:v>1.815324045745037</c:v>
                </c:pt>
                <c:pt idx="188">
                  <c:v>1.8121608757755958</c:v>
                </c:pt>
                <c:pt idx="189">
                  <c:v>1.8089977058061546</c:v>
                </c:pt>
                <c:pt idx="190">
                  <c:v>1.8058345358367132</c:v>
                </c:pt>
                <c:pt idx="191">
                  <c:v>1.8026713658672719</c:v>
                </c:pt>
                <c:pt idx="192">
                  <c:v>1.7995081958978307</c:v>
                </c:pt>
                <c:pt idx="193">
                  <c:v>1.7963450259283893</c:v>
                </c:pt>
                <c:pt idx="194">
                  <c:v>1.7931818559589481</c:v>
                </c:pt>
                <c:pt idx="195">
                  <c:v>1.7900186859895069</c:v>
                </c:pt>
                <c:pt idx="196">
                  <c:v>1.7868555160200654</c:v>
                </c:pt>
                <c:pt idx="197">
                  <c:v>1.7836923460506242</c:v>
                </c:pt>
                <c:pt idx="198">
                  <c:v>1.780529176081183</c:v>
                </c:pt>
                <c:pt idx="199">
                  <c:v>1.7773660061117416</c:v>
                </c:pt>
              </c:numCache>
            </c:numRef>
          </c:xVal>
          <c:yVal>
            <c:numRef>
              <c:f>'PDF and CDF'!$C$2:$C$201</c:f>
              <c:numCache>
                <c:formatCode>0.000</c:formatCode>
                <c:ptCount val="200"/>
                <c:pt idx="0">
                  <c:v>2.1291447777629487E-4</c:v>
                </c:pt>
                <c:pt idx="1">
                  <c:v>3.6177248246235528E-4</c:v>
                </c:pt>
                <c:pt idx="2">
                  <c:v>6.0012482171680425E-4</c:v>
                </c:pt>
                <c:pt idx="3">
                  <c:v>9.7288185075490303E-4</c:v>
                </c:pt>
                <c:pt idx="4">
                  <c:v>1.5427995244145351E-3</c:v>
                </c:pt>
                <c:pt idx="5">
                  <c:v>2.3954696616655061E-3</c:v>
                </c:pt>
                <c:pt idx="6">
                  <c:v>3.644917833903747E-3</c:v>
                </c:pt>
                <c:pt idx="7">
                  <c:v>5.4396218832509112E-3</c:v>
                </c:pt>
                <c:pt idx="8">
                  <c:v>7.9686761764262183E-3</c:v>
                </c:pt>
                <c:pt idx="9">
                  <c:v>1.1467743352595103E-2</c:v>
                </c:pt>
                <c:pt idx="10">
                  <c:v>1.6224366206348168E-2</c:v>
                </c:pt>
                <c:pt idx="11">
                  <c:v>2.2582166991372603E-2</c:v>
                </c:pt>
                <c:pt idx="12">
                  <c:v>3.0943447982994692E-2</c:v>
                </c:pt>
                <c:pt idx="13">
                  <c:v>4.1769731211245109E-2</c:v>
                </c:pt>
                <c:pt idx="14">
                  <c:v>5.5579839069806958E-2</c:v>
                </c:pt>
                <c:pt idx="15">
                  <c:v>7.2945219332565286E-2</c:v>
                </c:pt>
                <c:pt idx="16">
                  <c:v>9.4482352398617256E-2</c:v>
                </c:pt>
                <c:pt idx="17">
                  <c:v>0.12084223636825835</c:v>
                </c:pt>
                <c:pt idx="18">
                  <c:v>0.15269711534347341</c:v>
                </c:pt>
                <c:pt idx="19">
                  <c:v>0.1907247853179975</c:v>
                </c:pt>
                <c:pt idx="20">
                  <c:v>0.23559096728847512</c:v>
                </c:pt>
                <c:pt idx="21">
                  <c:v>0.28793036708489617</c:v>
                </c:pt>
                <c:pt idx="22">
                  <c:v>0.34832713644310953</c:v>
                </c:pt>
                <c:pt idx="23">
                  <c:v>0.41729550360287332</c:v>
                </c:pt>
                <c:pt idx="24">
                  <c:v>0.49526135122329018</c:v>
                </c:pt>
                <c:pt idx="25">
                  <c:v>0.58254548515664839</c:v>
                </c:pt>
                <c:pt idx="26">
                  <c:v>0.67934926330057133</c:v>
                </c:pt>
                <c:pt idx="27">
                  <c:v>0.78574314569020975</c:v>
                </c:pt>
                <c:pt idx="28">
                  <c:v>0.90165859344324739</c:v>
                </c:pt>
                <c:pt idx="29">
                  <c:v>1.0268835944734798</c:v>
                </c:pt>
                <c:pt idx="30">
                  <c:v>1.1610619376695996</c:v>
                </c:pt>
                <c:pt idx="31">
                  <c:v>1.3036962036683604</c:v>
                </c:pt>
                <c:pt idx="32">
                  <c:v>1.4541542975544519</c:v>
                </c:pt>
                <c:pt idx="33">
                  <c:v>1.6116792234198685</c:v>
                </c:pt>
                <c:pt idx="34">
                  <c:v>1.7754016975862137</c:v>
                </c:pt>
                <c:pt idx="35">
                  <c:v>1.944355119462118</c:v>
                </c:pt>
                <c:pt idx="36">
                  <c:v>2.1174923677130302</c:v>
                </c:pt>
                <c:pt idx="37">
                  <c:v>2.2937038642860457</c:v>
                </c:pt>
                <c:pt idx="38">
                  <c:v>2.4718363481246048</c:v>
                </c:pt>
                <c:pt idx="39">
                  <c:v>2.6507118213434988</c:v>
                </c:pt>
                <c:pt idx="40">
                  <c:v>2.829146169703574</c:v>
                </c:pt>
                <c:pt idx="41">
                  <c:v>3.0059670125057867</c:v>
                </c:pt>
                <c:pt idx="42">
                  <c:v>3.1800304004664035</c:v>
                </c:pt>
                <c:pt idx="43">
                  <c:v>3.3502360498033488</c:v>
                </c:pt>
                <c:pt idx="44">
                  <c:v>3.51554087302583</c:v>
                </c:pt>
                <c:pt idx="45">
                  <c:v>3.6749706385838068</c:v>
                </c:pt>
                <c:pt idx="46">
                  <c:v>3.8276296599352295</c:v>
                </c:pt>
                <c:pt idx="47">
                  <c:v>3.9727084776275654</c:v>
                </c:pt>
                <c:pt idx="48">
                  <c:v>4.1094895541334546</c:v>
                </c:pt>
                <c:pt idx="49">
                  <c:v>4.2373510494329309</c:v>
                </c:pt>
                <c:pt idx="50">
                  <c:v>4.3557687851867586</c:v>
                </c:pt>
                <c:pt idx="51">
                  <c:v>4.4643165367058675</c:v>
                </c:pt>
                <c:pt idx="52">
                  <c:v>4.5626648150447595</c:v>
                </c:pt>
                <c:pt idx="53">
                  <c:v>4.6505783169550421</c:v>
                </c:pt>
                <c:pt idx="54">
                  <c:v>4.7279122288473765</c:v>
                </c:pt>
                <c:pt idx="55">
                  <c:v>4.7946075731735602</c:v>
                </c:pt>
                <c:pt idx="56">
                  <c:v>4.8506857826709115</c:v>
                </c:pt>
                <c:pt idx="57">
                  <c:v>4.8962426806444279</c:v>
                </c:pt>
                <c:pt idx="58">
                  <c:v>4.931442034812263</c:v>
                </c:pt>
                <c:pt idx="59">
                  <c:v>4.9565088390693894</c:v>
                </c:pt>
                <c:pt idx="60">
                  <c:v>4.9717224626211296</c:v>
                </c:pt>
                <c:pt idx="61">
                  <c:v>4.9774097900023557</c:v>
                </c:pt>
                <c:pt idx="62">
                  <c:v>4.9739384591337616</c:v>
                </c:pt>
                <c:pt idx="63">
                  <c:v>4.9617102882793382</c:v>
                </c:pt>
                <c:pt idx="64">
                  <c:v>4.9411549669692691</c:v>
                </c:pt>
                <c:pt idx="65">
                  <c:v>4.9127240709590927</c:v>
                </c:pt>
                <c:pt idx="66">
                  <c:v>4.8768854473458614</c:v>
                </c:pt>
                <c:pt idx="67">
                  <c:v>4.8341180032178181</c:v>
                </c:pt>
                <c:pt idx="68">
                  <c:v>4.7849069197743317</c:v>
                </c:pt>
                <c:pt idx="69">
                  <c:v>4.7297393037620035</c:v>
                </c:pt>
                <c:pt idx="70">
                  <c:v>4.6691002793308769</c:v>
                </c:pt>
                <c:pt idx="71">
                  <c:v>4.6034695159858359</c:v>
                </c:pt>
                <c:pt idx="72">
                  <c:v>4.5333181821301087</c:v>
                </c:pt>
                <c:pt idx="73">
                  <c:v>4.459106308687371</c:v>
                </c:pt>
                <c:pt idx="74">
                  <c:v>4.3812805433506812</c:v>
                </c:pt>
                <c:pt idx="75">
                  <c:v>4.3002722730360849</c:v>
                </c:pt>
                <c:pt idx="76">
                  <c:v>4.2164960900089987</c:v>
                </c:pt>
                <c:pt idx="77">
                  <c:v>4.1303485757949012</c:v>
                </c:pt>
                <c:pt idx="78">
                  <c:v>4.042207376278145</c:v>
                </c:pt>
                <c:pt idx="79">
                  <c:v>3.9524305412345417</c:v>
                </c:pt>
                <c:pt idx="80">
                  <c:v>3.8613561018418112</c:v>
                </c:pt>
                <c:pt idx="81">
                  <c:v>3.7693018603821771</c:v>
                </c:pt>
                <c:pt idx="82">
                  <c:v>3.6765653673158982</c:v>
                </c:pt>
                <c:pt idx="83">
                  <c:v>3.5834240620948767</c:v>
                </c:pt>
                <c:pt idx="84">
                  <c:v>3.4901355554412099</c:v>
                </c:pt>
                <c:pt idx="85">
                  <c:v>3.3969380322840879</c:v>
                </c:pt>
                <c:pt idx="86">
                  <c:v>3.3040507560852963</c:v>
                </c:pt>
                <c:pt idx="87">
                  <c:v>3.2116746568506085</c:v>
                </c:pt>
                <c:pt idx="88">
                  <c:v>3.1199929866908254</c:v>
                </c:pt>
                <c:pt idx="89">
                  <c:v>3.0291720283363071</c:v>
                </c:pt>
                <c:pt idx="90">
                  <c:v>2.9393618435027271</c:v>
                </c:pt>
                <c:pt idx="91">
                  <c:v>2.8506970494378585</c:v>
                </c:pt>
                <c:pt idx="92">
                  <c:v>2.7632976133378668</c:v>
                </c:pt>
                <c:pt idx="93">
                  <c:v>2.6772696555989297</c:v>
                </c:pt>
                <c:pt idx="94">
                  <c:v>2.5927062540607442</c:v>
                </c:pt>
                <c:pt idx="95">
                  <c:v>2.5096882424999731</c:v>
                </c:pt>
                <c:pt idx="96">
                  <c:v>2.4282849976432206</c:v>
                </c:pt>
                <c:pt idx="97">
                  <c:v>2.3485552098916198</c:v>
                </c:pt>
                <c:pt idx="98">
                  <c:v>2.270547633784743</c:v>
                </c:pt>
                <c:pt idx="99">
                  <c:v>2.1943018149836053</c:v>
                </c:pt>
                <c:pt idx="100">
                  <c:v>2.1198487912248725</c:v>
                </c:pt>
                <c:pt idx="101">
                  <c:v>2.0472117652954482</c:v>
                </c:pt>
                <c:pt idx="102">
                  <c:v>1.9764067486034134</c:v>
                </c:pt>
                <c:pt idx="103">
                  <c:v>1.9074431743824705</c:v>
                </c:pt>
                <c:pt idx="104">
                  <c:v>1.8403244799680707</c:v>
                </c:pt>
                <c:pt idx="105">
                  <c:v>1.7750486579289642</c:v>
                </c:pt>
                <c:pt idx="106">
                  <c:v>1.7116087761332339</c:v>
                </c:pt>
                <c:pt idx="107">
                  <c:v>1.649993467077417</c:v>
                </c:pt>
                <c:pt idx="108">
                  <c:v>1.5901873870159673</c:v>
                </c:pt>
                <c:pt idx="109">
                  <c:v>1.5321716456000518</c:v>
                </c:pt>
                <c:pt idx="110">
                  <c:v>1.4759242068738188</c:v>
                </c:pt>
                <c:pt idx="111">
                  <c:v>1.4214202625863157</c:v>
                </c:pt>
                <c:pt idx="112">
                  <c:v>1.3686325788619571</c:v>
                </c:pt>
                <c:pt idx="113">
                  <c:v>1.3175318173347865</c:v>
                </c:pt>
                <c:pt idx="114">
                  <c:v>1.2680868318947536</c:v>
                </c:pt>
                <c:pt idx="115">
                  <c:v>1.2202649422206124</c:v>
                </c:pt>
                <c:pt idx="116">
                  <c:v>1.174032185286032</c:v>
                </c:pt>
                <c:pt idx="117">
                  <c:v>1.1293535460254385</c:v>
                </c:pt>
                <c:pt idx="118">
                  <c:v>1.0861931683357853</c:v>
                </c:pt>
                <c:pt idx="119">
                  <c:v>1.0445145475717397</c:v>
                </c:pt>
                <c:pt idx="120">
                  <c:v>1.0042807056660157</c:v>
                </c:pt>
                <c:pt idx="121">
                  <c:v>0.96545434997532775</c:v>
                </c:pt>
                <c:pt idx="122">
                  <c:v>0.92799801691671613</c:v>
                </c:pt>
                <c:pt idx="123">
                  <c:v>0.8918742014198987</c:v>
                </c:pt>
                <c:pt idx="124">
                  <c:v>0.85704547317974544</c:v>
                </c:pt>
                <c:pt idx="125">
                  <c:v>0.82347458064967194</c:v>
                </c:pt>
                <c:pt idx="126">
                  <c:v>0.79112454367239471</c:v>
                </c:pt>
                <c:pt idx="127">
                  <c:v>0.75995873559967464</c:v>
                </c:pt>
                <c:pt idx="128">
                  <c:v>0.72994095570782103</c:v>
                </c:pt>
                <c:pt idx="129">
                  <c:v>0.70103549267122367</c:v>
                </c:pt>
                <c:pt idx="130">
                  <c:v>0.67320717981244838</c:v>
                </c:pt>
                <c:pt idx="131">
                  <c:v>0.64642144280461666</c:v>
                </c:pt>
                <c:pt idx="132">
                  <c:v>0.62064434046015526</c:v>
                </c:pt>
                <c:pt idx="133">
                  <c:v>0.59584259919977134</c:v>
                </c:pt>
                <c:pt idx="134">
                  <c:v>0.57198364175668504</c:v>
                </c:pt>
                <c:pt idx="135">
                  <c:v>0.54903561063396633</c:v>
                </c:pt>
                <c:pt idx="136">
                  <c:v>0.52696738679720312</c:v>
                </c:pt>
                <c:pt idx="137">
                  <c:v>0.50574860405083455</c:v>
                </c:pt>
                <c:pt idx="138">
                  <c:v>0.48534965951425463</c:v>
                </c:pt>
                <c:pt idx="139">
                  <c:v>0.46574172058322244</c:v>
                </c:pt>
                <c:pt idx="140">
                  <c:v>0.44689672873327108</c:v>
                </c:pt>
                <c:pt idx="141">
                  <c:v>0.42878740049455205</c:v>
                </c:pt>
                <c:pt idx="142">
                  <c:v>0.411387225901928</c:v>
                </c:pt>
                <c:pt idx="143">
                  <c:v>0.39467046470004874</c:v>
                </c:pt>
                <c:pt idx="144">
                  <c:v>0.37861214056058418</c:v>
                </c:pt>
                <c:pt idx="145">
                  <c:v>0.36318803354765661</c:v>
                </c:pt>
                <c:pt idx="146">
                  <c:v>0.34837467104779685</c:v>
                </c:pt>
                <c:pt idx="147">
                  <c:v>0.33414931736233949</c:v>
                </c:pt>
                <c:pt idx="148">
                  <c:v>0.32048996214303743</c:v>
                </c:pt>
                <c:pt idx="149">
                  <c:v>0.30737530783574557</c:v>
                </c:pt>
                <c:pt idx="150">
                  <c:v>0.29478475628222461</c:v>
                </c:pt>
                <c:pt idx="151">
                  <c:v>0.28269839461639856</c:v>
                </c:pt>
                <c:pt idx="152">
                  <c:v>0.27109698057869519</c:v>
                </c:pt>
                <c:pt idx="153">
                  <c:v>0.2599619273603595</c:v>
                </c:pt>
                <c:pt idx="154">
                  <c:v>0.24927528807876945</c:v>
                </c:pt>
                <c:pt idx="155">
                  <c:v>0.23901973997478429</c:v>
                </c:pt>
                <c:pt idx="156">
                  <c:v>0.22917856841394182</c:v>
                </c:pt>
                <c:pt idx="157">
                  <c:v>0.21973565076483068</c:v>
                </c:pt>
                <c:pt idx="158">
                  <c:v>0.21067544022017531</c:v>
                </c:pt>
                <c:pt idx="159">
                  <c:v>0.20198294961902466</c:v>
                </c:pt>
                <c:pt idx="160">
                  <c:v>0.19364373532187834</c:v>
                </c:pt>
                <c:pt idx="161">
                  <c:v>0.18564388118457745</c:v>
                </c:pt>
                <c:pt idx="162">
                  <c:v>0.17796998267131636</c:v>
                </c:pt>
                <c:pt idx="163">
                  <c:v>0.17060913114212023</c:v>
                </c:pt>
                <c:pt idx="164">
                  <c:v>0.16354889834556102</c:v>
                </c:pt>
                <c:pt idx="165">
                  <c:v>0.15677732114334625</c:v>
                </c:pt>
                <c:pt idx="166">
                  <c:v>0.15028288648962629</c:v>
                </c:pt>
                <c:pt idx="167">
                  <c:v>0.14405451668444733</c:v>
                </c:pt>
                <c:pt idx="168">
                  <c:v>0.13808155491766821</c:v>
                </c:pt>
                <c:pt idx="169">
                  <c:v>0.13235375111685502</c:v>
                </c:pt>
                <c:pt idx="170">
                  <c:v>0.12686124811013474</c:v>
                </c:pt>
                <c:pt idx="171">
                  <c:v>0.12159456811270077</c:v>
                </c:pt>
                <c:pt idx="172">
                  <c:v>0.11654459954361787</c:v>
                </c:pt>
                <c:pt idx="173">
                  <c:v>0.11170258417772856</c:v>
                </c:pt>
                <c:pt idx="174">
                  <c:v>0.10706010463581991</c:v>
                </c:pt>
                <c:pt idx="175">
                  <c:v>0.10260907221473753</c:v>
                </c:pt>
                <c:pt idx="176">
                  <c:v>9.8341715057829709E-2</c:v>
                </c:pt>
                <c:pt idx="177">
                  <c:v>9.4250566664946078E-2</c:v>
                </c:pt>
                <c:pt idx="178">
                  <c:v>9.0328454740190287E-2</c:v>
                </c:pt>
                <c:pt idx="179">
                  <c:v>8.6568490374729939E-2</c:v>
                </c:pt>
                <c:pt idx="180">
                  <c:v>8.2964057561177071E-2</c:v>
                </c:pt>
                <c:pt idx="181">
                  <c:v>7.9508803035370487E-2</c:v>
                </c:pt>
                <c:pt idx="182">
                  <c:v>7.619662644079607E-2</c:v>
                </c:pt>
                <c:pt idx="183">
                  <c:v>7.3021670810374736E-2</c:v>
                </c:pt>
                <c:pt idx="184">
                  <c:v>6.9978313359916777E-2</c:v>
                </c:pt>
                <c:pt idx="185">
                  <c:v>6.7061156587175166E-2</c:v>
                </c:pt>
                <c:pt idx="186">
                  <c:v>6.4265019670132054E-2</c:v>
                </c:pt>
                <c:pt idx="187">
                  <c:v>6.1584930157906941E-2</c:v>
                </c:pt>
                <c:pt idx="188">
                  <c:v>5.9016115947479152E-2</c:v>
                </c:pt>
                <c:pt idx="189">
                  <c:v>5.6553997539268791E-2</c:v>
                </c:pt>
                <c:pt idx="190">
                  <c:v>5.4194180564511557E-2</c:v>
                </c:pt>
                <c:pt idx="191">
                  <c:v>5.1932448577287724E-2</c:v>
                </c:pt>
                <c:pt idx="192">
                  <c:v>4.9764756104027044E-2</c:v>
                </c:pt>
                <c:pt idx="193">
                  <c:v>4.7687221943297893E-2</c:v>
                </c:pt>
                <c:pt idx="194">
                  <c:v>4.5696122708701561E-2</c:v>
                </c:pt>
                <c:pt idx="195">
                  <c:v>4.3787886607728803E-2</c:v>
                </c:pt>
                <c:pt idx="196">
                  <c:v>4.1959087449490527E-2</c:v>
                </c:pt>
                <c:pt idx="197">
                  <c:v>4.0206438874305556E-2</c:v>
                </c:pt>
                <c:pt idx="198">
                  <c:v>3.8526788798216513E-2</c:v>
                </c:pt>
                <c:pt idx="199">
                  <c:v>3.6917114065604398E-2</c:v>
                </c:pt>
              </c:numCache>
            </c:numRef>
          </c:yVal>
          <c:smooth val="0"/>
          <c:extLst>
            <c:ext xmlns:c16="http://schemas.microsoft.com/office/drawing/2014/chart" uri="{C3380CC4-5D6E-409C-BE32-E72D297353CC}">
              <c16:uniqueId val="{00000000-9BCC-4F18-9037-0DC2143F3AB7}"/>
            </c:ext>
          </c:extLst>
        </c:ser>
        <c:dLbls>
          <c:showLegendKey val="0"/>
          <c:showVal val="0"/>
          <c:showCatName val="0"/>
          <c:showSerName val="0"/>
          <c:showPercent val="0"/>
          <c:showBubbleSize val="0"/>
        </c:dLbls>
        <c:axId val="416761936"/>
        <c:axId val="1"/>
      </c:scatterChart>
      <c:valAx>
        <c:axId val="416761936"/>
        <c:scaling>
          <c:orientation val="minMax"/>
        </c:scaling>
        <c:delete val="0"/>
        <c:axPos val="b"/>
        <c:majorGridlines>
          <c:spPr>
            <a:ln w="3175">
              <a:solidFill>
                <a:srgbClr val="000000"/>
              </a:solidFill>
              <a:prstDash val="solid"/>
            </a:ln>
          </c:spPr>
        </c:majorGridlines>
        <c:minorGridlines>
          <c:spPr>
            <a:ln w="3175">
              <a:solidFill>
                <a:srgbClr val="C0C0C0"/>
              </a:solidFill>
              <a:prstDash val="solid"/>
            </a:ln>
          </c:spPr>
        </c:minorGridlines>
        <c:title>
          <c:tx>
            <c:rich>
              <a:bodyPr/>
              <a:lstStyle/>
              <a:p>
                <a:pPr>
                  <a:defRPr sz="1800" b="1" i="0" u="none" strike="noStrike" baseline="0">
                    <a:solidFill>
                      <a:srgbClr val="000000"/>
                    </a:solidFill>
                    <a:latin typeface="Arial"/>
                    <a:ea typeface="Arial"/>
                    <a:cs typeface="Arial"/>
                  </a:defRPr>
                </a:pPr>
                <a:r>
                  <a:rPr lang="en-US"/>
                  <a:t>Minimum Remaining Thickness</a:t>
                </a:r>
              </a:p>
            </c:rich>
          </c:tx>
          <c:layout>
            <c:manualLayout>
              <c:xMode val="edge"/>
              <c:yMode val="edge"/>
              <c:x val="0.3323013068962235"/>
              <c:y val="0.90709464888317537"/>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14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olid"/>
            </a:ln>
          </c:spPr>
        </c:majorGridlines>
        <c:title>
          <c:tx>
            <c:rich>
              <a:bodyPr/>
              <a:lstStyle/>
              <a:p>
                <a:pPr>
                  <a:defRPr sz="1800" b="1" i="0" u="none" strike="noStrike" baseline="0">
                    <a:solidFill>
                      <a:srgbClr val="000000"/>
                    </a:solidFill>
                    <a:latin typeface="Arial"/>
                    <a:ea typeface="Arial"/>
                    <a:cs typeface="Arial"/>
                  </a:defRPr>
                </a:pPr>
                <a:r>
                  <a:rPr lang="en-US"/>
                  <a:t>Probability Density Function</a:t>
                </a:r>
              </a:p>
            </c:rich>
          </c:tx>
          <c:layout>
            <c:manualLayout>
              <c:xMode val="edge"/>
              <c:yMode val="edge"/>
              <c:x val="1.8575823099832731E-2"/>
              <c:y val="0.15540539575410217"/>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FFFFFF"/>
                </a:solidFill>
                <a:latin typeface="Arial"/>
                <a:ea typeface="Arial"/>
                <a:cs typeface="Arial"/>
              </a:defRPr>
            </a:pPr>
            <a:endParaRPr lang="en-US"/>
          </a:p>
        </c:txPr>
        <c:crossAx val="416761936"/>
        <c:crosses val="autoZero"/>
        <c:crossBetween val="midCat"/>
      </c:valAx>
      <c:spPr>
        <a:solidFill>
          <a:srgbClr val="FFFFFF"/>
        </a:solidFill>
        <a:ln w="12700">
          <a:solidFill>
            <a:srgbClr val="000000"/>
          </a:solidFill>
          <a:prstDash val="solid"/>
        </a:ln>
      </c:spPr>
    </c:plotArea>
    <c:plotVisOnly val="1"/>
    <c:dispBlanksAs val="gap"/>
    <c:showDLblsOverMax val="0"/>
  </c:chart>
  <c:spPr>
    <a:noFill/>
    <a:ln w="9525">
      <a:noFill/>
    </a:ln>
  </c:spPr>
  <c:txPr>
    <a:bodyPr/>
    <a:lstStyle/>
    <a:p>
      <a:pPr>
        <a:defRPr sz="1000" b="0" i="0" u="none" strike="noStrike" baseline="0">
          <a:solidFill>
            <a:srgbClr val="000000"/>
          </a:solidFill>
          <a:latin typeface="Arial"/>
          <a:ea typeface="Arial"/>
          <a:cs typeface="Arial"/>
        </a:defRPr>
      </a:pPr>
      <a:endParaRPr lang="en-US"/>
    </a:p>
  </c:txPr>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3.xml"/></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chartsheets/_rels/sheet3.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300-000000000000}">
  <sheetPr codeName="Chart4"/>
  <sheetViews>
    <sheetView zoomScale="75" workbookViewId="0"/>
  </sheetViews>
  <pageMargins left="0.75" right="0.75" top="1" bottom="1" header="0.5" footer="0.5"/>
  <headerFooter alignWithMargins="0">
    <oddHeader>&amp;A</oddHeader>
    <oddFooter>Page &amp;P</oddFooter>
  </headerFooter>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75" workbookViewId="0"/>
  </sheetViews>
  <pageMargins left="0.75" right="0.75" top="1" bottom="1" header="0.5" footer="0.5"/>
  <pageSetup orientation="landscape" r:id="rId1"/>
  <headerFooter alignWithMargins="0"/>
  <drawing r:id="rId2"/>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A00-000000000000}">
  <sheetPr codeName="Chart7"/>
  <sheetViews>
    <sheetView zoomScale="75" workbookViewId="0"/>
  </sheetViews>
  <pageMargins left="0.75" right="0.75" top="1" bottom="1" header="0.5" footer="0.5"/>
  <pageSetup paperSize="9" orientation="landscape" r:id="rId1"/>
  <headerFooter alignWithMargins="0"/>
  <drawing r:id="rId2"/>
</chartsheet>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4" Type="http://schemas.openxmlformats.org/officeDocument/2006/relationships/image" Target="../media/image12.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editAs="oneCell">
    <xdr:from>
      <xdr:col>2</xdr:col>
      <xdr:colOff>5153025</xdr:colOff>
      <xdr:row>4</xdr:row>
      <xdr:rowOff>95250</xdr:rowOff>
    </xdr:from>
    <xdr:to>
      <xdr:col>2</xdr:col>
      <xdr:colOff>7667625</xdr:colOff>
      <xdr:row>6</xdr:row>
      <xdr:rowOff>0</xdr:rowOff>
    </xdr:to>
    <xdr:sp macro="[0]!MainSheet" textlink="">
      <xdr:nvSpPr>
        <xdr:cNvPr id="8307" name="Oval 10">
          <a:extLst>
            <a:ext uri="{FF2B5EF4-FFF2-40B4-BE49-F238E27FC236}">
              <a16:creationId xmlns:a16="http://schemas.microsoft.com/office/drawing/2014/main" id="{A4E579B8-92B5-49F3-98D6-570D52BE5B03}"/>
            </a:ext>
          </a:extLst>
        </xdr:cNvPr>
        <xdr:cNvSpPr>
          <a:spLocks noChangeArrowheads="1"/>
        </xdr:cNvSpPr>
      </xdr:nvSpPr>
      <xdr:spPr bwMode="auto">
        <a:xfrm>
          <a:off x="5810250" y="790575"/>
          <a:ext cx="2514600" cy="447675"/>
        </a:xfrm>
        <a:prstGeom prst="ellipse">
          <a:avLst/>
        </a:prstGeom>
        <a:solidFill>
          <a:srgbClr val="FF0000"/>
        </a:solidFill>
        <a:ln w="9525">
          <a:noFill/>
          <a:round/>
          <a:headEnd/>
          <a:tailEnd/>
        </a:ln>
      </xdr:spPr>
      <xdr:txBody>
        <a:bodyPr vertOverflow="clip" wrap="square" lIns="36576" tIns="32004" rIns="36576" bIns="32004" anchor="ctr" upright="1"/>
        <a:lstStyle/>
        <a:p>
          <a:pPr algn="ctr" rtl="0">
            <a:defRPr sz="1000"/>
          </a:pPr>
          <a:r>
            <a:rPr lang="en-MY" sz="1600" b="1" i="0" u="none" strike="noStrike" baseline="0">
              <a:solidFill>
                <a:srgbClr val="FFFFFF"/>
              </a:solidFill>
              <a:latin typeface="Arial"/>
              <a:cs typeface="Arial"/>
            </a:rPr>
            <a:t>Go to main sheet</a:t>
          </a:r>
        </a:p>
      </xdr:txBody>
    </xdr:sp>
    <xdr:clientData/>
  </xdr:twoCellAnchor>
  <xdr:twoCellAnchor editAs="oneCell">
    <xdr:from>
      <xdr:col>2</xdr:col>
      <xdr:colOff>4810125</xdr:colOff>
      <xdr:row>11</xdr:row>
      <xdr:rowOff>47625</xdr:rowOff>
    </xdr:from>
    <xdr:to>
      <xdr:col>2</xdr:col>
      <xdr:colOff>6991350</xdr:colOff>
      <xdr:row>15</xdr:row>
      <xdr:rowOff>66675</xdr:rowOff>
    </xdr:to>
    <xdr:pic>
      <xdr:nvPicPr>
        <xdr:cNvPr id="14180" name="Picture 12">
          <a:extLst>
            <a:ext uri="{FF2B5EF4-FFF2-40B4-BE49-F238E27FC236}">
              <a16:creationId xmlns:a16="http://schemas.microsoft.com/office/drawing/2014/main" id="{BF9DC67C-FFDC-4DE4-9EE9-3417D7022B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467350" y="3562350"/>
          <a:ext cx="2181225" cy="971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1762125</xdr:colOff>
      <xdr:row>11</xdr:row>
      <xdr:rowOff>142875</xdr:rowOff>
    </xdr:from>
    <xdr:to>
      <xdr:col>2</xdr:col>
      <xdr:colOff>2562225</xdr:colOff>
      <xdr:row>15</xdr:row>
      <xdr:rowOff>161925</xdr:rowOff>
    </xdr:to>
    <xdr:sp macro="" textlink="">
      <xdr:nvSpPr>
        <xdr:cNvPr id="8205" name="Text Box 13">
          <a:extLst>
            <a:ext uri="{FF2B5EF4-FFF2-40B4-BE49-F238E27FC236}">
              <a16:creationId xmlns:a16="http://schemas.microsoft.com/office/drawing/2014/main" id="{C973CDFE-D02A-4F03-BBF5-771AF815D898}"/>
            </a:ext>
          </a:extLst>
        </xdr:cNvPr>
        <xdr:cNvSpPr txBox="1">
          <a:spLocks noChangeArrowheads="1"/>
        </xdr:cNvSpPr>
      </xdr:nvSpPr>
      <xdr:spPr bwMode="auto">
        <a:xfrm>
          <a:off x="2419350" y="3657600"/>
          <a:ext cx="800100" cy="971550"/>
        </a:xfrm>
        <a:prstGeom prst="rect">
          <a:avLst/>
        </a:prstGeom>
        <a:noFill/>
        <a:ln w="9525">
          <a:noFill/>
          <a:miter lim="800000"/>
          <a:headEnd/>
          <a:tailEnd/>
        </a:ln>
        <a:effectLst/>
      </xdr:spPr>
      <xdr:txBody>
        <a:bodyPr vertOverflow="clip" wrap="square" lIns="27432" tIns="22860" rIns="27432" bIns="22860" anchor="ctr" upright="1"/>
        <a:lstStyle/>
        <a:p>
          <a:pPr algn="ctr" rtl="0">
            <a:defRPr sz="1000"/>
          </a:pPr>
          <a:r>
            <a:rPr lang="en-MY" sz="1000" b="1" i="0" u="none" strike="noStrike" baseline="0">
              <a:solidFill>
                <a:srgbClr val="0000FF"/>
              </a:solidFill>
              <a:latin typeface="Arial"/>
              <a:cs typeface="Arial"/>
            </a:rPr>
            <a:t>Click</a:t>
          </a:r>
        </a:p>
        <a:p>
          <a:pPr algn="ctr" rtl="0">
            <a:defRPr sz="1000"/>
          </a:pPr>
          <a:r>
            <a:rPr lang="en-MY" sz="1000" b="1" i="0" u="none" strike="noStrike" baseline="0">
              <a:solidFill>
                <a:srgbClr val="0000FF"/>
              </a:solidFill>
              <a:latin typeface="Arial"/>
              <a:cs typeface="Arial"/>
            </a:rPr>
            <a:t>Okay leaving you this </a:t>
          </a:r>
        </a:p>
        <a:p>
          <a:pPr algn="ctr" rtl="0">
            <a:defRPr sz="1000"/>
          </a:pPr>
          <a:r>
            <a:rPr lang="en-MY" sz="1000" b="1" i="0" u="none" strike="noStrike" baseline="0">
              <a:solidFill>
                <a:srgbClr val="0000FF"/>
              </a:solidFill>
              <a:latin typeface="Arial"/>
              <a:cs typeface="Arial"/>
            </a:rPr>
            <a:t>(VBA Window):</a:t>
          </a:r>
        </a:p>
      </xdr:txBody>
    </xdr:sp>
    <xdr:clientData/>
  </xdr:twoCellAnchor>
  <xdr:twoCellAnchor>
    <xdr:from>
      <xdr:col>2</xdr:col>
      <xdr:colOff>7067550</xdr:colOff>
      <xdr:row>11</xdr:row>
      <xdr:rowOff>114300</xdr:rowOff>
    </xdr:from>
    <xdr:to>
      <xdr:col>2</xdr:col>
      <xdr:colOff>7896225</xdr:colOff>
      <xdr:row>15</xdr:row>
      <xdr:rowOff>152400</xdr:rowOff>
    </xdr:to>
    <xdr:sp macro="" textlink="">
      <xdr:nvSpPr>
        <xdr:cNvPr id="8206" name="Text Box 14">
          <a:extLst>
            <a:ext uri="{FF2B5EF4-FFF2-40B4-BE49-F238E27FC236}">
              <a16:creationId xmlns:a16="http://schemas.microsoft.com/office/drawing/2014/main" id="{FCFE8509-1D55-4F85-BBC0-45146F72DB21}"/>
            </a:ext>
          </a:extLst>
        </xdr:cNvPr>
        <xdr:cNvSpPr txBox="1">
          <a:spLocks noChangeArrowheads="1"/>
        </xdr:cNvSpPr>
      </xdr:nvSpPr>
      <xdr:spPr bwMode="auto">
        <a:xfrm>
          <a:off x="7724775" y="3629025"/>
          <a:ext cx="828675" cy="990600"/>
        </a:xfrm>
        <a:prstGeom prst="rect">
          <a:avLst/>
        </a:prstGeom>
        <a:noFill/>
        <a:ln w="9525">
          <a:noFill/>
          <a:miter lim="800000"/>
          <a:headEnd/>
          <a:tailEnd/>
        </a:ln>
        <a:effectLst/>
      </xdr:spPr>
      <xdr:txBody>
        <a:bodyPr vertOverflow="clip" wrap="square" lIns="27432" tIns="22860" rIns="27432" bIns="22860" anchor="ctr" upright="1"/>
        <a:lstStyle/>
        <a:p>
          <a:pPr algn="ctr" rtl="0">
            <a:defRPr sz="1000"/>
          </a:pPr>
          <a:r>
            <a:rPr lang="en-MY" sz="1000" b="1" i="0" u="none" strike="noStrike" baseline="0">
              <a:solidFill>
                <a:srgbClr val="0000FF"/>
              </a:solidFill>
              <a:latin typeface="Arial"/>
              <a:cs typeface="Arial"/>
            </a:rPr>
            <a:t>Click okay and go to "VBAfix" sheet (VBAfix tab)</a:t>
          </a:r>
        </a:p>
      </xdr:txBody>
    </xdr:sp>
    <xdr:clientData/>
  </xdr:twoCellAnchor>
  <xdr:twoCellAnchor>
    <xdr:from>
      <xdr:col>2</xdr:col>
      <xdr:colOff>4076700</xdr:colOff>
      <xdr:row>12</xdr:row>
      <xdr:rowOff>19050</xdr:rowOff>
    </xdr:from>
    <xdr:to>
      <xdr:col>2</xdr:col>
      <xdr:colOff>4791075</xdr:colOff>
      <xdr:row>15</xdr:row>
      <xdr:rowOff>190500</xdr:rowOff>
    </xdr:to>
    <xdr:sp macro="" textlink="">
      <xdr:nvSpPr>
        <xdr:cNvPr id="8207" name="Text Box 15">
          <a:extLst>
            <a:ext uri="{FF2B5EF4-FFF2-40B4-BE49-F238E27FC236}">
              <a16:creationId xmlns:a16="http://schemas.microsoft.com/office/drawing/2014/main" id="{AE3FCAB7-A3CF-4BE8-B619-7A13200043FE}"/>
            </a:ext>
          </a:extLst>
        </xdr:cNvPr>
        <xdr:cNvSpPr txBox="1">
          <a:spLocks noChangeArrowheads="1"/>
        </xdr:cNvSpPr>
      </xdr:nvSpPr>
      <xdr:spPr bwMode="auto">
        <a:xfrm>
          <a:off x="4733925" y="3771900"/>
          <a:ext cx="714375" cy="885825"/>
        </a:xfrm>
        <a:prstGeom prst="rect">
          <a:avLst/>
        </a:prstGeom>
        <a:noFill/>
        <a:ln w="9525">
          <a:noFill/>
          <a:miter lim="800000"/>
          <a:headEnd/>
          <a:tailEnd/>
        </a:ln>
        <a:effectLst/>
      </xdr:spPr>
      <xdr:txBody>
        <a:bodyPr vertOverflow="clip" wrap="square" lIns="27432" tIns="22860" rIns="27432" bIns="22860" anchor="ctr" upright="1"/>
        <a:lstStyle/>
        <a:p>
          <a:pPr algn="ctr" rtl="0">
            <a:defRPr sz="1000"/>
          </a:pPr>
          <a:r>
            <a:rPr lang="en-MY" sz="1000" b="1" i="0" u="none" strike="noStrike" baseline="0">
              <a:solidFill>
                <a:srgbClr val="0000FF"/>
              </a:solidFill>
              <a:latin typeface="Arial"/>
              <a:cs typeface="Arial"/>
            </a:rPr>
            <a:t>Close the VBA Window giving you this:</a:t>
          </a:r>
        </a:p>
      </xdr:txBody>
    </xdr:sp>
    <xdr:clientData/>
  </xdr:twoCellAnchor>
  <xdr:twoCellAnchor>
    <xdr:from>
      <xdr:col>0</xdr:col>
      <xdr:colOff>66675</xdr:colOff>
      <xdr:row>12</xdr:row>
      <xdr:rowOff>85725</xdr:rowOff>
    </xdr:from>
    <xdr:to>
      <xdr:col>2</xdr:col>
      <xdr:colOff>19050</xdr:colOff>
      <xdr:row>14</xdr:row>
      <xdr:rowOff>85725</xdr:rowOff>
    </xdr:to>
    <xdr:sp macro="" textlink="">
      <xdr:nvSpPr>
        <xdr:cNvPr id="8208" name="Text Box 16">
          <a:extLst>
            <a:ext uri="{FF2B5EF4-FFF2-40B4-BE49-F238E27FC236}">
              <a16:creationId xmlns:a16="http://schemas.microsoft.com/office/drawing/2014/main" id="{49A5E2F6-E28E-4A78-88F6-14A652395FCA}"/>
            </a:ext>
          </a:extLst>
        </xdr:cNvPr>
        <xdr:cNvSpPr txBox="1">
          <a:spLocks noChangeArrowheads="1"/>
        </xdr:cNvSpPr>
      </xdr:nvSpPr>
      <xdr:spPr bwMode="auto">
        <a:xfrm>
          <a:off x="66675" y="3838575"/>
          <a:ext cx="609600" cy="476250"/>
        </a:xfrm>
        <a:prstGeom prst="rect">
          <a:avLst/>
        </a:prstGeom>
        <a:noFill/>
        <a:ln w="9525">
          <a:noFill/>
          <a:miter lim="800000"/>
          <a:headEnd/>
          <a:tailEnd/>
        </a:ln>
        <a:effectLst/>
      </xdr:spPr>
      <xdr:txBody>
        <a:bodyPr vertOverflow="clip" wrap="square" lIns="27432" tIns="22860" rIns="27432" bIns="22860" anchor="ctr" upright="1"/>
        <a:lstStyle/>
        <a:p>
          <a:pPr algn="ctr" rtl="0">
            <a:defRPr sz="1000"/>
          </a:pPr>
          <a:r>
            <a:rPr lang="en-MY" sz="1000" b="1" i="0" u="none" strike="noStrike" baseline="0">
              <a:solidFill>
                <a:srgbClr val="0000FF"/>
              </a:solidFill>
              <a:latin typeface="Arial"/>
              <a:cs typeface="Arial"/>
            </a:rPr>
            <a:t>If you get this:</a:t>
          </a:r>
        </a:p>
      </xdr:txBody>
    </xdr:sp>
    <xdr:clientData/>
  </xdr:twoCellAnchor>
  <xdr:twoCellAnchor editAs="oneCell">
    <xdr:from>
      <xdr:col>2</xdr:col>
      <xdr:colOff>2609850</xdr:colOff>
      <xdr:row>11</xdr:row>
      <xdr:rowOff>161925</xdr:rowOff>
    </xdr:from>
    <xdr:to>
      <xdr:col>2</xdr:col>
      <xdr:colOff>4048125</xdr:colOff>
      <xdr:row>15</xdr:row>
      <xdr:rowOff>171450</xdr:rowOff>
    </xdr:to>
    <xdr:pic>
      <xdr:nvPicPr>
        <xdr:cNvPr id="14185" name="Picture 17">
          <a:extLst>
            <a:ext uri="{FF2B5EF4-FFF2-40B4-BE49-F238E27FC236}">
              <a16:creationId xmlns:a16="http://schemas.microsoft.com/office/drawing/2014/main" id="{25D21A70-9404-40EB-93CB-372412B0EE5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267075" y="3676650"/>
          <a:ext cx="143827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47625</xdr:colOff>
      <xdr:row>11</xdr:row>
      <xdr:rowOff>114300</xdr:rowOff>
    </xdr:from>
    <xdr:to>
      <xdr:col>2</xdr:col>
      <xdr:colOff>1743075</xdr:colOff>
      <xdr:row>15</xdr:row>
      <xdr:rowOff>190500</xdr:rowOff>
    </xdr:to>
    <xdr:pic>
      <xdr:nvPicPr>
        <xdr:cNvPr id="14186" name="Picture 18">
          <a:extLst>
            <a:ext uri="{FF2B5EF4-FFF2-40B4-BE49-F238E27FC236}">
              <a16:creationId xmlns:a16="http://schemas.microsoft.com/office/drawing/2014/main" id="{A61F4FE7-3B21-4FB4-A376-BA5754D766F8}"/>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50" y="3629025"/>
          <a:ext cx="169545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1514475</xdr:colOff>
      <xdr:row>2</xdr:row>
      <xdr:rowOff>47625</xdr:rowOff>
    </xdr:from>
    <xdr:to>
      <xdr:col>4</xdr:col>
      <xdr:colOff>1628775</xdr:colOff>
      <xdr:row>9</xdr:row>
      <xdr:rowOff>142875</xdr:rowOff>
    </xdr:to>
    <xdr:sp macro="[0]!Run" textlink="">
      <xdr:nvSpPr>
        <xdr:cNvPr id="2157" name="Oval 109">
          <a:extLst>
            <a:ext uri="{FF2B5EF4-FFF2-40B4-BE49-F238E27FC236}">
              <a16:creationId xmlns:a16="http://schemas.microsoft.com/office/drawing/2014/main" id="{EEC575CD-32AF-4C88-9277-79015CD883B5}"/>
            </a:ext>
          </a:extLst>
        </xdr:cNvPr>
        <xdr:cNvSpPr>
          <a:spLocks noChangeArrowheads="1"/>
        </xdr:cNvSpPr>
      </xdr:nvSpPr>
      <xdr:spPr bwMode="auto">
        <a:xfrm>
          <a:off x="3924300" y="857250"/>
          <a:ext cx="2514600" cy="1228725"/>
        </a:xfrm>
        <a:prstGeom prst="ellipse">
          <a:avLst/>
        </a:prstGeom>
        <a:gradFill rotWithShape="0">
          <a:gsLst>
            <a:gs pos="0">
              <a:srgbClr val="FFFFFF"/>
            </a:gs>
            <a:gs pos="50000">
              <a:srgbClr val="FF0000"/>
            </a:gs>
            <a:gs pos="100000">
              <a:srgbClr val="FFFFFF"/>
            </a:gs>
          </a:gsLst>
          <a:lin ang="5400000" scaled="1"/>
        </a:gradFill>
        <a:ln w="9525">
          <a:noFill/>
          <a:round/>
          <a:headEnd/>
          <a:tailEnd/>
        </a:ln>
      </xdr:spPr>
      <xdr:txBody>
        <a:bodyPr vertOverflow="clip" wrap="square" lIns="54864" tIns="45720" rIns="54864" bIns="45720" anchor="ctr" upright="1"/>
        <a:lstStyle/>
        <a:p>
          <a:pPr algn="ctr" rtl="0">
            <a:defRPr sz="1000"/>
          </a:pPr>
          <a:r>
            <a:rPr lang="en-MY" sz="2000" b="0" i="0" u="none" strike="noStrike" baseline="0">
              <a:solidFill>
                <a:srgbClr val="0000FF"/>
              </a:solidFill>
              <a:latin typeface="Futura Book"/>
            </a:rPr>
            <a:t>Click here to calculate</a:t>
          </a:r>
        </a:p>
      </xdr:txBody>
    </xdr:sp>
    <xdr:clientData fPrintsWithSheet="0"/>
  </xdr:twoCellAnchor>
</xdr:wsDr>
</file>

<file path=xl/drawings/drawing3.xml><?xml version="1.0" encoding="utf-8"?>
<xdr:wsDr xmlns:xdr="http://schemas.openxmlformats.org/drawingml/2006/spreadsheetDrawing" xmlns:a="http://schemas.openxmlformats.org/drawingml/2006/main">
  <xdr:absoluteAnchor>
    <xdr:pos x="0" y="0"/>
    <xdr:ext cx="8666480" cy="6289040"/>
    <xdr:graphicFrame macro="">
      <xdr:nvGraphicFramePr>
        <xdr:cNvPr id="2" name="Chart 1">
          <a:extLst>
            <a:ext uri="{FF2B5EF4-FFF2-40B4-BE49-F238E27FC236}">
              <a16:creationId xmlns:a16="http://schemas.microsoft.com/office/drawing/2014/main" id="{904E879D-99E4-48D7-B1F5-2C58E56EF4CA}"/>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0" y="0"/>
    <xdr:ext cx="8575040" cy="5831840"/>
    <xdr:graphicFrame macro="">
      <xdr:nvGraphicFramePr>
        <xdr:cNvPr id="2" name="Chart 1">
          <a:extLst>
            <a:ext uri="{FF2B5EF4-FFF2-40B4-BE49-F238E27FC236}">
              <a16:creationId xmlns:a16="http://schemas.microsoft.com/office/drawing/2014/main" id="{BFD93FA1-5B25-4CB0-B1E0-9A50C033CF0C}"/>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twoCellAnchor>
    <xdr:from>
      <xdr:col>2</xdr:col>
      <xdr:colOff>3467100</xdr:colOff>
      <xdr:row>8</xdr:row>
      <xdr:rowOff>57150</xdr:rowOff>
    </xdr:from>
    <xdr:to>
      <xdr:col>2</xdr:col>
      <xdr:colOff>6172200</xdr:colOff>
      <xdr:row>9</xdr:row>
      <xdr:rowOff>2047875</xdr:rowOff>
    </xdr:to>
    <xdr:grpSp>
      <xdr:nvGrpSpPr>
        <xdr:cNvPr id="15909" name="Group 14">
          <a:extLst>
            <a:ext uri="{FF2B5EF4-FFF2-40B4-BE49-F238E27FC236}">
              <a16:creationId xmlns:a16="http://schemas.microsoft.com/office/drawing/2014/main" id="{86E8A966-9573-42D4-8C09-4526B2CFC05B}"/>
            </a:ext>
          </a:extLst>
        </xdr:cNvPr>
        <xdr:cNvGrpSpPr>
          <a:grpSpLocks/>
        </xdr:cNvGrpSpPr>
      </xdr:nvGrpSpPr>
      <xdr:grpSpPr bwMode="auto">
        <a:xfrm>
          <a:off x="4137660" y="2000250"/>
          <a:ext cx="2705100" cy="2188845"/>
          <a:chOff x="452" y="345"/>
          <a:chExt cx="284" cy="231"/>
        </a:xfrm>
      </xdr:grpSpPr>
      <xdr:pic>
        <xdr:nvPicPr>
          <xdr:cNvPr id="15918" name="Picture 10">
            <a:extLst>
              <a:ext uri="{FF2B5EF4-FFF2-40B4-BE49-F238E27FC236}">
                <a16:creationId xmlns:a16="http://schemas.microsoft.com/office/drawing/2014/main" id="{10BED006-F932-4019-8C5F-5BB6F1ED89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52" y="345"/>
            <a:ext cx="284" cy="2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5919" name="Line 13">
            <a:extLst>
              <a:ext uri="{FF2B5EF4-FFF2-40B4-BE49-F238E27FC236}">
                <a16:creationId xmlns:a16="http://schemas.microsoft.com/office/drawing/2014/main" id="{BB58C667-7617-4703-BB16-812DE21456B4}"/>
              </a:ext>
            </a:extLst>
          </xdr:cNvPr>
          <xdr:cNvSpPr>
            <a:spLocks noChangeShapeType="1"/>
          </xdr:cNvSpPr>
        </xdr:nvSpPr>
        <xdr:spPr bwMode="auto">
          <a:xfrm flipH="1">
            <a:off x="482" y="393"/>
            <a:ext cx="166" cy="50"/>
          </a:xfrm>
          <a:prstGeom prst="line">
            <a:avLst/>
          </a:prstGeom>
          <a:noFill/>
          <a:ln w="25400">
            <a:solidFill>
              <a:srgbClr val="FF0000"/>
            </a:solidFill>
            <a:round/>
            <a:headEnd type="stealth" w="med" len="lg"/>
            <a:tailEnd type="stealth" w="med" len="lg"/>
          </a:ln>
          <a:extLst>
            <a:ext uri="{909E8E84-426E-40DD-AFC4-6F175D3DCCD1}">
              <a14:hiddenFill xmlns:a14="http://schemas.microsoft.com/office/drawing/2010/main">
                <a:noFill/>
              </a14:hiddenFill>
            </a:ext>
          </a:extLst>
        </xdr:spPr>
      </xdr:sp>
    </xdr:grpSp>
    <xdr:clientData/>
  </xdr:twoCellAnchor>
  <xdr:twoCellAnchor editAs="oneCell">
    <xdr:from>
      <xdr:col>2</xdr:col>
      <xdr:colOff>695325</xdr:colOff>
      <xdr:row>8</xdr:row>
      <xdr:rowOff>38100</xdr:rowOff>
    </xdr:from>
    <xdr:to>
      <xdr:col>2</xdr:col>
      <xdr:colOff>3343275</xdr:colOff>
      <xdr:row>9</xdr:row>
      <xdr:rowOff>3067050</xdr:rowOff>
    </xdr:to>
    <xdr:pic>
      <xdr:nvPicPr>
        <xdr:cNvPr id="15910" name="Picture 15">
          <a:extLst>
            <a:ext uri="{FF2B5EF4-FFF2-40B4-BE49-F238E27FC236}">
              <a16:creationId xmlns:a16="http://schemas.microsoft.com/office/drawing/2014/main" id="{52E91021-38A3-4904-9E4E-164D12A348F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52550" y="1962150"/>
          <a:ext cx="2647950" cy="3228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11</xdr:row>
      <xdr:rowOff>0</xdr:rowOff>
    </xdr:from>
    <xdr:to>
      <xdr:col>2</xdr:col>
      <xdr:colOff>4552950</xdr:colOff>
      <xdr:row>11</xdr:row>
      <xdr:rowOff>3248025</xdr:rowOff>
    </xdr:to>
    <xdr:pic>
      <xdr:nvPicPr>
        <xdr:cNvPr id="15911" name="Picture 16">
          <a:extLst>
            <a:ext uri="{FF2B5EF4-FFF2-40B4-BE49-F238E27FC236}">
              <a16:creationId xmlns:a16="http://schemas.microsoft.com/office/drawing/2014/main" id="{AC3D60AB-A8BC-4E7A-A531-6C01A3F8D41D}"/>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57225" y="5619750"/>
          <a:ext cx="4552950" cy="3248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266700</xdr:colOff>
      <xdr:row>13</xdr:row>
      <xdr:rowOff>142875</xdr:rowOff>
    </xdr:from>
    <xdr:to>
      <xdr:col>2</xdr:col>
      <xdr:colOff>3381375</xdr:colOff>
      <xdr:row>13</xdr:row>
      <xdr:rowOff>666750</xdr:rowOff>
    </xdr:to>
    <xdr:pic>
      <xdr:nvPicPr>
        <xdr:cNvPr id="15912" name="Picture 17">
          <a:extLst>
            <a:ext uri="{FF2B5EF4-FFF2-40B4-BE49-F238E27FC236}">
              <a16:creationId xmlns:a16="http://schemas.microsoft.com/office/drawing/2014/main" id="{0957526B-5654-4BA4-960D-A66D2B5EEFC2}"/>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571500" y="9258300"/>
          <a:ext cx="3467100" cy="523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3562350</xdr:colOff>
      <xdr:row>13</xdr:row>
      <xdr:rowOff>19050</xdr:rowOff>
    </xdr:from>
    <xdr:to>
      <xdr:col>2</xdr:col>
      <xdr:colOff>7239000</xdr:colOff>
      <xdr:row>13</xdr:row>
      <xdr:rowOff>2886075</xdr:rowOff>
    </xdr:to>
    <xdr:grpSp>
      <xdr:nvGrpSpPr>
        <xdr:cNvPr id="15913" name="Group 20">
          <a:extLst>
            <a:ext uri="{FF2B5EF4-FFF2-40B4-BE49-F238E27FC236}">
              <a16:creationId xmlns:a16="http://schemas.microsoft.com/office/drawing/2014/main" id="{D38AB433-8EC2-43AF-A268-330B2FB37659}"/>
            </a:ext>
          </a:extLst>
        </xdr:cNvPr>
        <xdr:cNvGrpSpPr>
          <a:grpSpLocks/>
        </xdr:cNvGrpSpPr>
      </xdr:nvGrpSpPr>
      <xdr:grpSpPr bwMode="auto">
        <a:xfrm>
          <a:off x="4232910" y="9155430"/>
          <a:ext cx="3676650" cy="2867025"/>
          <a:chOff x="411" y="1037"/>
          <a:chExt cx="386" cy="306"/>
        </a:xfrm>
      </xdr:grpSpPr>
      <xdr:pic>
        <xdr:nvPicPr>
          <xdr:cNvPr id="15916" name="Picture 18">
            <a:extLst>
              <a:ext uri="{FF2B5EF4-FFF2-40B4-BE49-F238E27FC236}">
                <a16:creationId xmlns:a16="http://schemas.microsoft.com/office/drawing/2014/main" id="{B200D84C-1578-4694-8883-F144F872CFC2}"/>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11" y="1037"/>
            <a:ext cx="386" cy="3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macro="" textlink="">
        <xdr:nvSpPr>
          <xdr:cNvPr id="15917" name="Line 19">
            <a:extLst>
              <a:ext uri="{FF2B5EF4-FFF2-40B4-BE49-F238E27FC236}">
                <a16:creationId xmlns:a16="http://schemas.microsoft.com/office/drawing/2014/main" id="{775BCF23-099A-440C-B5F4-97E9B48C4850}"/>
              </a:ext>
            </a:extLst>
          </xdr:cNvPr>
          <xdr:cNvSpPr>
            <a:spLocks noChangeShapeType="1"/>
          </xdr:cNvSpPr>
        </xdr:nvSpPr>
        <xdr:spPr bwMode="auto">
          <a:xfrm flipV="1">
            <a:off x="455" y="1078"/>
            <a:ext cx="256" cy="65"/>
          </a:xfrm>
          <a:prstGeom prst="line">
            <a:avLst/>
          </a:prstGeom>
          <a:noFill/>
          <a:ln w="25400">
            <a:solidFill>
              <a:srgbClr val="FF0000"/>
            </a:solidFill>
            <a:round/>
            <a:headEnd type="stealth" w="med" len="lg"/>
            <a:tailEnd type="stealth" w="med" len="lg"/>
          </a:ln>
          <a:extLst>
            <a:ext uri="{909E8E84-426E-40DD-AFC4-6F175D3DCCD1}">
              <a14:hiddenFill xmlns:a14="http://schemas.microsoft.com/office/drawing/2010/main">
                <a:noFill/>
              </a14:hiddenFill>
            </a:ext>
          </a:extLst>
        </xdr:spPr>
      </xdr:sp>
    </xdr:grpSp>
    <xdr:clientData/>
  </xdr:twoCellAnchor>
  <xdr:twoCellAnchor editAs="oneCell">
    <xdr:from>
      <xdr:col>2</xdr:col>
      <xdr:colOff>4933950</xdr:colOff>
      <xdr:row>0</xdr:row>
      <xdr:rowOff>85725</xdr:rowOff>
    </xdr:from>
    <xdr:to>
      <xdr:col>2</xdr:col>
      <xdr:colOff>7486650</xdr:colOff>
      <xdr:row>4</xdr:row>
      <xdr:rowOff>28575</xdr:rowOff>
    </xdr:to>
    <xdr:sp macro="[0]!MainSheet" textlink="">
      <xdr:nvSpPr>
        <xdr:cNvPr id="5141" name="Oval 21">
          <a:extLst>
            <a:ext uri="{FF2B5EF4-FFF2-40B4-BE49-F238E27FC236}">
              <a16:creationId xmlns:a16="http://schemas.microsoft.com/office/drawing/2014/main" id="{7693C570-D052-431C-9B88-636A8138911D}"/>
            </a:ext>
          </a:extLst>
        </xdr:cNvPr>
        <xdr:cNvSpPr>
          <a:spLocks noChangeArrowheads="1"/>
        </xdr:cNvSpPr>
      </xdr:nvSpPr>
      <xdr:spPr bwMode="auto">
        <a:xfrm>
          <a:off x="5591175" y="85725"/>
          <a:ext cx="2552700" cy="590550"/>
        </a:xfrm>
        <a:prstGeom prst="ellipse">
          <a:avLst/>
        </a:prstGeom>
        <a:solidFill>
          <a:srgbClr val="FF0000"/>
        </a:solidFill>
        <a:ln w="9525">
          <a:solidFill>
            <a:srgbClr val="000000"/>
          </a:solidFill>
          <a:round/>
          <a:headEnd/>
          <a:tailEnd/>
        </a:ln>
      </xdr:spPr>
      <xdr:txBody>
        <a:bodyPr vertOverflow="clip" wrap="square" lIns="36576" tIns="32004" rIns="36576" bIns="32004" anchor="ctr" upright="1"/>
        <a:lstStyle/>
        <a:p>
          <a:pPr algn="ctr" rtl="0">
            <a:defRPr sz="1000"/>
          </a:pPr>
          <a:r>
            <a:rPr lang="en-MY" sz="1600" b="1" i="0" u="none" strike="noStrike" baseline="0">
              <a:solidFill>
                <a:srgbClr val="FFFFFF"/>
              </a:solidFill>
              <a:latin typeface="Arial"/>
              <a:cs typeface="Arial"/>
            </a:rPr>
            <a:t>Go to main sheet</a:t>
          </a:r>
        </a:p>
      </xdr:txBody>
    </xdr:sp>
    <xdr:clientData/>
  </xdr:twoCellAnchor>
  <xdr:twoCellAnchor editAs="oneCell">
    <xdr:from>
      <xdr:col>1</xdr:col>
      <xdr:colOff>114300</xdr:colOff>
      <xdr:row>15</xdr:row>
      <xdr:rowOff>257175</xdr:rowOff>
    </xdr:from>
    <xdr:to>
      <xdr:col>2</xdr:col>
      <xdr:colOff>2314575</xdr:colOff>
      <xdr:row>15</xdr:row>
      <xdr:rowOff>1009650</xdr:rowOff>
    </xdr:to>
    <xdr:sp macro="[0]!MainSheet" textlink="">
      <xdr:nvSpPr>
        <xdr:cNvPr id="5142" name="Oval 22">
          <a:extLst>
            <a:ext uri="{FF2B5EF4-FFF2-40B4-BE49-F238E27FC236}">
              <a16:creationId xmlns:a16="http://schemas.microsoft.com/office/drawing/2014/main" id="{73D09EB0-AEAD-4DD4-9338-471C6DD00130}"/>
            </a:ext>
          </a:extLst>
        </xdr:cNvPr>
        <xdr:cNvSpPr>
          <a:spLocks noChangeArrowheads="1"/>
        </xdr:cNvSpPr>
      </xdr:nvSpPr>
      <xdr:spPr bwMode="auto">
        <a:xfrm>
          <a:off x="419100" y="12534900"/>
          <a:ext cx="2552700" cy="752475"/>
        </a:xfrm>
        <a:prstGeom prst="ellipse">
          <a:avLst/>
        </a:prstGeom>
        <a:solidFill>
          <a:srgbClr val="FF0000"/>
        </a:solidFill>
        <a:ln w="9525">
          <a:solidFill>
            <a:srgbClr val="000000"/>
          </a:solidFill>
          <a:round/>
          <a:headEnd/>
          <a:tailEnd/>
        </a:ln>
      </xdr:spPr>
      <xdr:txBody>
        <a:bodyPr vertOverflow="clip" wrap="square" lIns="36576" tIns="32004" rIns="36576" bIns="32004" anchor="ctr" upright="1"/>
        <a:lstStyle/>
        <a:p>
          <a:pPr algn="ctr" rtl="0">
            <a:defRPr sz="1000"/>
          </a:pPr>
          <a:r>
            <a:rPr lang="en-MY" sz="1600" b="1" i="0" u="none" strike="noStrike" baseline="0">
              <a:solidFill>
                <a:srgbClr val="FFFFFF"/>
              </a:solidFill>
              <a:latin typeface="Arial"/>
              <a:cs typeface="Arial"/>
            </a:rPr>
            <a:t>Go to main sheet</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2</xdr:col>
      <xdr:colOff>4933950</xdr:colOff>
      <xdr:row>0</xdr:row>
      <xdr:rowOff>85725</xdr:rowOff>
    </xdr:from>
    <xdr:to>
      <xdr:col>2</xdr:col>
      <xdr:colOff>7486650</xdr:colOff>
      <xdr:row>4</xdr:row>
      <xdr:rowOff>28575</xdr:rowOff>
    </xdr:to>
    <xdr:sp macro="[0]!MainSheet" textlink="">
      <xdr:nvSpPr>
        <xdr:cNvPr id="11" name="Oval 21">
          <a:extLst>
            <a:ext uri="{FF2B5EF4-FFF2-40B4-BE49-F238E27FC236}">
              <a16:creationId xmlns:a16="http://schemas.microsoft.com/office/drawing/2014/main" id="{DEC20CDA-541E-4F42-8185-391DED415135}"/>
            </a:ext>
          </a:extLst>
        </xdr:cNvPr>
        <xdr:cNvSpPr>
          <a:spLocks noChangeArrowheads="1"/>
        </xdr:cNvSpPr>
      </xdr:nvSpPr>
      <xdr:spPr bwMode="auto">
        <a:xfrm>
          <a:off x="5591175" y="85725"/>
          <a:ext cx="2552700" cy="590550"/>
        </a:xfrm>
        <a:prstGeom prst="ellipse">
          <a:avLst/>
        </a:prstGeom>
        <a:solidFill>
          <a:srgbClr val="FF0000"/>
        </a:solidFill>
        <a:ln w="9525">
          <a:solidFill>
            <a:srgbClr val="000000"/>
          </a:solidFill>
          <a:round/>
          <a:headEnd/>
          <a:tailEnd/>
        </a:ln>
      </xdr:spPr>
      <xdr:txBody>
        <a:bodyPr vertOverflow="clip" wrap="square" lIns="36576" tIns="32004" rIns="36576" bIns="32004" anchor="ctr" upright="1"/>
        <a:lstStyle/>
        <a:p>
          <a:pPr algn="ctr" rtl="0">
            <a:defRPr sz="1000"/>
          </a:pPr>
          <a:r>
            <a:rPr lang="en-MY" sz="1600" b="1" i="0" u="none" strike="noStrike" baseline="0">
              <a:solidFill>
                <a:srgbClr val="FFFFFF"/>
              </a:solidFill>
              <a:latin typeface="Arial"/>
              <a:cs typeface="Arial"/>
            </a:rPr>
            <a:t>Go to main sheet</a:t>
          </a:r>
        </a:p>
      </xdr:txBody>
    </xdr:sp>
    <xdr:clientData/>
  </xdr:twoCellAnchor>
  <xdr:twoCellAnchor editAs="oneCell">
    <xdr:from>
      <xdr:col>1</xdr:col>
      <xdr:colOff>114300</xdr:colOff>
      <xdr:row>16</xdr:row>
      <xdr:rowOff>257175</xdr:rowOff>
    </xdr:from>
    <xdr:to>
      <xdr:col>2</xdr:col>
      <xdr:colOff>2314575</xdr:colOff>
      <xdr:row>16</xdr:row>
      <xdr:rowOff>1009650</xdr:rowOff>
    </xdr:to>
    <xdr:sp macro="[0]!MainSheet" textlink="">
      <xdr:nvSpPr>
        <xdr:cNvPr id="12" name="Oval 22">
          <a:extLst>
            <a:ext uri="{FF2B5EF4-FFF2-40B4-BE49-F238E27FC236}">
              <a16:creationId xmlns:a16="http://schemas.microsoft.com/office/drawing/2014/main" id="{E258F01F-A4AD-439A-9FD6-9109066BFC7A}"/>
            </a:ext>
          </a:extLst>
        </xdr:cNvPr>
        <xdr:cNvSpPr>
          <a:spLocks noChangeArrowheads="1"/>
        </xdr:cNvSpPr>
      </xdr:nvSpPr>
      <xdr:spPr bwMode="auto">
        <a:xfrm>
          <a:off x="419100" y="12534900"/>
          <a:ext cx="2552700" cy="752475"/>
        </a:xfrm>
        <a:prstGeom prst="ellipse">
          <a:avLst/>
        </a:prstGeom>
        <a:solidFill>
          <a:srgbClr val="FF0000"/>
        </a:solidFill>
        <a:ln w="9525">
          <a:solidFill>
            <a:srgbClr val="000000"/>
          </a:solidFill>
          <a:round/>
          <a:headEnd/>
          <a:tailEnd/>
        </a:ln>
      </xdr:spPr>
      <xdr:txBody>
        <a:bodyPr vertOverflow="clip" wrap="square" lIns="36576" tIns="32004" rIns="36576" bIns="32004" anchor="ctr" upright="1"/>
        <a:lstStyle/>
        <a:p>
          <a:pPr algn="ctr" rtl="0">
            <a:defRPr sz="1000"/>
          </a:pPr>
          <a:r>
            <a:rPr lang="en-MY" sz="1600" b="1" i="0" u="none" strike="noStrike" baseline="0">
              <a:solidFill>
                <a:srgbClr val="FFFFFF"/>
              </a:solidFill>
              <a:latin typeface="Arial"/>
              <a:cs typeface="Arial"/>
            </a:rPr>
            <a:t>Go to main sheet</a:t>
          </a:r>
        </a:p>
      </xdr:txBody>
    </xdr:sp>
    <xdr:clientData/>
  </xdr:twoCellAnchor>
  <xdr:twoCellAnchor editAs="oneCell">
    <xdr:from>
      <xdr:col>2</xdr:col>
      <xdr:colOff>57150</xdr:colOff>
      <xdr:row>8</xdr:row>
      <xdr:rowOff>9525</xdr:rowOff>
    </xdr:from>
    <xdr:to>
      <xdr:col>2</xdr:col>
      <xdr:colOff>4200525</xdr:colOff>
      <xdr:row>9</xdr:row>
      <xdr:rowOff>3190875</xdr:rowOff>
    </xdr:to>
    <xdr:pic>
      <xdr:nvPicPr>
        <xdr:cNvPr id="15194" name="Picture 23">
          <a:extLst>
            <a:ext uri="{FF2B5EF4-FFF2-40B4-BE49-F238E27FC236}">
              <a16:creationId xmlns:a16="http://schemas.microsoft.com/office/drawing/2014/main" id="{4C4D8977-B506-4EBC-A09F-FD26EF79E89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 y="2133600"/>
          <a:ext cx="4143375" cy="3381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4400550</xdr:colOff>
      <xdr:row>8</xdr:row>
      <xdr:rowOff>28575</xdr:rowOff>
    </xdr:from>
    <xdr:to>
      <xdr:col>2</xdr:col>
      <xdr:colOff>7362825</xdr:colOff>
      <xdr:row>9</xdr:row>
      <xdr:rowOff>3190875</xdr:rowOff>
    </xdr:to>
    <xdr:pic>
      <xdr:nvPicPr>
        <xdr:cNvPr id="15195" name="Picture 24">
          <a:extLst>
            <a:ext uri="{FF2B5EF4-FFF2-40B4-BE49-F238E27FC236}">
              <a16:creationId xmlns:a16="http://schemas.microsoft.com/office/drawing/2014/main" id="{3CF1D90B-EAEF-4D83-A0B2-1A8C35DEBF5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057775" y="2152650"/>
          <a:ext cx="2962275" cy="33623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47625</xdr:colOff>
      <xdr:row>11</xdr:row>
      <xdr:rowOff>28575</xdr:rowOff>
    </xdr:from>
    <xdr:to>
      <xdr:col>2</xdr:col>
      <xdr:colOff>3362325</xdr:colOff>
      <xdr:row>11</xdr:row>
      <xdr:rowOff>2943225</xdr:rowOff>
    </xdr:to>
    <xdr:pic>
      <xdr:nvPicPr>
        <xdr:cNvPr id="15196" name="Picture 25">
          <a:extLst>
            <a:ext uri="{FF2B5EF4-FFF2-40B4-BE49-F238E27FC236}">
              <a16:creationId xmlns:a16="http://schemas.microsoft.com/office/drawing/2014/main" id="{F6A0AF7A-E7F6-4BA8-8A3A-2BD9C1872161}"/>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4850" y="6048375"/>
          <a:ext cx="3314700" cy="2914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2886075</xdr:colOff>
      <xdr:row>13</xdr:row>
      <xdr:rowOff>123825</xdr:rowOff>
    </xdr:from>
    <xdr:to>
      <xdr:col>2</xdr:col>
      <xdr:colOff>6410325</xdr:colOff>
      <xdr:row>13</xdr:row>
      <xdr:rowOff>2933700</xdr:rowOff>
    </xdr:to>
    <xdr:pic>
      <xdr:nvPicPr>
        <xdr:cNvPr id="15197" name="Picture 26">
          <a:extLst>
            <a:ext uri="{FF2B5EF4-FFF2-40B4-BE49-F238E27FC236}">
              <a16:creationId xmlns:a16="http://schemas.microsoft.com/office/drawing/2014/main" id="{A992BD69-1F47-4E3C-8BFB-DC8AC5A254DF}"/>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43300" y="10439400"/>
          <a:ext cx="3524250" cy="2809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114300</xdr:colOff>
      <xdr:row>14</xdr:row>
      <xdr:rowOff>66675</xdr:rowOff>
    </xdr:from>
    <xdr:to>
      <xdr:col>2</xdr:col>
      <xdr:colOff>3657600</xdr:colOff>
      <xdr:row>14</xdr:row>
      <xdr:rowOff>2886075</xdr:rowOff>
    </xdr:to>
    <xdr:pic>
      <xdr:nvPicPr>
        <xdr:cNvPr id="15198" name="Picture 37">
          <a:extLst>
            <a:ext uri="{FF2B5EF4-FFF2-40B4-BE49-F238E27FC236}">
              <a16:creationId xmlns:a16="http://schemas.microsoft.com/office/drawing/2014/main" id="{DB5297A3-DAF9-4DB0-8B4C-C1097AE30C76}"/>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771525" y="13344525"/>
          <a:ext cx="3543300" cy="2819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xdr:col>
      <xdr:colOff>95250</xdr:colOff>
      <xdr:row>13</xdr:row>
      <xdr:rowOff>142875</xdr:rowOff>
    </xdr:from>
    <xdr:to>
      <xdr:col>2</xdr:col>
      <xdr:colOff>2800350</xdr:colOff>
      <xdr:row>13</xdr:row>
      <xdr:rowOff>1152525</xdr:rowOff>
    </xdr:to>
    <xdr:pic>
      <xdr:nvPicPr>
        <xdr:cNvPr id="15199" name="Picture 39">
          <a:extLst>
            <a:ext uri="{FF2B5EF4-FFF2-40B4-BE49-F238E27FC236}">
              <a16:creationId xmlns:a16="http://schemas.microsoft.com/office/drawing/2014/main" id="{583BFD07-7FC0-4342-8530-65EDAAF50B54}"/>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r="54654" b="78825"/>
        <a:stretch>
          <a:fillRect/>
        </a:stretch>
      </xdr:blipFill>
      <xdr:spPr bwMode="auto">
        <a:xfrm>
          <a:off x="752475" y="10458450"/>
          <a:ext cx="2705100" cy="1009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absoluteAnchor>
    <xdr:pos x="0" y="0"/>
    <xdr:ext cx="9191625" cy="5600700"/>
    <xdr:graphicFrame macro="">
      <xdr:nvGraphicFramePr>
        <xdr:cNvPr id="2" name="Chart 1">
          <a:extLst>
            <a:ext uri="{FF2B5EF4-FFF2-40B4-BE49-F238E27FC236}">
              <a16:creationId xmlns:a16="http://schemas.microsoft.com/office/drawing/2014/main" id="{10E88F86-C6BA-4D4E-A26B-680356597FB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pageSetUpPr fitToPage="1"/>
  </sheetPr>
  <dimension ref="A1:C112"/>
  <sheetViews>
    <sheetView showGridLines="0" showRowColHeaders="0" workbookViewId="0"/>
  </sheetViews>
  <sheetFormatPr defaultRowHeight="13.2" x14ac:dyDescent="0.25"/>
  <cols>
    <col min="1" max="1" width="4.5546875" customWidth="1"/>
    <col min="2" max="2" width="5.21875" customWidth="1"/>
    <col min="3" max="3" width="119.44140625" style="25" customWidth="1"/>
  </cols>
  <sheetData>
    <row r="1" spans="1:3" ht="6.75" customHeight="1" x14ac:dyDescent="0.25"/>
    <row r="2" spans="1:3" s="26" customFormat="1" ht="15.6" x14ac:dyDescent="0.3">
      <c r="A2"/>
      <c r="B2" s="17" t="s">
        <v>70</v>
      </c>
      <c r="C2" s="25"/>
    </row>
    <row r="3" spans="1:3" s="26" customFormat="1" ht="15.6" x14ac:dyDescent="0.3">
      <c r="A3"/>
      <c r="B3"/>
      <c r="C3" s="25"/>
    </row>
    <row r="4" spans="1:3" s="26" customFormat="1" ht="16.2" thickBot="1" x14ac:dyDescent="0.35">
      <c r="B4" s="129" t="s">
        <v>31</v>
      </c>
      <c r="C4" s="130"/>
    </row>
    <row r="5" spans="1:3" s="26" customFormat="1" ht="25.2" thickTop="1" x14ac:dyDescent="0.4">
      <c r="B5" s="72"/>
      <c r="C5" s="77" t="s">
        <v>61</v>
      </c>
    </row>
    <row r="6" spans="1:3" s="26" customFormat="1" ht="15.6" x14ac:dyDescent="0.3">
      <c r="B6" s="73">
        <v>1</v>
      </c>
      <c r="C6" s="74" t="s">
        <v>59</v>
      </c>
    </row>
    <row r="7" spans="1:3" s="28" customFormat="1" ht="31.2" x14ac:dyDescent="0.3">
      <c r="A7" s="26"/>
      <c r="B7" s="73">
        <v>2</v>
      </c>
      <c r="C7" s="74" t="s">
        <v>60</v>
      </c>
    </row>
    <row r="8" spans="1:3" s="28" customFormat="1" ht="16.2" thickBot="1" x14ac:dyDescent="0.35">
      <c r="A8" s="26"/>
      <c r="B8" s="75">
        <v>3</v>
      </c>
      <c r="C8" s="76" t="s">
        <v>62</v>
      </c>
    </row>
    <row r="9" spans="1:3" s="28" customFormat="1" ht="16.2" thickTop="1" x14ac:dyDescent="0.3">
      <c r="A9" s="26"/>
      <c r="B9" s="32"/>
      <c r="C9" s="44"/>
    </row>
    <row r="10" spans="1:3" s="28" customFormat="1" ht="20.399999999999999" x14ac:dyDescent="0.35">
      <c r="A10" s="26"/>
      <c r="B10" s="32"/>
      <c r="C10" s="78" t="s">
        <v>72</v>
      </c>
    </row>
    <row r="11" spans="1:3" s="28" customFormat="1" ht="93.6" x14ac:dyDescent="0.3">
      <c r="A11" s="26"/>
      <c r="B11" s="43"/>
      <c r="C11" s="44" t="s">
        <v>73</v>
      </c>
    </row>
    <row r="12" spans="1:3" s="28" customFormat="1" ht="17.399999999999999" x14ac:dyDescent="0.3">
      <c r="A12" s="26"/>
      <c r="B12" s="43"/>
      <c r="C12" s="71"/>
    </row>
    <row r="13" spans="1:3" s="28" customFormat="1" ht="17.399999999999999" x14ac:dyDescent="0.3">
      <c r="A13" s="26"/>
      <c r="B13" s="43"/>
      <c r="C13" s="71"/>
    </row>
    <row r="14" spans="1:3" s="28" customFormat="1" ht="17.399999999999999" x14ac:dyDescent="0.3">
      <c r="A14" s="26"/>
      <c r="B14" s="43"/>
      <c r="C14" s="71"/>
    </row>
    <row r="15" spans="1:3" s="28" customFormat="1" ht="17.399999999999999" x14ac:dyDescent="0.3">
      <c r="A15" s="26"/>
      <c r="B15" s="43"/>
      <c r="C15" s="71"/>
    </row>
    <row r="16" spans="1:3" s="28" customFormat="1" ht="17.399999999999999" x14ac:dyDescent="0.3">
      <c r="A16" s="26"/>
      <c r="B16" s="43"/>
      <c r="C16" s="71"/>
    </row>
    <row r="17" spans="1:3" s="28" customFormat="1" ht="242.25" customHeight="1" x14ac:dyDescent="0.3">
      <c r="A17" s="26"/>
      <c r="B17" s="27"/>
    </row>
    <row r="18" spans="1:3" s="28" customFormat="1" ht="15.6" x14ac:dyDescent="0.3">
      <c r="A18" s="26"/>
    </row>
    <row r="19" spans="1:3" s="28" customFormat="1" ht="255.75" customHeight="1" x14ac:dyDescent="0.25"/>
    <row r="20" spans="1:3" s="28" customFormat="1" ht="15" x14ac:dyDescent="0.25"/>
    <row r="21" spans="1:3" s="28" customFormat="1" ht="233.25" customHeight="1" x14ac:dyDescent="0.25"/>
    <row r="22" spans="1:3" s="28" customFormat="1" ht="15.6" x14ac:dyDescent="0.25">
      <c r="B22" s="32"/>
    </row>
    <row r="23" spans="1:3" s="28" customFormat="1" ht="15.6" x14ac:dyDescent="0.3">
      <c r="B23" s="32"/>
      <c r="C23" s="44"/>
    </row>
    <row r="24" spans="1:3" s="28" customFormat="1" ht="15" x14ac:dyDescent="0.25">
      <c r="A24"/>
      <c r="B24"/>
      <c r="C24"/>
    </row>
    <row r="25" spans="1:3" s="28" customFormat="1" ht="15" x14ac:dyDescent="0.25">
      <c r="A25"/>
      <c r="B25"/>
      <c r="C25"/>
    </row>
    <row r="26" spans="1:3" s="28" customFormat="1" ht="15" x14ac:dyDescent="0.25">
      <c r="A26"/>
      <c r="B26"/>
      <c r="C26"/>
    </row>
    <row r="27" spans="1:3" x14ac:dyDescent="0.25">
      <c r="C27"/>
    </row>
    <row r="28" spans="1:3" x14ac:dyDescent="0.25">
      <c r="C28"/>
    </row>
    <row r="29" spans="1:3" x14ac:dyDescent="0.25">
      <c r="C29"/>
    </row>
    <row r="30" spans="1:3" x14ac:dyDescent="0.25">
      <c r="C30"/>
    </row>
    <row r="31" spans="1:3" x14ac:dyDescent="0.25">
      <c r="C31"/>
    </row>
    <row r="32" spans="1:3" x14ac:dyDescent="0.25">
      <c r="C32"/>
    </row>
    <row r="33" spans="3:3" x14ac:dyDescent="0.25">
      <c r="C33"/>
    </row>
    <row r="34" spans="3:3" x14ac:dyDescent="0.25">
      <c r="C34"/>
    </row>
    <row r="35" spans="3:3" x14ac:dyDescent="0.25">
      <c r="C35"/>
    </row>
    <row r="36" spans="3:3" x14ac:dyDescent="0.25">
      <c r="C36"/>
    </row>
    <row r="37" spans="3:3" x14ac:dyDescent="0.25">
      <c r="C37"/>
    </row>
    <row r="38" spans="3:3" x14ac:dyDescent="0.25">
      <c r="C38"/>
    </row>
    <row r="39" spans="3:3" x14ac:dyDescent="0.25">
      <c r="C39"/>
    </row>
    <row r="40" spans="3:3" x14ac:dyDescent="0.25">
      <c r="C40"/>
    </row>
    <row r="41" spans="3:3" x14ac:dyDescent="0.25">
      <c r="C41"/>
    </row>
    <row r="42" spans="3:3" x14ac:dyDescent="0.25">
      <c r="C42"/>
    </row>
    <row r="43" spans="3:3" x14ac:dyDescent="0.25">
      <c r="C43"/>
    </row>
    <row r="44" spans="3:3" x14ac:dyDescent="0.25">
      <c r="C44"/>
    </row>
    <row r="45" spans="3:3" x14ac:dyDescent="0.25">
      <c r="C45"/>
    </row>
    <row r="46" spans="3:3" x14ac:dyDescent="0.25">
      <c r="C46"/>
    </row>
    <row r="47" spans="3:3" x14ac:dyDescent="0.25">
      <c r="C47"/>
    </row>
    <row r="48" spans="3:3" x14ac:dyDescent="0.25">
      <c r="C48"/>
    </row>
    <row r="49" spans="3:3" x14ac:dyDescent="0.25">
      <c r="C49"/>
    </row>
    <row r="50" spans="3:3" x14ac:dyDescent="0.25">
      <c r="C50"/>
    </row>
    <row r="51" spans="3:3" x14ac:dyDescent="0.25">
      <c r="C51"/>
    </row>
    <row r="52" spans="3:3" x14ac:dyDescent="0.25">
      <c r="C52"/>
    </row>
    <row r="53" spans="3:3" x14ac:dyDescent="0.25">
      <c r="C53"/>
    </row>
    <row r="54" spans="3:3" x14ac:dyDescent="0.25">
      <c r="C54"/>
    </row>
    <row r="55" spans="3:3" x14ac:dyDescent="0.25">
      <c r="C55"/>
    </row>
    <row r="56" spans="3:3" x14ac:dyDescent="0.25">
      <c r="C56"/>
    </row>
    <row r="57" spans="3:3" x14ac:dyDescent="0.25">
      <c r="C57"/>
    </row>
    <row r="58" spans="3:3" x14ac:dyDescent="0.25">
      <c r="C58"/>
    </row>
    <row r="59" spans="3:3" x14ac:dyDescent="0.25">
      <c r="C59"/>
    </row>
    <row r="60" spans="3:3" x14ac:dyDescent="0.25">
      <c r="C60"/>
    </row>
    <row r="61" spans="3:3" x14ac:dyDescent="0.25">
      <c r="C61"/>
    </row>
    <row r="62" spans="3:3" x14ac:dyDescent="0.25">
      <c r="C62"/>
    </row>
    <row r="63" spans="3:3" x14ac:dyDescent="0.25">
      <c r="C63"/>
    </row>
    <row r="64" spans="3:3" x14ac:dyDescent="0.25">
      <c r="C64"/>
    </row>
    <row r="65" spans="3:3" x14ac:dyDescent="0.25">
      <c r="C65"/>
    </row>
    <row r="66" spans="3:3" x14ac:dyDescent="0.25">
      <c r="C66"/>
    </row>
    <row r="67" spans="3:3" x14ac:dyDescent="0.25">
      <c r="C67"/>
    </row>
    <row r="68" spans="3:3" x14ac:dyDescent="0.25">
      <c r="C68"/>
    </row>
    <row r="69" spans="3:3" x14ac:dyDescent="0.25">
      <c r="C69"/>
    </row>
    <row r="70" spans="3:3" x14ac:dyDescent="0.25">
      <c r="C70"/>
    </row>
    <row r="71" spans="3:3" x14ac:dyDescent="0.25">
      <c r="C71"/>
    </row>
    <row r="72" spans="3:3" x14ac:dyDescent="0.25">
      <c r="C72"/>
    </row>
    <row r="73" spans="3:3" x14ac:dyDescent="0.25">
      <c r="C73"/>
    </row>
    <row r="74" spans="3:3" x14ac:dyDescent="0.25">
      <c r="C74"/>
    </row>
    <row r="75" spans="3:3" x14ac:dyDescent="0.25">
      <c r="C75"/>
    </row>
    <row r="76" spans="3:3" x14ac:dyDescent="0.25">
      <c r="C76"/>
    </row>
    <row r="77" spans="3:3" x14ac:dyDescent="0.25">
      <c r="C77"/>
    </row>
    <row r="78" spans="3:3" x14ac:dyDescent="0.25">
      <c r="C78"/>
    </row>
    <row r="79" spans="3:3" x14ac:dyDescent="0.25">
      <c r="C79"/>
    </row>
    <row r="80" spans="3:3" x14ac:dyDescent="0.25">
      <c r="C80"/>
    </row>
    <row r="81" spans="3:3" x14ac:dyDescent="0.25">
      <c r="C81"/>
    </row>
    <row r="82" spans="3:3" x14ac:dyDescent="0.25">
      <c r="C82"/>
    </row>
    <row r="83" spans="3:3" x14ac:dyDescent="0.25">
      <c r="C83"/>
    </row>
    <row r="84" spans="3:3" x14ac:dyDescent="0.25">
      <c r="C84"/>
    </row>
    <row r="85" spans="3:3" x14ac:dyDescent="0.25">
      <c r="C85"/>
    </row>
    <row r="86" spans="3:3" x14ac:dyDescent="0.25">
      <c r="C86"/>
    </row>
    <row r="87" spans="3:3" x14ac:dyDescent="0.25">
      <c r="C87"/>
    </row>
    <row r="88" spans="3:3" x14ac:dyDescent="0.25">
      <c r="C88"/>
    </row>
    <row r="89" spans="3:3" x14ac:dyDescent="0.25">
      <c r="C89"/>
    </row>
    <row r="90" spans="3:3" x14ac:dyDescent="0.25">
      <c r="C90"/>
    </row>
    <row r="91" spans="3:3" x14ac:dyDescent="0.25">
      <c r="C91"/>
    </row>
    <row r="92" spans="3:3" x14ac:dyDescent="0.25">
      <c r="C92"/>
    </row>
    <row r="93" spans="3:3" x14ac:dyDescent="0.25">
      <c r="C93"/>
    </row>
    <row r="94" spans="3:3" x14ac:dyDescent="0.25">
      <c r="C94"/>
    </row>
    <row r="95" spans="3:3" x14ac:dyDescent="0.25">
      <c r="C95"/>
    </row>
    <row r="96" spans="3:3" x14ac:dyDescent="0.25">
      <c r="C96"/>
    </row>
    <row r="97" spans="3:3" x14ac:dyDescent="0.25">
      <c r="C97"/>
    </row>
    <row r="98" spans="3:3" x14ac:dyDescent="0.25">
      <c r="C98"/>
    </row>
    <row r="99" spans="3:3" x14ac:dyDescent="0.25">
      <c r="C99"/>
    </row>
    <row r="100" spans="3:3" x14ac:dyDescent="0.25">
      <c r="C100"/>
    </row>
    <row r="101" spans="3:3" x14ac:dyDescent="0.25">
      <c r="C101"/>
    </row>
    <row r="102" spans="3:3" x14ac:dyDescent="0.25">
      <c r="C102"/>
    </row>
    <row r="103" spans="3:3" x14ac:dyDescent="0.25">
      <c r="C103"/>
    </row>
    <row r="104" spans="3:3" x14ac:dyDescent="0.25">
      <c r="C104"/>
    </row>
    <row r="105" spans="3:3" x14ac:dyDescent="0.25">
      <c r="C105"/>
    </row>
    <row r="106" spans="3:3" x14ac:dyDescent="0.25">
      <c r="C106"/>
    </row>
    <row r="107" spans="3:3" x14ac:dyDescent="0.25">
      <c r="C107"/>
    </row>
    <row r="108" spans="3:3" x14ac:dyDescent="0.25">
      <c r="C108"/>
    </row>
    <row r="109" spans="3:3" x14ac:dyDescent="0.25">
      <c r="C109"/>
    </row>
    <row r="110" spans="3:3" x14ac:dyDescent="0.25">
      <c r="C110"/>
    </row>
    <row r="111" spans="3:3" x14ac:dyDescent="0.25">
      <c r="C111"/>
    </row>
    <row r="112" spans="3:3" x14ac:dyDescent="0.25">
      <c r="C112"/>
    </row>
  </sheetData>
  <sheetProtection sheet="1" objects="1" scenarios="1"/>
  <mergeCells count="1">
    <mergeCell ref="B4:C4"/>
  </mergeCells>
  <phoneticPr fontId="0" type="noConversion"/>
  <pageMargins left="0.35" right="0.46" top="1" bottom="1" header="0.5" footer="0.5"/>
  <pageSetup scale="43"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5632"/>
  <sheetViews>
    <sheetView showGridLines="0" topLeftCell="B10" zoomScale="124" zoomScaleNormal="124" workbookViewId="0">
      <selection activeCell="D12" sqref="D12:D13"/>
    </sheetView>
  </sheetViews>
  <sheetFormatPr defaultRowHeight="13.2" x14ac:dyDescent="0.25"/>
  <cols>
    <col min="1" max="1" width="9.21875"/>
    <col min="2" max="2" width="14.5546875" style="56" customWidth="1"/>
    <col min="3" max="3" width="12.44140625" style="67" customWidth="1"/>
    <col min="4" max="4" width="36" customWidth="1"/>
    <col min="5" max="5" width="66.21875" bestFit="1" customWidth="1"/>
    <col min="6" max="6" width="20.44140625" customWidth="1"/>
    <col min="7" max="7" width="9.21875"/>
  </cols>
  <sheetData>
    <row r="1" spans="1:9" s="20" customFormat="1" ht="52.8" x14ac:dyDescent="0.3">
      <c r="A1" s="60" t="s">
        <v>27</v>
      </c>
      <c r="B1" s="58" t="s">
        <v>122</v>
      </c>
      <c r="C1" s="62" t="s">
        <v>127</v>
      </c>
      <c r="D1" s="63" t="s">
        <v>56</v>
      </c>
      <c r="F1" s="17"/>
      <c r="G1" s="17"/>
      <c r="H1" s="17"/>
      <c r="I1" s="17"/>
    </row>
    <row r="2" spans="1:9" x14ac:dyDescent="0.25">
      <c r="A2" s="61">
        <v>1</v>
      </c>
      <c r="B2" s="119">
        <v>2.3377000000000003</v>
      </c>
      <c r="C2" s="21">
        <f t="shared" ref="C2:C65" si="0">IF(ISNUMBER(B2),Torig-B2,NA())</f>
        <v>7.2299999999999809E-2</v>
      </c>
      <c r="D2" s="24" t="s">
        <v>53</v>
      </c>
    </row>
    <row r="3" spans="1:9" x14ac:dyDescent="0.25">
      <c r="A3" s="61">
        <v>2</v>
      </c>
      <c r="B3" s="119">
        <v>2.3377000000000003</v>
      </c>
      <c r="C3" s="21">
        <f t="shared" si="0"/>
        <v>7.2299999999999809E-2</v>
      </c>
    </row>
    <row r="4" spans="1:9" x14ac:dyDescent="0.25">
      <c r="A4" s="61">
        <v>3</v>
      </c>
      <c r="B4" s="119">
        <v>2.3136000000000001</v>
      </c>
      <c r="C4" s="21">
        <f t="shared" si="0"/>
        <v>9.6400000000000041E-2</v>
      </c>
    </row>
    <row r="5" spans="1:9" s="24" customFormat="1" x14ac:dyDescent="0.25">
      <c r="A5" s="61">
        <v>4</v>
      </c>
      <c r="B5" s="119">
        <v>2.3136000000000001</v>
      </c>
      <c r="C5" s="21">
        <f t="shared" si="0"/>
        <v>9.6400000000000041E-2</v>
      </c>
    </row>
    <row r="6" spans="1:9" s="24" customFormat="1" x14ac:dyDescent="0.25">
      <c r="A6" s="61">
        <v>5</v>
      </c>
      <c r="B6" s="119">
        <v>2.2895000000000003</v>
      </c>
      <c r="C6" s="21">
        <f t="shared" si="0"/>
        <v>0.12049999999999983</v>
      </c>
    </row>
    <row r="7" spans="1:9" s="24" customFormat="1" x14ac:dyDescent="0.25">
      <c r="A7" s="61">
        <v>6</v>
      </c>
      <c r="B7" s="119">
        <v>2.2895000000000003</v>
      </c>
      <c r="C7" s="21">
        <f t="shared" si="0"/>
        <v>0.12049999999999983</v>
      </c>
    </row>
    <row r="8" spans="1:9" s="24" customFormat="1" x14ac:dyDescent="0.25">
      <c r="A8" s="61">
        <v>7</v>
      </c>
      <c r="B8" s="119">
        <v>2.2895000000000003</v>
      </c>
      <c r="C8" s="21">
        <f t="shared" si="0"/>
        <v>0.12049999999999983</v>
      </c>
    </row>
    <row r="9" spans="1:9" s="24" customFormat="1" x14ac:dyDescent="0.25">
      <c r="A9" s="61">
        <v>8</v>
      </c>
      <c r="B9" s="119">
        <v>2.2895000000000003</v>
      </c>
      <c r="C9" s="21">
        <f t="shared" si="0"/>
        <v>0.12049999999999983</v>
      </c>
    </row>
    <row r="10" spans="1:9" s="24" customFormat="1" x14ac:dyDescent="0.25">
      <c r="A10" s="61">
        <v>9</v>
      </c>
      <c r="B10" s="119">
        <v>2.2895000000000003</v>
      </c>
      <c r="C10" s="21">
        <f t="shared" si="0"/>
        <v>0.12049999999999983</v>
      </c>
    </row>
    <row r="11" spans="1:9" s="24" customFormat="1" ht="13.8" thickBot="1" x14ac:dyDescent="0.3">
      <c r="A11" s="61">
        <v>10</v>
      </c>
      <c r="B11" s="119">
        <v>2.2895000000000003</v>
      </c>
      <c r="C11" s="21">
        <f t="shared" si="0"/>
        <v>0.12049999999999983</v>
      </c>
    </row>
    <row r="12" spans="1:9" s="24" customFormat="1" x14ac:dyDescent="0.25">
      <c r="A12" s="61">
        <v>11</v>
      </c>
      <c r="B12" s="119">
        <v>2.2895000000000003</v>
      </c>
      <c r="C12" s="21">
        <f t="shared" si="0"/>
        <v>0.12049999999999983</v>
      </c>
      <c r="D12" s="125" t="s">
        <v>141</v>
      </c>
      <c r="E12" s="124" t="s">
        <v>68</v>
      </c>
    </row>
    <row r="13" spans="1:9" s="24" customFormat="1" ht="13.8" thickBot="1" x14ac:dyDescent="0.3">
      <c r="A13" s="61">
        <v>12</v>
      </c>
      <c r="B13" s="119">
        <v>2.2895000000000003</v>
      </c>
      <c r="C13" s="21">
        <f t="shared" si="0"/>
        <v>0.12049999999999983</v>
      </c>
      <c r="D13" s="126"/>
      <c r="E13" s="124"/>
    </row>
    <row r="14" spans="1:9" s="24" customFormat="1" ht="13.8" thickBot="1" x14ac:dyDescent="0.3">
      <c r="A14" s="61">
        <v>13</v>
      </c>
      <c r="B14" s="119">
        <v>2.2895000000000003</v>
      </c>
      <c r="C14" s="21">
        <f t="shared" si="0"/>
        <v>0.12049999999999983</v>
      </c>
    </row>
    <row r="15" spans="1:9" s="24" customFormat="1" x14ac:dyDescent="0.25">
      <c r="A15" s="61">
        <v>14</v>
      </c>
      <c r="B15" s="119">
        <v>2.2895000000000003</v>
      </c>
      <c r="C15" s="21">
        <f t="shared" si="0"/>
        <v>0.12049999999999983</v>
      </c>
      <c r="D15" s="127">
        <v>2.41</v>
      </c>
      <c r="E15" s="124" t="s">
        <v>126</v>
      </c>
      <c r="F15" s="57"/>
    </row>
    <row r="16" spans="1:9" s="24" customFormat="1" ht="13.8" thickBot="1" x14ac:dyDescent="0.3">
      <c r="A16" s="61">
        <v>15</v>
      </c>
      <c r="B16" s="119">
        <v>2.2895000000000003</v>
      </c>
      <c r="C16" s="21">
        <f t="shared" si="0"/>
        <v>0.12049999999999983</v>
      </c>
      <c r="D16" s="128"/>
      <c r="E16" s="124"/>
      <c r="F16" s="57"/>
      <c r="G16" s="65"/>
    </row>
    <row r="17" spans="1:7" s="24" customFormat="1" ht="13.8" thickBot="1" x14ac:dyDescent="0.3">
      <c r="A17" s="61">
        <v>16</v>
      </c>
      <c r="B17" s="119">
        <v>2.2895000000000003</v>
      </c>
      <c r="C17" s="21">
        <f t="shared" si="0"/>
        <v>0.12049999999999983</v>
      </c>
      <c r="D17" s="57"/>
      <c r="E17" s="57"/>
      <c r="F17" s="57"/>
    </row>
    <row r="18" spans="1:7" s="24" customFormat="1" ht="12.75" customHeight="1" x14ac:dyDescent="0.25">
      <c r="A18" s="61">
        <v>17</v>
      </c>
      <c r="B18" s="119">
        <v>2.2895000000000003</v>
      </c>
      <c r="C18" s="21">
        <f t="shared" si="0"/>
        <v>0.12049999999999983</v>
      </c>
      <c r="D18" s="122">
        <v>366</v>
      </c>
      <c r="E18" s="124" t="s">
        <v>69</v>
      </c>
      <c r="F18" s="57"/>
    </row>
    <row r="19" spans="1:7" s="24" customFormat="1" ht="13.5" customHeight="1" thickBot="1" x14ac:dyDescent="0.3">
      <c r="A19" s="61">
        <v>18</v>
      </c>
      <c r="B19" s="119">
        <v>2.2895000000000003</v>
      </c>
      <c r="C19" s="21">
        <f t="shared" si="0"/>
        <v>0.12049999999999983</v>
      </c>
      <c r="D19" s="123"/>
      <c r="E19" s="124"/>
      <c r="F19" s="57"/>
    </row>
    <row r="20" spans="1:7" s="24" customFormat="1" x14ac:dyDescent="0.25">
      <c r="A20" s="61">
        <v>19</v>
      </c>
      <c r="B20" s="119">
        <v>2.2895000000000003</v>
      </c>
      <c r="C20" s="21">
        <f t="shared" si="0"/>
        <v>0.12049999999999983</v>
      </c>
      <c r="D20" s="57"/>
      <c r="E20" s="57"/>
      <c r="F20" s="57"/>
      <c r="G20" s="5"/>
    </row>
    <row r="21" spans="1:7" s="24" customFormat="1" x14ac:dyDescent="0.25">
      <c r="A21" s="61">
        <v>20</v>
      </c>
      <c r="B21" s="119">
        <v>2.2895000000000003</v>
      </c>
      <c r="C21" s="21">
        <f t="shared" si="0"/>
        <v>0.12049999999999983</v>
      </c>
      <c r="D21" s="79">
        <f>Nmeas</f>
        <v>366</v>
      </c>
      <c r="E21" s="57"/>
      <c r="F21" s="57"/>
    </row>
    <row r="22" spans="1:7" s="24" customFormat="1" x14ac:dyDescent="0.25">
      <c r="A22" s="61">
        <v>21</v>
      </c>
      <c r="B22" s="119">
        <v>2.2895000000000003</v>
      </c>
      <c r="C22" s="21">
        <f t="shared" si="0"/>
        <v>0.12049999999999983</v>
      </c>
      <c r="D22" s="80">
        <f>T_99</f>
        <v>1.7270364529004307</v>
      </c>
      <c r="E22" s="81" t="s">
        <v>137</v>
      </c>
      <c r="F22" s="68"/>
    </row>
    <row r="23" spans="1:7" s="24" customFormat="1" x14ac:dyDescent="0.25">
      <c r="A23" s="61">
        <v>22</v>
      </c>
      <c r="B23" s="119">
        <v>2.2895000000000003</v>
      </c>
      <c r="C23" s="21">
        <f t="shared" si="0"/>
        <v>0.12049999999999983</v>
      </c>
      <c r="D23" s="82">
        <f>T_95</f>
        <v>1.7391404034886366</v>
      </c>
      <c r="E23" s="81" t="s">
        <v>138</v>
      </c>
      <c r="F23" s="57"/>
    </row>
    <row r="24" spans="1:7" s="24" customFormat="1" x14ac:dyDescent="0.25">
      <c r="A24" s="61">
        <v>23</v>
      </c>
      <c r="B24" s="119">
        <v>2.2895000000000003</v>
      </c>
      <c r="C24" s="21">
        <f t="shared" si="0"/>
        <v>0.12049999999999983</v>
      </c>
      <c r="D24" s="83">
        <f>T_90</f>
        <v>1.7452993454096577</v>
      </c>
      <c r="E24" s="81" t="s">
        <v>139</v>
      </c>
      <c r="F24" s="57"/>
    </row>
    <row r="25" spans="1:7" s="24" customFormat="1" x14ac:dyDescent="0.25">
      <c r="A25" s="61">
        <v>24</v>
      </c>
      <c r="B25" s="119">
        <v>2.2895000000000003</v>
      </c>
      <c r="C25" s="21">
        <f t="shared" si="0"/>
        <v>0.12049999999999983</v>
      </c>
      <c r="D25" s="84">
        <f>T_80</f>
        <v>1.7523974487299978</v>
      </c>
      <c r="E25" s="81" t="s">
        <v>140</v>
      </c>
      <c r="F25" s="68"/>
    </row>
    <row r="26" spans="1:7" s="24" customFormat="1" ht="13.8" thickBot="1" x14ac:dyDescent="0.3">
      <c r="A26" s="61">
        <v>25</v>
      </c>
      <c r="B26" s="119">
        <v>2.2895000000000003</v>
      </c>
      <c r="C26" s="21">
        <f t="shared" si="0"/>
        <v>0.12049999999999983</v>
      </c>
      <c r="D26" s="57"/>
      <c r="E26" s="57"/>
      <c r="F26" s="57"/>
      <c r="G26" s="65"/>
    </row>
    <row r="27" spans="1:7" s="24" customFormat="1" ht="12.75" customHeight="1" x14ac:dyDescent="0.25">
      <c r="A27" s="61">
        <v>26</v>
      </c>
      <c r="B27" s="119">
        <v>2.2895000000000003</v>
      </c>
      <c r="C27" s="21">
        <f t="shared" si="0"/>
        <v>0.12049999999999983</v>
      </c>
      <c r="D27" s="120" t="str">
        <f>IF(NOT(ISNUMBER('EVA Calcs'!C30)),"Goodness of Fit Test Result",IF('EVA Calcs'!C30&lt;0.757,"Goodness of Fit Test = PASS","Goodness of Fit Test = FAIL"))</f>
        <v>Goodness of Fit Test = PASS</v>
      </c>
      <c r="E27" s="69"/>
      <c r="F27" s="57"/>
      <c r="G27" s="5"/>
    </row>
    <row r="28" spans="1:7" s="24" customFormat="1" ht="13.5" customHeight="1" thickBot="1" x14ac:dyDescent="0.3">
      <c r="A28" s="61">
        <v>27</v>
      </c>
      <c r="B28" s="119">
        <v>2.2895000000000003</v>
      </c>
      <c r="C28" s="21">
        <f t="shared" si="0"/>
        <v>0.12049999999999983</v>
      </c>
      <c r="D28" s="121"/>
      <c r="E28" s="69"/>
      <c r="F28"/>
      <c r="G28" s="65"/>
    </row>
    <row r="29" spans="1:7" s="24" customFormat="1" x14ac:dyDescent="0.25">
      <c r="A29" s="61">
        <v>28</v>
      </c>
      <c r="B29" s="119">
        <v>2.2895000000000003</v>
      </c>
      <c r="C29" s="21">
        <f t="shared" si="0"/>
        <v>0.12049999999999983</v>
      </c>
      <c r="D29" s="69"/>
      <c r="E29" s="69"/>
      <c r="F29"/>
      <c r="G29" s="5"/>
    </row>
    <row r="30" spans="1:7" s="24" customFormat="1" x14ac:dyDescent="0.25">
      <c r="A30" s="61">
        <v>29</v>
      </c>
      <c r="B30" s="119">
        <v>2.2895000000000003</v>
      </c>
      <c r="C30" s="21">
        <f t="shared" si="0"/>
        <v>0.12049999999999983</v>
      </c>
      <c r="D30"/>
      <c r="E30"/>
      <c r="F30"/>
      <c r="G30" s="5"/>
    </row>
    <row r="31" spans="1:7" s="24" customFormat="1" x14ac:dyDescent="0.25">
      <c r="A31" s="61">
        <v>30</v>
      </c>
      <c r="B31" s="119">
        <v>2.2895000000000003</v>
      </c>
      <c r="C31" s="21">
        <f t="shared" si="0"/>
        <v>0.12049999999999983</v>
      </c>
      <c r="D31"/>
      <c r="E31"/>
      <c r="F31"/>
      <c r="G31" s="5"/>
    </row>
    <row r="32" spans="1:7" x14ac:dyDescent="0.25">
      <c r="A32" s="61">
        <v>31</v>
      </c>
      <c r="B32" s="119">
        <v>2.2895000000000003</v>
      </c>
      <c r="C32" s="21">
        <f t="shared" si="0"/>
        <v>0.12049999999999983</v>
      </c>
      <c r="E32" s="66"/>
      <c r="G32" s="5"/>
    </row>
    <row r="33" spans="1:7" x14ac:dyDescent="0.25">
      <c r="A33" s="61">
        <v>32</v>
      </c>
      <c r="B33" s="119">
        <v>2.2895000000000003</v>
      </c>
      <c r="C33" s="21">
        <f t="shared" si="0"/>
        <v>0.12049999999999983</v>
      </c>
      <c r="G33" s="5"/>
    </row>
    <row r="34" spans="1:7" x14ac:dyDescent="0.25">
      <c r="A34" s="61">
        <v>33</v>
      </c>
      <c r="B34" s="119">
        <v>2.2654000000000001</v>
      </c>
      <c r="C34" s="21">
        <f t="shared" si="0"/>
        <v>0.14460000000000006</v>
      </c>
    </row>
    <row r="35" spans="1:7" x14ac:dyDescent="0.25">
      <c r="A35" s="61">
        <v>34</v>
      </c>
      <c r="B35" s="119">
        <v>2.2654000000000001</v>
      </c>
      <c r="C35" s="21">
        <f t="shared" si="0"/>
        <v>0.14460000000000006</v>
      </c>
    </row>
    <row r="36" spans="1:7" x14ac:dyDescent="0.25">
      <c r="A36" s="61">
        <v>35</v>
      </c>
      <c r="B36" s="119">
        <v>2.2654000000000001</v>
      </c>
      <c r="C36" s="21">
        <f t="shared" si="0"/>
        <v>0.14460000000000006</v>
      </c>
    </row>
    <row r="37" spans="1:7" x14ac:dyDescent="0.25">
      <c r="A37" s="61">
        <v>36</v>
      </c>
      <c r="B37" s="119">
        <v>2.2654000000000001</v>
      </c>
      <c r="C37" s="21">
        <f t="shared" si="0"/>
        <v>0.14460000000000006</v>
      </c>
    </row>
    <row r="38" spans="1:7" x14ac:dyDescent="0.25">
      <c r="A38" s="61">
        <v>37</v>
      </c>
      <c r="B38" s="119">
        <v>2.2654000000000001</v>
      </c>
      <c r="C38" s="21">
        <f t="shared" si="0"/>
        <v>0.14460000000000006</v>
      </c>
    </row>
    <row r="39" spans="1:7" x14ac:dyDescent="0.25">
      <c r="A39" s="61">
        <v>38</v>
      </c>
      <c r="B39" s="119">
        <v>2.2654000000000001</v>
      </c>
      <c r="C39" s="21">
        <f t="shared" si="0"/>
        <v>0.14460000000000006</v>
      </c>
    </row>
    <row r="40" spans="1:7" x14ac:dyDescent="0.25">
      <c r="A40" s="61">
        <v>39</v>
      </c>
      <c r="B40" s="119">
        <v>2.2654000000000001</v>
      </c>
      <c r="C40" s="21">
        <f t="shared" si="0"/>
        <v>0.14460000000000006</v>
      </c>
    </row>
    <row r="41" spans="1:7" x14ac:dyDescent="0.25">
      <c r="A41" s="61">
        <v>40</v>
      </c>
      <c r="B41" s="119">
        <v>2.2654000000000001</v>
      </c>
      <c r="C41" s="21">
        <f t="shared" si="0"/>
        <v>0.14460000000000006</v>
      </c>
    </row>
    <row r="42" spans="1:7" x14ac:dyDescent="0.25">
      <c r="A42" s="61">
        <v>41</v>
      </c>
      <c r="B42" s="119">
        <v>2.2654000000000001</v>
      </c>
      <c r="C42" s="21">
        <f t="shared" si="0"/>
        <v>0.14460000000000006</v>
      </c>
    </row>
    <row r="43" spans="1:7" x14ac:dyDescent="0.25">
      <c r="A43" s="61">
        <v>42</v>
      </c>
      <c r="B43" s="119">
        <v>2.2654000000000001</v>
      </c>
      <c r="C43" s="21">
        <f t="shared" si="0"/>
        <v>0.14460000000000006</v>
      </c>
    </row>
    <row r="44" spans="1:7" x14ac:dyDescent="0.25">
      <c r="A44" s="61">
        <v>43</v>
      </c>
      <c r="B44" s="119">
        <v>2.2654000000000001</v>
      </c>
      <c r="C44" s="21">
        <f t="shared" si="0"/>
        <v>0.14460000000000006</v>
      </c>
    </row>
    <row r="45" spans="1:7" x14ac:dyDescent="0.25">
      <c r="A45" s="61">
        <v>44</v>
      </c>
      <c r="B45" s="119">
        <v>2.2654000000000001</v>
      </c>
      <c r="C45" s="21">
        <f t="shared" si="0"/>
        <v>0.14460000000000006</v>
      </c>
    </row>
    <row r="46" spans="1:7" x14ac:dyDescent="0.25">
      <c r="A46" s="61">
        <v>45</v>
      </c>
      <c r="B46" s="119">
        <v>2.2654000000000001</v>
      </c>
      <c r="C46" s="21">
        <f t="shared" si="0"/>
        <v>0.14460000000000006</v>
      </c>
    </row>
    <row r="47" spans="1:7" x14ac:dyDescent="0.25">
      <c r="A47" s="61">
        <v>46</v>
      </c>
      <c r="B47" s="119">
        <v>2.2654000000000001</v>
      </c>
      <c r="C47" s="21">
        <f t="shared" si="0"/>
        <v>0.14460000000000006</v>
      </c>
    </row>
    <row r="48" spans="1:7" x14ac:dyDescent="0.25">
      <c r="A48" s="61">
        <v>47</v>
      </c>
      <c r="B48" s="119">
        <v>2.2654000000000001</v>
      </c>
      <c r="C48" s="21">
        <f t="shared" si="0"/>
        <v>0.14460000000000006</v>
      </c>
    </row>
    <row r="49" spans="1:3" x14ac:dyDescent="0.25">
      <c r="A49" s="61">
        <v>48</v>
      </c>
      <c r="B49" s="119">
        <v>2.2654000000000001</v>
      </c>
      <c r="C49" s="21">
        <f t="shared" si="0"/>
        <v>0.14460000000000006</v>
      </c>
    </row>
    <row r="50" spans="1:3" x14ac:dyDescent="0.25">
      <c r="A50" s="61">
        <v>49</v>
      </c>
      <c r="B50" s="119">
        <v>2.2654000000000001</v>
      </c>
      <c r="C50" s="21">
        <f t="shared" si="0"/>
        <v>0.14460000000000006</v>
      </c>
    </row>
    <row r="51" spans="1:3" x14ac:dyDescent="0.25">
      <c r="A51" s="61">
        <v>50</v>
      </c>
      <c r="B51" s="119">
        <v>2.2654000000000001</v>
      </c>
      <c r="C51" s="21">
        <f t="shared" si="0"/>
        <v>0.14460000000000006</v>
      </c>
    </row>
    <row r="52" spans="1:3" x14ac:dyDescent="0.25">
      <c r="A52" s="61">
        <v>51</v>
      </c>
      <c r="B52" s="119">
        <v>2.2654000000000001</v>
      </c>
      <c r="C52" s="21">
        <f t="shared" si="0"/>
        <v>0.14460000000000006</v>
      </c>
    </row>
    <row r="53" spans="1:3" x14ac:dyDescent="0.25">
      <c r="A53" s="61">
        <v>52</v>
      </c>
      <c r="B53" s="119">
        <v>2.2654000000000001</v>
      </c>
      <c r="C53" s="21">
        <f t="shared" si="0"/>
        <v>0.14460000000000006</v>
      </c>
    </row>
    <row r="54" spans="1:3" x14ac:dyDescent="0.25">
      <c r="A54" s="61">
        <v>53</v>
      </c>
      <c r="B54" s="119">
        <v>2.2654000000000001</v>
      </c>
      <c r="C54" s="21">
        <f t="shared" si="0"/>
        <v>0.14460000000000006</v>
      </c>
    </row>
    <row r="55" spans="1:3" x14ac:dyDescent="0.25">
      <c r="A55" s="61">
        <v>54</v>
      </c>
      <c r="B55" s="119">
        <v>2.2654000000000001</v>
      </c>
      <c r="C55" s="21">
        <f t="shared" si="0"/>
        <v>0.14460000000000006</v>
      </c>
    </row>
    <row r="56" spans="1:3" x14ac:dyDescent="0.25">
      <c r="A56" s="61">
        <v>55</v>
      </c>
      <c r="B56" s="119">
        <v>2.2654000000000001</v>
      </c>
      <c r="C56" s="21">
        <f t="shared" si="0"/>
        <v>0.14460000000000006</v>
      </c>
    </row>
    <row r="57" spans="1:3" x14ac:dyDescent="0.25">
      <c r="A57" s="61">
        <v>56</v>
      </c>
      <c r="B57" s="119">
        <v>2.2654000000000001</v>
      </c>
      <c r="C57" s="21">
        <f t="shared" si="0"/>
        <v>0.14460000000000006</v>
      </c>
    </row>
    <row r="58" spans="1:3" x14ac:dyDescent="0.25">
      <c r="A58" s="61">
        <v>57</v>
      </c>
      <c r="B58" s="119">
        <v>2.2654000000000001</v>
      </c>
      <c r="C58" s="21">
        <f t="shared" si="0"/>
        <v>0.14460000000000006</v>
      </c>
    </row>
    <row r="59" spans="1:3" x14ac:dyDescent="0.25">
      <c r="A59" s="61">
        <v>58</v>
      </c>
      <c r="B59" s="119">
        <v>2.2654000000000001</v>
      </c>
      <c r="C59" s="21">
        <f t="shared" si="0"/>
        <v>0.14460000000000006</v>
      </c>
    </row>
    <row r="60" spans="1:3" x14ac:dyDescent="0.25">
      <c r="A60" s="61">
        <v>59</v>
      </c>
      <c r="B60" s="119">
        <v>2.2654000000000001</v>
      </c>
      <c r="C60" s="21">
        <f t="shared" si="0"/>
        <v>0.14460000000000006</v>
      </c>
    </row>
    <row r="61" spans="1:3" x14ac:dyDescent="0.25">
      <c r="A61" s="61">
        <v>60</v>
      </c>
      <c r="B61" s="119">
        <v>2.2654000000000001</v>
      </c>
      <c r="C61" s="21">
        <f t="shared" si="0"/>
        <v>0.14460000000000006</v>
      </c>
    </row>
    <row r="62" spans="1:3" x14ac:dyDescent="0.25">
      <c r="A62" s="61">
        <v>61</v>
      </c>
      <c r="B62" s="119">
        <v>2.2654000000000001</v>
      </c>
      <c r="C62" s="21">
        <f t="shared" si="0"/>
        <v>0.14460000000000006</v>
      </c>
    </row>
    <row r="63" spans="1:3" x14ac:dyDescent="0.25">
      <c r="A63" s="61">
        <v>62</v>
      </c>
      <c r="B63" s="119">
        <v>2.2654000000000001</v>
      </c>
      <c r="C63" s="21">
        <f t="shared" si="0"/>
        <v>0.14460000000000006</v>
      </c>
    </row>
    <row r="64" spans="1:3" x14ac:dyDescent="0.25">
      <c r="A64" s="61">
        <v>63</v>
      </c>
      <c r="B64" s="119">
        <v>2.2654000000000001</v>
      </c>
      <c r="C64" s="21">
        <f t="shared" si="0"/>
        <v>0.14460000000000006</v>
      </c>
    </row>
    <row r="65" spans="1:3" x14ac:dyDescent="0.25">
      <c r="A65" s="61">
        <v>64</v>
      </c>
      <c r="B65" s="119">
        <v>2.2654000000000001</v>
      </c>
      <c r="C65" s="21">
        <f t="shared" si="0"/>
        <v>0.14460000000000006</v>
      </c>
    </row>
    <row r="66" spans="1:3" x14ac:dyDescent="0.25">
      <c r="A66" s="61">
        <v>65</v>
      </c>
      <c r="B66" s="119">
        <v>2.2654000000000001</v>
      </c>
      <c r="C66" s="21">
        <f t="shared" ref="C66:C129" si="1">IF(ISNUMBER(B66),Torig-B66,NA())</f>
        <v>0.14460000000000006</v>
      </c>
    </row>
    <row r="67" spans="1:3" x14ac:dyDescent="0.25">
      <c r="A67" s="61">
        <v>66</v>
      </c>
      <c r="B67" s="119">
        <v>2.2654000000000001</v>
      </c>
      <c r="C67" s="21">
        <f t="shared" si="1"/>
        <v>0.14460000000000006</v>
      </c>
    </row>
    <row r="68" spans="1:3" x14ac:dyDescent="0.25">
      <c r="A68" s="61">
        <v>67</v>
      </c>
      <c r="B68" s="119">
        <v>2.2654000000000001</v>
      </c>
      <c r="C68" s="21">
        <f t="shared" si="1"/>
        <v>0.14460000000000006</v>
      </c>
    </row>
    <row r="69" spans="1:3" x14ac:dyDescent="0.25">
      <c r="A69" s="61">
        <v>68</v>
      </c>
      <c r="B69" s="119">
        <v>2.2654000000000001</v>
      </c>
      <c r="C69" s="21">
        <f t="shared" si="1"/>
        <v>0.14460000000000006</v>
      </c>
    </row>
    <row r="70" spans="1:3" x14ac:dyDescent="0.25">
      <c r="A70" s="61">
        <v>69</v>
      </c>
      <c r="B70" s="119">
        <v>2.2654000000000001</v>
      </c>
      <c r="C70" s="21">
        <f t="shared" si="1"/>
        <v>0.14460000000000006</v>
      </c>
    </row>
    <row r="71" spans="1:3" x14ac:dyDescent="0.25">
      <c r="A71" s="61">
        <v>70</v>
      </c>
      <c r="B71" s="119">
        <v>2.2654000000000001</v>
      </c>
      <c r="C71" s="21">
        <f t="shared" si="1"/>
        <v>0.14460000000000006</v>
      </c>
    </row>
    <row r="72" spans="1:3" x14ac:dyDescent="0.25">
      <c r="A72" s="61">
        <v>71</v>
      </c>
      <c r="B72" s="119">
        <v>2.2654000000000001</v>
      </c>
      <c r="C72" s="21">
        <f t="shared" si="1"/>
        <v>0.14460000000000006</v>
      </c>
    </row>
    <row r="73" spans="1:3" x14ac:dyDescent="0.25">
      <c r="A73" s="61">
        <v>72</v>
      </c>
      <c r="B73" s="119">
        <v>2.2413000000000003</v>
      </c>
      <c r="C73" s="21">
        <f t="shared" si="1"/>
        <v>0.16869999999999985</v>
      </c>
    </row>
    <row r="74" spans="1:3" x14ac:dyDescent="0.25">
      <c r="A74" s="61">
        <v>73</v>
      </c>
      <c r="B74" s="119">
        <v>2.2413000000000003</v>
      </c>
      <c r="C74" s="21">
        <f t="shared" si="1"/>
        <v>0.16869999999999985</v>
      </c>
    </row>
    <row r="75" spans="1:3" x14ac:dyDescent="0.25">
      <c r="A75" s="61">
        <v>74</v>
      </c>
      <c r="B75" s="119">
        <v>2.2413000000000003</v>
      </c>
      <c r="C75" s="21">
        <f t="shared" si="1"/>
        <v>0.16869999999999985</v>
      </c>
    </row>
    <row r="76" spans="1:3" x14ac:dyDescent="0.25">
      <c r="A76" s="61">
        <v>75</v>
      </c>
      <c r="B76" s="119">
        <v>2.2413000000000003</v>
      </c>
      <c r="C76" s="21">
        <f t="shared" si="1"/>
        <v>0.16869999999999985</v>
      </c>
    </row>
    <row r="77" spans="1:3" x14ac:dyDescent="0.25">
      <c r="A77" s="61">
        <v>76</v>
      </c>
      <c r="B77" s="119">
        <v>2.2413000000000003</v>
      </c>
      <c r="C77" s="21">
        <f t="shared" si="1"/>
        <v>0.16869999999999985</v>
      </c>
    </row>
    <row r="78" spans="1:3" x14ac:dyDescent="0.25">
      <c r="A78" s="61">
        <v>77</v>
      </c>
      <c r="B78" s="119">
        <v>2.2413000000000003</v>
      </c>
      <c r="C78" s="21">
        <f t="shared" si="1"/>
        <v>0.16869999999999985</v>
      </c>
    </row>
    <row r="79" spans="1:3" x14ac:dyDescent="0.25">
      <c r="A79" s="61">
        <v>78</v>
      </c>
      <c r="B79" s="119">
        <v>2.2413000000000003</v>
      </c>
      <c r="C79" s="21">
        <f t="shared" si="1"/>
        <v>0.16869999999999985</v>
      </c>
    </row>
    <row r="80" spans="1:3" x14ac:dyDescent="0.25">
      <c r="A80" s="61">
        <v>79</v>
      </c>
      <c r="B80" s="119">
        <v>2.2413000000000003</v>
      </c>
      <c r="C80" s="21">
        <f t="shared" si="1"/>
        <v>0.16869999999999985</v>
      </c>
    </row>
    <row r="81" spans="1:3" x14ac:dyDescent="0.25">
      <c r="A81" s="61">
        <v>80</v>
      </c>
      <c r="B81" s="119">
        <v>2.2413000000000003</v>
      </c>
      <c r="C81" s="21">
        <f t="shared" si="1"/>
        <v>0.16869999999999985</v>
      </c>
    </row>
    <row r="82" spans="1:3" x14ac:dyDescent="0.25">
      <c r="A82" s="61">
        <v>81</v>
      </c>
      <c r="B82" s="119">
        <v>2.2413000000000003</v>
      </c>
      <c r="C82" s="21">
        <f t="shared" si="1"/>
        <v>0.16869999999999985</v>
      </c>
    </row>
    <row r="83" spans="1:3" x14ac:dyDescent="0.25">
      <c r="A83" s="61">
        <v>82</v>
      </c>
      <c r="B83" s="119">
        <v>2.2413000000000003</v>
      </c>
      <c r="C83" s="21">
        <f t="shared" si="1"/>
        <v>0.16869999999999985</v>
      </c>
    </row>
    <row r="84" spans="1:3" x14ac:dyDescent="0.25">
      <c r="A84" s="61">
        <v>83</v>
      </c>
      <c r="B84" s="119">
        <v>2.2413000000000003</v>
      </c>
      <c r="C84" s="21">
        <f t="shared" si="1"/>
        <v>0.16869999999999985</v>
      </c>
    </row>
    <row r="85" spans="1:3" x14ac:dyDescent="0.25">
      <c r="A85" s="61">
        <v>84</v>
      </c>
      <c r="B85" s="119">
        <v>2.2413000000000003</v>
      </c>
      <c r="C85" s="21">
        <f t="shared" si="1"/>
        <v>0.16869999999999985</v>
      </c>
    </row>
    <row r="86" spans="1:3" x14ac:dyDescent="0.25">
      <c r="A86" s="61">
        <v>85</v>
      </c>
      <c r="B86" s="119">
        <v>2.2413000000000003</v>
      </c>
      <c r="C86" s="21">
        <f t="shared" si="1"/>
        <v>0.16869999999999985</v>
      </c>
    </row>
    <row r="87" spans="1:3" x14ac:dyDescent="0.25">
      <c r="A87" s="61">
        <v>86</v>
      </c>
      <c r="B87" s="119">
        <v>2.2413000000000003</v>
      </c>
      <c r="C87" s="21">
        <f t="shared" si="1"/>
        <v>0.16869999999999985</v>
      </c>
    </row>
    <row r="88" spans="1:3" x14ac:dyDescent="0.25">
      <c r="A88" s="61">
        <v>87</v>
      </c>
      <c r="B88" s="119">
        <v>2.2413000000000003</v>
      </c>
      <c r="C88" s="21">
        <f t="shared" si="1"/>
        <v>0.16869999999999985</v>
      </c>
    </row>
    <row r="89" spans="1:3" x14ac:dyDescent="0.25">
      <c r="A89" s="61">
        <v>88</v>
      </c>
      <c r="B89" s="119">
        <v>2.2413000000000003</v>
      </c>
      <c r="C89" s="21">
        <f t="shared" si="1"/>
        <v>0.16869999999999985</v>
      </c>
    </row>
    <row r="90" spans="1:3" x14ac:dyDescent="0.25">
      <c r="A90" s="61">
        <v>89</v>
      </c>
      <c r="B90" s="119">
        <v>2.2172000000000001</v>
      </c>
      <c r="C90" s="21">
        <f t="shared" si="1"/>
        <v>0.19280000000000008</v>
      </c>
    </row>
    <row r="91" spans="1:3" x14ac:dyDescent="0.25">
      <c r="A91" s="61">
        <v>90</v>
      </c>
      <c r="B91" s="119">
        <v>2.2172000000000001</v>
      </c>
      <c r="C91" s="21">
        <f t="shared" si="1"/>
        <v>0.19280000000000008</v>
      </c>
    </row>
    <row r="92" spans="1:3" x14ac:dyDescent="0.25">
      <c r="A92" s="61">
        <v>91</v>
      </c>
      <c r="B92" s="119">
        <v>2.2172000000000001</v>
      </c>
      <c r="C92" s="21">
        <f t="shared" si="1"/>
        <v>0.19280000000000008</v>
      </c>
    </row>
    <row r="93" spans="1:3" x14ac:dyDescent="0.25">
      <c r="A93" s="61">
        <v>92</v>
      </c>
      <c r="B93" s="119">
        <v>2.2172000000000001</v>
      </c>
      <c r="C93" s="21">
        <f t="shared" si="1"/>
        <v>0.19280000000000008</v>
      </c>
    </row>
    <row r="94" spans="1:3" x14ac:dyDescent="0.25">
      <c r="A94" s="61">
        <v>93</v>
      </c>
      <c r="B94" s="119">
        <v>2.2172000000000001</v>
      </c>
      <c r="C94" s="21">
        <f t="shared" si="1"/>
        <v>0.19280000000000008</v>
      </c>
    </row>
    <row r="95" spans="1:3" x14ac:dyDescent="0.25">
      <c r="A95" s="61">
        <v>94</v>
      </c>
      <c r="B95" s="119">
        <v>2.2172000000000001</v>
      </c>
      <c r="C95" s="21">
        <f t="shared" si="1"/>
        <v>0.19280000000000008</v>
      </c>
    </row>
    <row r="96" spans="1:3" x14ac:dyDescent="0.25">
      <c r="A96" s="61">
        <v>95</v>
      </c>
      <c r="B96" s="119">
        <v>2.2172000000000001</v>
      </c>
      <c r="C96" s="21">
        <f t="shared" si="1"/>
        <v>0.19280000000000008</v>
      </c>
    </row>
    <row r="97" spans="1:3" x14ac:dyDescent="0.25">
      <c r="A97" s="61">
        <v>96</v>
      </c>
      <c r="B97" s="119">
        <v>2.2172000000000001</v>
      </c>
      <c r="C97" s="21">
        <f t="shared" si="1"/>
        <v>0.19280000000000008</v>
      </c>
    </row>
    <row r="98" spans="1:3" x14ac:dyDescent="0.25">
      <c r="A98" s="61">
        <v>97</v>
      </c>
      <c r="B98" s="119">
        <v>2.2172000000000001</v>
      </c>
      <c r="C98" s="21">
        <f t="shared" si="1"/>
        <v>0.19280000000000008</v>
      </c>
    </row>
    <row r="99" spans="1:3" x14ac:dyDescent="0.25">
      <c r="A99" s="61">
        <v>98</v>
      </c>
      <c r="B99" s="119">
        <v>2.2172000000000001</v>
      </c>
      <c r="C99" s="21">
        <f t="shared" si="1"/>
        <v>0.19280000000000008</v>
      </c>
    </row>
    <row r="100" spans="1:3" x14ac:dyDescent="0.25">
      <c r="A100" s="61">
        <v>99</v>
      </c>
      <c r="B100" s="119">
        <v>2.2172000000000001</v>
      </c>
      <c r="C100" s="21">
        <f t="shared" si="1"/>
        <v>0.19280000000000008</v>
      </c>
    </row>
    <row r="101" spans="1:3" x14ac:dyDescent="0.25">
      <c r="A101" s="61">
        <v>100</v>
      </c>
      <c r="B101" s="119">
        <v>2.2172000000000001</v>
      </c>
      <c r="C101" s="21">
        <f t="shared" si="1"/>
        <v>0.19280000000000008</v>
      </c>
    </row>
    <row r="102" spans="1:3" x14ac:dyDescent="0.25">
      <c r="A102" s="61">
        <v>101</v>
      </c>
      <c r="B102" s="119">
        <v>2.2172000000000001</v>
      </c>
      <c r="C102" s="21">
        <f t="shared" si="1"/>
        <v>0.19280000000000008</v>
      </c>
    </row>
    <row r="103" spans="1:3" x14ac:dyDescent="0.25">
      <c r="A103" s="61">
        <v>102</v>
      </c>
      <c r="B103" s="119">
        <v>2.2172000000000001</v>
      </c>
      <c r="C103" s="21">
        <f t="shared" si="1"/>
        <v>0.19280000000000008</v>
      </c>
    </row>
    <row r="104" spans="1:3" x14ac:dyDescent="0.25">
      <c r="A104" s="61">
        <v>103</v>
      </c>
      <c r="B104" s="119">
        <v>2.2172000000000001</v>
      </c>
      <c r="C104" s="21">
        <f t="shared" si="1"/>
        <v>0.19280000000000008</v>
      </c>
    </row>
    <row r="105" spans="1:3" x14ac:dyDescent="0.25">
      <c r="A105" s="61">
        <v>104</v>
      </c>
      <c r="B105" s="119">
        <v>2.2172000000000001</v>
      </c>
      <c r="C105" s="21">
        <f t="shared" si="1"/>
        <v>0.19280000000000008</v>
      </c>
    </row>
    <row r="106" spans="1:3" x14ac:dyDescent="0.25">
      <c r="A106" s="61">
        <v>105</v>
      </c>
      <c r="B106" s="119">
        <v>2.2172000000000001</v>
      </c>
      <c r="C106" s="21">
        <f t="shared" si="1"/>
        <v>0.19280000000000008</v>
      </c>
    </row>
    <row r="107" spans="1:3" x14ac:dyDescent="0.25">
      <c r="A107" s="61">
        <v>106</v>
      </c>
      <c r="B107" s="119">
        <v>2.1931000000000003</v>
      </c>
      <c r="C107" s="21">
        <f t="shared" si="1"/>
        <v>0.21689999999999987</v>
      </c>
    </row>
    <row r="108" spans="1:3" x14ac:dyDescent="0.25">
      <c r="A108" s="61">
        <v>107</v>
      </c>
      <c r="B108" s="119">
        <v>2.1931000000000003</v>
      </c>
      <c r="C108" s="21">
        <f t="shared" si="1"/>
        <v>0.21689999999999987</v>
      </c>
    </row>
    <row r="109" spans="1:3" x14ac:dyDescent="0.25">
      <c r="A109" s="61">
        <v>108</v>
      </c>
      <c r="B109" s="119">
        <v>2.1931000000000003</v>
      </c>
      <c r="C109" s="21">
        <f t="shared" si="1"/>
        <v>0.21689999999999987</v>
      </c>
    </row>
    <row r="110" spans="1:3" x14ac:dyDescent="0.25">
      <c r="A110" s="61">
        <v>109</v>
      </c>
      <c r="B110" s="119">
        <v>2.1931000000000003</v>
      </c>
      <c r="C110" s="21">
        <f t="shared" si="1"/>
        <v>0.21689999999999987</v>
      </c>
    </row>
    <row r="111" spans="1:3" x14ac:dyDescent="0.25">
      <c r="A111" s="61">
        <v>110</v>
      </c>
      <c r="B111" s="119">
        <v>2.1931000000000003</v>
      </c>
      <c r="C111" s="21">
        <f t="shared" si="1"/>
        <v>0.21689999999999987</v>
      </c>
    </row>
    <row r="112" spans="1:3" x14ac:dyDescent="0.25">
      <c r="A112" s="61">
        <v>111</v>
      </c>
      <c r="B112" s="119">
        <v>2.1931000000000003</v>
      </c>
      <c r="C112" s="21">
        <f t="shared" si="1"/>
        <v>0.21689999999999987</v>
      </c>
    </row>
    <row r="113" spans="1:3" x14ac:dyDescent="0.25">
      <c r="A113" s="61">
        <v>112</v>
      </c>
      <c r="B113" s="119">
        <v>2.1931000000000003</v>
      </c>
      <c r="C113" s="21">
        <f t="shared" si="1"/>
        <v>0.21689999999999987</v>
      </c>
    </row>
    <row r="114" spans="1:3" x14ac:dyDescent="0.25">
      <c r="A114" s="61">
        <v>113</v>
      </c>
      <c r="B114" s="119">
        <v>2.1931000000000003</v>
      </c>
      <c r="C114" s="21">
        <f t="shared" si="1"/>
        <v>0.21689999999999987</v>
      </c>
    </row>
    <row r="115" spans="1:3" x14ac:dyDescent="0.25">
      <c r="A115" s="61">
        <v>114</v>
      </c>
      <c r="B115" s="119">
        <v>2.1931000000000003</v>
      </c>
      <c r="C115" s="21">
        <f t="shared" si="1"/>
        <v>0.21689999999999987</v>
      </c>
    </row>
    <row r="116" spans="1:3" x14ac:dyDescent="0.25">
      <c r="A116" s="61">
        <v>115</v>
      </c>
      <c r="B116" s="119">
        <v>2.1931000000000003</v>
      </c>
      <c r="C116" s="21">
        <f t="shared" si="1"/>
        <v>0.21689999999999987</v>
      </c>
    </row>
    <row r="117" spans="1:3" x14ac:dyDescent="0.25">
      <c r="A117" s="61">
        <v>116</v>
      </c>
      <c r="B117" s="119">
        <v>2.169</v>
      </c>
      <c r="C117" s="21">
        <f t="shared" si="1"/>
        <v>0.2410000000000001</v>
      </c>
    </row>
    <row r="118" spans="1:3" x14ac:dyDescent="0.25">
      <c r="A118" s="61">
        <v>117</v>
      </c>
      <c r="B118" s="119">
        <v>2.169</v>
      </c>
      <c r="C118" s="21">
        <f t="shared" si="1"/>
        <v>0.2410000000000001</v>
      </c>
    </row>
    <row r="119" spans="1:3" x14ac:dyDescent="0.25">
      <c r="A119" s="61">
        <v>118</v>
      </c>
      <c r="B119" s="119">
        <v>2.169</v>
      </c>
      <c r="C119" s="21">
        <f t="shared" si="1"/>
        <v>0.2410000000000001</v>
      </c>
    </row>
    <row r="120" spans="1:3" x14ac:dyDescent="0.25">
      <c r="A120" s="61">
        <v>119</v>
      </c>
      <c r="B120" s="119">
        <v>2.169</v>
      </c>
      <c r="C120" s="21">
        <f t="shared" si="1"/>
        <v>0.2410000000000001</v>
      </c>
    </row>
    <row r="121" spans="1:3" x14ac:dyDescent="0.25">
      <c r="A121" s="61">
        <v>120</v>
      </c>
      <c r="B121" s="119">
        <v>2.169</v>
      </c>
      <c r="C121" s="21">
        <f t="shared" si="1"/>
        <v>0.2410000000000001</v>
      </c>
    </row>
    <row r="122" spans="1:3" x14ac:dyDescent="0.25">
      <c r="A122" s="61">
        <v>121</v>
      </c>
      <c r="B122" s="119">
        <v>2.169</v>
      </c>
      <c r="C122" s="21">
        <f t="shared" si="1"/>
        <v>0.2410000000000001</v>
      </c>
    </row>
    <row r="123" spans="1:3" x14ac:dyDescent="0.25">
      <c r="A123" s="61">
        <v>122</v>
      </c>
      <c r="B123" s="119">
        <v>2.169</v>
      </c>
      <c r="C123" s="21">
        <f t="shared" si="1"/>
        <v>0.2410000000000001</v>
      </c>
    </row>
    <row r="124" spans="1:3" x14ac:dyDescent="0.25">
      <c r="A124" s="61">
        <v>123</v>
      </c>
      <c r="B124" s="119">
        <v>2.169</v>
      </c>
      <c r="C124" s="21">
        <f t="shared" si="1"/>
        <v>0.2410000000000001</v>
      </c>
    </row>
    <row r="125" spans="1:3" x14ac:dyDescent="0.25">
      <c r="A125" s="61">
        <v>124</v>
      </c>
      <c r="B125" s="119">
        <v>2.169</v>
      </c>
      <c r="C125" s="21">
        <f t="shared" si="1"/>
        <v>0.2410000000000001</v>
      </c>
    </row>
    <row r="126" spans="1:3" x14ac:dyDescent="0.25">
      <c r="A126" s="61">
        <v>125</v>
      </c>
      <c r="B126" s="119">
        <v>2.169</v>
      </c>
      <c r="C126" s="21">
        <f t="shared" si="1"/>
        <v>0.2410000000000001</v>
      </c>
    </row>
    <row r="127" spans="1:3" x14ac:dyDescent="0.25">
      <c r="A127" s="61">
        <v>126</v>
      </c>
      <c r="B127" s="119">
        <v>2.169</v>
      </c>
      <c r="C127" s="21">
        <f t="shared" si="1"/>
        <v>0.2410000000000001</v>
      </c>
    </row>
    <row r="128" spans="1:3" x14ac:dyDescent="0.25">
      <c r="A128" s="61">
        <v>127</v>
      </c>
      <c r="B128" s="119">
        <v>2.169</v>
      </c>
      <c r="C128" s="21">
        <f t="shared" si="1"/>
        <v>0.2410000000000001</v>
      </c>
    </row>
    <row r="129" spans="1:3" x14ac:dyDescent="0.25">
      <c r="A129" s="61">
        <v>128</v>
      </c>
      <c r="B129" s="119">
        <v>2.169</v>
      </c>
      <c r="C129" s="21">
        <f t="shared" si="1"/>
        <v>0.2410000000000001</v>
      </c>
    </row>
    <row r="130" spans="1:3" x14ac:dyDescent="0.25">
      <c r="A130" s="61">
        <v>129</v>
      </c>
      <c r="B130" s="119">
        <v>2.169</v>
      </c>
      <c r="C130" s="21">
        <f t="shared" ref="C130:C193" si="2">IF(ISNUMBER(B130),Torig-B130,NA())</f>
        <v>0.2410000000000001</v>
      </c>
    </row>
    <row r="131" spans="1:3" x14ac:dyDescent="0.25">
      <c r="A131" s="61">
        <v>130</v>
      </c>
      <c r="B131" s="119">
        <v>2.169</v>
      </c>
      <c r="C131" s="21">
        <f t="shared" si="2"/>
        <v>0.2410000000000001</v>
      </c>
    </row>
    <row r="132" spans="1:3" x14ac:dyDescent="0.25">
      <c r="A132" s="61">
        <v>131</v>
      </c>
      <c r="B132" s="119">
        <v>2.169</v>
      </c>
      <c r="C132" s="21">
        <f t="shared" si="2"/>
        <v>0.2410000000000001</v>
      </c>
    </row>
    <row r="133" spans="1:3" x14ac:dyDescent="0.25">
      <c r="A133" s="61">
        <v>132</v>
      </c>
      <c r="B133" s="119">
        <v>2.169</v>
      </c>
      <c r="C133" s="21">
        <f t="shared" si="2"/>
        <v>0.2410000000000001</v>
      </c>
    </row>
    <row r="134" spans="1:3" x14ac:dyDescent="0.25">
      <c r="A134" s="61">
        <v>133</v>
      </c>
      <c r="B134" s="119">
        <v>2.169</v>
      </c>
      <c r="C134" s="21">
        <f t="shared" si="2"/>
        <v>0.2410000000000001</v>
      </c>
    </row>
    <row r="135" spans="1:3" x14ac:dyDescent="0.25">
      <c r="A135" s="61">
        <v>134</v>
      </c>
      <c r="B135" s="119">
        <v>2.169</v>
      </c>
      <c r="C135" s="21">
        <f t="shared" si="2"/>
        <v>0.2410000000000001</v>
      </c>
    </row>
    <row r="136" spans="1:3" x14ac:dyDescent="0.25">
      <c r="A136" s="61">
        <v>135</v>
      </c>
      <c r="B136" s="119">
        <v>2.169</v>
      </c>
      <c r="C136" s="21">
        <f t="shared" si="2"/>
        <v>0.2410000000000001</v>
      </c>
    </row>
    <row r="137" spans="1:3" x14ac:dyDescent="0.25">
      <c r="A137" s="61">
        <v>136</v>
      </c>
      <c r="B137" s="119">
        <v>2.169</v>
      </c>
      <c r="C137" s="21">
        <f t="shared" si="2"/>
        <v>0.2410000000000001</v>
      </c>
    </row>
    <row r="138" spans="1:3" x14ac:dyDescent="0.25">
      <c r="A138" s="61">
        <v>137</v>
      </c>
      <c r="B138" s="119">
        <v>2.169</v>
      </c>
      <c r="C138" s="21">
        <f t="shared" si="2"/>
        <v>0.2410000000000001</v>
      </c>
    </row>
    <row r="139" spans="1:3" x14ac:dyDescent="0.25">
      <c r="A139" s="61">
        <v>138</v>
      </c>
      <c r="B139" s="119">
        <v>2.169</v>
      </c>
      <c r="C139" s="21">
        <f t="shared" si="2"/>
        <v>0.2410000000000001</v>
      </c>
    </row>
    <row r="140" spans="1:3" x14ac:dyDescent="0.25">
      <c r="A140" s="61">
        <v>139</v>
      </c>
      <c r="B140" s="119">
        <v>2.169</v>
      </c>
      <c r="C140" s="21">
        <f t="shared" si="2"/>
        <v>0.2410000000000001</v>
      </c>
    </row>
    <row r="141" spans="1:3" x14ac:dyDescent="0.25">
      <c r="A141" s="61">
        <v>140</v>
      </c>
      <c r="B141" s="119">
        <v>2.169</v>
      </c>
      <c r="C141" s="21">
        <f t="shared" si="2"/>
        <v>0.2410000000000001</v>
      </c>
    </row>
    <row r="142" spans="1:3" x14ac:dyDescent="0.25">
      <c r="A142" s="61">
        <v>141</v>
      </c>
      <c r="B142" s="119">
        <v>2.169</v>
      </c>
      <c r="C142" s="21">
        <f t="shared" si="2"/>
        <v>0.2410000000000001</v>
      </c>
    </row>
    <row r="143" spans="1:3" x14ac:dyDescent="0.25">
      <c r="A143" s="61">
        <v>142</v>
      </c>
      <c r="B143" s="119">
        <v>2.169</v>
      </c>
      <c r="C143" s="21">
        <f t="shared" si="2"/>
        <v>0.2410000000000001</v>
      </c>
    </row>
    <row r="144" spans="1:3" x14ac:dyDescent="0.25">
      <c r="A144" s="61">
        <v>143</v>
      </c>
      <c r="B144" s="119">
        <v>2.169</v>
      </c>
      <c r="C144" s="21">
        <f t="shared" si="2"/>
        <v>0.2410000000000001</v>
      </c>
    </row>
    <row r="145" spans="1:3" x14ac:dyDescent="0.25">
      <c r="A145" s="61">
        <v>144</v>
      </c>
      <c r="B145" s="119">
        <v>2.169</v>
      </c>
      <c r="C145" s="21">
        <f t="shared" si="2"/>
        <v>0.2410000000000001</v>
      </c>
    </row>
    <row r="146" spans="1:3" x14ac:dyDescent="0.25">
      <c r="A146" s="61">
        <v>145</v>
      </c>
      <c r="B146" s="119">
        <v>2.169</v>
      </c>
      <c r="C146" s="21">
        <f t="shared" si="2"/>
        <v>0.2410000000000001</v>
      </c>
    </row>
    <row r="147" spans="1:3" x14ac:dyDescent="0.25">
      <c r="A147" s="61">
        <v>146</v>
      </c>
      <c r="B147" s="119">
        <v>2.169</v>
      </c>
      <c r="C147" s="21">
        <f t="shared" si="2"/>
        <v>0.2410000000000001</v>
      </c>
    </row>
    <row r="148" spans="1:3" x14ac:dyDescent="0.25">
      <c r="A148" s="61">
        <v>147</v>
      </c>
      <c r="B148" s="119">
        <v>2.169</v>
      </c>
      <c r="C148" s="21">
        <f t="shared" si="2"/>
        <v>0.2410000000000001</v>
      </c>
    </row>
    <row r="149" spans="1:3" x14ac:dyDescent="0.25">
      <c r="A149" s="61">
        <v>148</v>
      </c>
      <c r="B149" s="119">
        <v>2.169</v>
      </c>
      <c r="C149" s="21">
        <f t="shared" si="2"/>
        <v>0.2410000000000001</v>
      </c>
    </row>
    <row r="150" spans="1:3" x14ac:dyDescent="0.25">
      <c r="A150" s="61">
        <v>149</v>
      </c>
      <c r="B150" s="119">
        <v>2.169</v>
      </c>
      <c r="C150" s="21">
        <f t="shared" si="2"/>
        <v>0.2410000000000001</v>
      </c>
    </row>
    <row r="151" spans="1:3" x14ac:dyDescent="0.25">
      <c r="A151" s="61">
        <v>150</v>
      </c>
      <c r="B151" s="119">
        <v>2.169</v>
      </c>
      <c r="C151" s="21">
        <f t="shared" si="2"/>
        <v>0.2410000000000001</v>
      </c>
    </row>
    <row r="152" spans="1:3" x14ac:dyDescent="0.25">
      <c r="A152" s="61">
        <v>151</v>
      </c>
      <c r="B152" s="119">
        <v>2.169</v>
      </c>
      <c r="C152" s="21">
        <f t="shared" si="2"/>
        <v>0.2410000000000001</v>
      </c>
    </row>
    <row r="153" spans="1:3" x14ac:dyDescent="0.25">
      <c r="A153" s="61">
        <v>152</v>
      </c>
      <c r="B153" s="119">
        <v>2.169</v>
      </c>
      <c r="C153" s="21">
        <f t="shared" si="2"/>
        <v>0.2410000000000001</v>
      </c>
    </row>
    <row r="154" spans="1:3" x14ac:dyDescent="0.25">
      <c r="A154" s="61">
        <v>153</v>
      </c>
      <c r="B154" s="119">
        <v>2.169</v>
      </c>
      <c r="C154" s="21">
        <f t="shared" si="2"/>
        <v>0.2410000000000001</v>
      </c>
    </row>
    <row r="155" spans="1:3" x14ac:dyDescent="0.25">
      <c r="A155" s="61">
        <v>154</v>
      </c>
      <c r="B155" s="119">
        <v>2.169</v>
      </c>
      <c r="C155" s="21">
        <f t="shared" si="2"/>
        <v>0.2410000000000001</v>
      </c>
    </row>
    <row r="156" spans="1:3" x14ac:dyDescent="0.25">
      <c r="A156" s="61">
        <v>155</v>
      </c>
      <c r="B156" s="119">
        <v>2.169</v>
      </c>
      <c r="C156" s="21">
        <f t="shared" si="2"/>
        <v>0.2410000000000001</v>
      </c>
    </row>
    <row r="157" spans="1:3" x14ac:dyDescent="0.25">
      <c r="A157" s="61">
        <v>156</v>
      </c>
      <c r="B157" s="119">
        <v>2.169</v>
      </c>
      <c r="C157" s="21">
        <f t="shared" si="2"/>
        <v>0.2410000000000001</v>
      </c>
    </row>
    <row r="158" spans="1:3" x14ac:dyDescent="0.25">
      <c r="A158" s="61">
        <v>157</v>
      </c>
      <c r="B158" s="119">
        <v>2.169</v>
      </c>
      <c r="C158" s="21">
        <f t="shared" si="2"/>
        <v>0.2410000000000001</v>
      </c>
    </row>
    <row r="159" spans="1:3" x14ac:dyDescent="0.25">
      <c r="A159" s="61">
        <v>158</v>
      </c>
      <c r="B159" s="119">
        <v>2.169</v>
      </c>
      <c r="C159" s="21">
        <f t="shared" si="2"/>
        <v>0.2410000000000001</v>
      </c>
    </row>
    <row r="160" spans="1:3" x14ac:dyDescent="0.25">
      <c r="A160" s="61">
        <v>159</v>
      </c>
      <c r="B160" s="119">
        <v>2.169</v>
      </c>
      <c r="C160" s="21">
        <f t="shared" si="2"/>
        <v>0.2410000000000001</v>
      </c>
    </row>
    <row r="161" spans="1:3" x14ac:dyDescent="0.25">
      <c r="A161" s="61">
        <v>160</v>
      </c>
      <c r="B161" s="119">
        <v>2.1449000000000003</v>
      </c>
      <c r="C161" s="21">
        <f t="shared" si="2"/>
        <v>0.26509999999999989</v>
      </c>
    </row>
    <row r="162" spans="1:3" x14ac:dyDescent="0.25">
      <c r="A162" s="61">
        <v>161</v>
      </c>
      <c r="B162" s="119">
        <v>2.1449000000000003</v>
      </c>
      <c r="C162" s="21">
        <f t="shared" si="2"/>
        <v>0.26509999999999989</v>
      </c>
    </row>
    <row r="163" spans="1:3" x14ac:dyDescent="0.25">
      <c r="A163" s="61">
        <v>162</v>
      </c>
      <c r="B163" s="119">
        <v>2.1449000000000003</v>
      </c>
      <c r="C163" s="21">
        <f t="shared" si="2"/>
        <v>0.26509999999999989</v>
      </c>
    </row>
    <row r="164" spans="1:3" x14ac:dyDescent="0.25">
      <c r="A164" s="61">
        <v>163</v>
      </c>
      <c r="B164" s="119">
        <v>2.1449000000000003</v>
      </c>
      <c r="C164" s="21">
        <f t="shared" si="2"/>
        <v>0.26509999999999989</v>
      </c>
    </row>
    <row r="165" spans="1:3" x14ac:dyDescent="0.25">
      <c r="A165" s="61">
        <v>164</v>
      </c>
      <c r="B165" s="119">
        <v>2.1449000000000003</v>
      </c>
      <c r="C165" s="21">
        <f t="shared" si="2"/>
        <v>0.26509999999999989</v>
      </c>
    </row>
    <row r="166" spans="1:3" x14ac:dyDescent="0.25">
      <c r="A166" s="61">
        <v>165</v>
      </c>
      <c r="B166" s="119">
        <v>2.1449000000000003</v>
      </c>
      <c r="C166" s="21">
        <f t="shared" si="2"/>
        <v>0.26509999999999989</v>
      </c>
    </row>
    <row r="167" spans="1:3" x14ac:dyDescent="0.25">
      <c r="A167" s="61">
        <v>166</v>
      </c>
      <c r="B167" s="119">
        <v>2.1449000000000003</v>
      </c>
      <c r="C167" s="21">
        <f t="shared" si="2"/>
        <v>0.26509999999999989</v>
      </c>
    </row>
    <row r="168" spans="1:3" x14ac:dyDescent="0.25">
      <c r="A168" s="61">
        <v>167</v>
      </c>
      <c r="B168" s="119">
        <v>2.1449000000000003</v>
      </c>
      <c r="C168" s="21">
        <f t="shared" si="2"/>
        <v>0.26509999999999989</v>
      </c>
    </row>
    <row r="169" spans="1:3" x14ac:dyDescent="0.25">
      <c r="A169" s="61">
        <v>168</v>
      </c>
      <c r="B169" s="119">
        <v>2.1449000000000003</v>
      </c>
      <c r="C169" s="21">
        <f t="shared" si="2"/>
        <v>0.26509999999999989</v>
      </c>
    </row>
    <row r="170" spans="1:3" x14ac:dyDescent="0.25">
      <c r="A170" s="61">
        <v>169</v>
      </c>
      <c r="B170" s="119">
        <v>2.1449000000000003</v>
      </c>
      <c r="C170" s="21">
        <f t="shared" si="2"/>
        <v>0.26509999999999989</v>
      </c>
    </row>
    <row r="171" spans="1:3" x14ac:dyDescent="0.25">
      <c r="A171" s="61">
        <v>170</v>
      </c>
      <c r="B171" s="119">
        <v>2.1449000000000003</v>
      </c>
      <c r="C171" s="21">
        <f t="shared" si="2"/>
        <v>0.26509999999999989</v>
      </c>
    </row>
    <row r="172" spans="1:3" x14ac:dyDescent="0.25">
      <c r="A172" s="61">
        <v>171</v>
      </c>
      <c r="B172" s="119">
        <v>2.1449000000000003</v>
      </c>
      <c r="C172" s="21">
        <f t="shared" si="2"/>
        <v>0.26509999999999989</v>
      </c>
    </row>
    <row r="173" spans="1:3" x14ac:dyDescent="0.25">
      <c r="A173" s="61">
        <v>172</v>
      </c>
      <c r="B173" s="119">
        <v>2.1449000000000003</v>
      </c>
      <c r="C173" s="21">
        <f t="shared" si="2"/>
        <v>0.26509999999999989</v>
      </c>
    </row>
    <row r="174" spans="1:3" x14ac:dyDescent="0.25">
      <c r="A174" s="61">
        <v>173</v>
      </c>
      <c r="B174" s="119">
        <v>2.1449000000000003</v>
      </c>
      <c r="C174" s="21">
        <f t="shared" si="2"/>
        <v>0.26509999999999989</v>
      </c>
    </row>
    <row r="175" spans="1:3" x14ac:dyDescent="0.25">
      <c r="A175" s="61">
        <v>174</v>
      </c>
      <c r="B175" s="119">
        <v>2.1449000000000003</v>
      </c>
      <c r="C175" s="21">
        <f t="shared" si="2"/>
        <v>0.26509999999999989</v>
      </c>
    </row>
    <row r="176" spans="1:3" x14ac:dyDescent="0.25">
      <c r="A176" s="61">
        <v>175</v>
      </c>
      <c r="B176" s="119">
        <v>2.1449000000000003</v>
      </c>
      <c r="C176" s="21">
        <f t="shared" si="2"/>
        <v>0.26509999999999989</v>
      </c>
    </row>
    <row r="177" spans="1:3" x14ac:dyDescent="0.25">
      <c r="A177" s="61">
        <v>176</v>
      </c>
      <c r="B177" s="119">
        <v>2.1449000000000003</v>
      </c>
      <c r="C177" s="21">
        <f t="shared" si="2"/>
        <v>0.26509999999999989</v>
      </c>
    </row>
    <row r="178" spans="1:3" x14ac:dyDescent="0.25">
      <c r="A178" s="61">
        <v>177</v>
      </c>
      <c r="B178" s="119">
        <v>2.1449000000000003</v>
      </c>
      <c r="C178" s="21">
        <f t="shared" si="2"/>
        <v>0.26509999999999989</v>
      </c>
    </row>
    <row r="179" spans="1:3" x14ac:dyDescent="0.25">
      <c r="A179" s="61">
        <v>178</v>
      </c>
      <c r="B179" s="119">
        <v>2.1449000000000003</v>
      </c>
      <c r="C179" s="21">
        <f t="shared" si="2"/>
        <v>0.26509999999999989</v>
      </c>
    </row>
    <row r="180" spans="1:3" x14ac:dyDescent="0.25">
      <c r="A180" s="61">
        <v>179</v>
      </c>
      <c r="B180" s="119">
        <v>2.1449000000000003</v>
      </c>
      <c r="C180" s="21">
        <f t="shared" si="2"/>
        <v>0.26509999999999989</v>
      </c>
    </row>
    <row r="181" spans="1:3" x14ac:dyDescent="0.25">
      <c r="A181" s="61">
        <v>180</v>
      </c>
      <c r="B181" s="119">
        <v>2.1449000000000003</v>
      </c>
      <c r="C181" s="21">
        <f t="shared" si="2"/>
        <v>0.26509999999999989</v>
      </c>
    </row>
    <row r="182" spans="1:3" x14ac:dyDescent="0.25">
      <c r="A182" s="61">
        <v>181</v>
      </c>
      <c r="B182" s="119">
        <v>2.1449000000000003</v>
      </c>
      <c r="C182" s="21">
        <f t="shared" si="2"/>
        <v>0.26509999999999989</v>
      </c>
    </row>
    <row r="183" spans="1:3" x14ac:dyDescent="0.25">
      <c r="A183" s="61">
        <v>182</v>
      </c>
      <c r="B183" s="119">
        <v>2.1449000000000003</v>
      </c>
      <c r="C183" s="21">
        <f t="shared" si="2"/>
        <v>0.26509999999999989</v>
      </c>
    </row>
    <row r="184" spans="1:3" x14ac:dyDescent="0.25">
      <c r="A184" s="61">
        <v>183</v>
      </c>
      <c r="B184" s="119">
        <v>2.1449000000000003</v>
      </c>
      <c r="C184" s="21">
        <f t="shared" si="2"/>
        <v>0.26509999999999989</v>
      </c>
    </row>
    <row r="185" spans="1:3" x14ac:dyDescent="0.25">
      <c r="A185" s="61">
        <v>184</v>
      </c>
      <c r="B185" s="119">
        <v>2.1449000000000003</v>
      </c>
      <c r="C185" s="21">
        <f t="shared" si="2"/>
        <v>0.26509999999999989</v>
      </c>
    </row>
    <row r="186" spans="1:3" x14ac:dyDescent="0.25">
      <c r="A186" s="61">
        <v>185</v>
      </c>
      <c r="B186" s="119">
        <v>2.1449000000000003</v>
      </c>
      <c r="C186" s="21">
        <f t="shared" si="2"/>
        <v>0.26509999999999989</v>
      </c>
    </row>
    <row r="187" spans="1:3" x14ac:dyDescent="0.25">
      <c r="A187" s="61">
        <v>186</v>
      </c>
      <c r="B187" s="119">
        <v>2.1449000000000003</v>
      </c>
      <c r="C187" s="21">
        <f t="shared" si="2"/>
        <v>0.26509999999999989</v>
      </c>
    </row>
    <row r="188" spans="1:3" x14ac:dyDescent="0.25">
      <c r="A188" s="61">
        <v>187</v>
      </c>
      <c r="B188" s="119">
        <v>2.1208</v>
      </c>
      <c r="C188" s="21">
        <f t="shared" si="2"/>
        <v>0.28920000000000012</v>
      </c>
    </row>
    <row r="189" spans="1:3" x14ac:dyDescent="0.25">
      <c r="A189" s="61">
        <v>188</v>
      </c>
      <c r="B189" s="119">
        <v>2.1208</v>
      </c>
      <c r="C189" s="21">
        <f t="shared" si="2"/>
        <v>0.28920000000000012</v>
      </c>
    </row>
    <row r="190" spans="1:3" x14ac:dyDescent="0.25">
      <c r="A190" s="61">
        <v>189</v>
      </c>
      <c r="B190" s="119">
        <v>2.1208</v>
      </c>
      <c r="C190" s="21">
        <f t="shared" si="2"/>
        <v>0.28920000000000012</v>
      </c>
    </row>
    <row r="191" spans="1:3" x14ac:dyDescent="0.25">
      <c r="A191" s="61">
        <v>190</v>
      </c>
      <c r="B191" s="119">
        <v>2.1208</v>
      </c>
      <c r="C191" s="21">
        <f t="shared" si="2"/>
        <v>0.28920000000000012</v>
      </c>
    </row>
    <row r="192" spans="1:3" x14ac:dyDescent="0.25">
      <c r="A192" s="61">
        <v>191</v>
      </c>
      <c r="B192" s="119">
        <v>2.1208</v>
      </c>
      <c r="C192" s="21">
        <f t="shared" si="2"/>
        <v>0.28920000000000012</v>
      </c>
    </row>
    <row r="193" spans="1:3" x14ac:dyDescent="0.25">
      <c r="A193" s="61">
        <v>192</v>
      </c>
      <c r="B193" s="119">
        <v>2.1208</v>
      </c>
      <c r="C193" s="21">
        <f t="shared" si="2"/>
        <v>0.28920000000000012</v>
      </c>
    </row>
    <row r="194" spans="1:3" x14ac:dyDescent="0.25">
      <c r="A194" s="61">
        <v>193</v>
      </c>
      <c r="B194" s="119">
        <v>2.1208</v>
      </c>
      <c r="C194" s="21">
        <f t="shared" ref="C194:C257" si="3">IF(ISNUMBER(B194),Torig-B194,NA())</f>
        <v>0.28920000000000012</v>
      </c>
    </row>
    <row r="195" spans="1:3" x14ac:dyDescent="0.25">
      <c r="A195" s="61">
        <v>194</v>
      </c>
      <c r="B195" s="119">
        <v>2.1208</v>
      </c>
      <c r="C195" s="21">
        <f t="shared" si="3"/>
        <v>0.28920000000000012</v>
      </c>
    </row>
    <row r="196" spans="1:3" x14ac:dyDescent="0.25">
      <c r="A196" s="61">
        <v>195</v>
      </c>
      <c r="B196" s="119">
        <v>2.1208</v>
      </c>
      <c r="C196" s="21">
        <f t="shared" si="3"/>
        <v>0.28920000000000012</v>
      </c>
    </row>
    <row r="197" spans="1:3" x14ac:dyDescent="0.25">
      <c r="A197" s="61">
        <v>196</v>
      </c>
      <c r="B197" s="119">
        <v>2.1208</v>
      </c>
      <c r="C197" s="21">
        <f t="shared" si="3"/>
        <v>0.28920000000000012</v>
      </c>
    </row>
    <row r="198" spans="1:3" x14ac:dyDescent="0.25">
      <c r="A198" s="61">
        <v>197</v>
      </c>
      <c r="B198" s="119">
        <v>2.1208</v>
      </c>
      <c r="C198" s="21">
        <f t="shared" si="3"/>
        <v>0.28920000000000012</v>
      </c>
    </row>
    <row r="199" spans="1:3" x14ac:dyDescent="0.25">
      <c r="A199" s="61">
        <v>198</v>
      </c>
      <c r="B199" s="119">
        <v>2.1208</v>
      </c>
      <c r="C199" s="21">
        <f t="shared" si="3"/>
        <v>0.28920000000000012</v>
      </c>
    </row>
    <row r="200" spans="1:3" x14ac:dyDescent="0.25">
      <c r="A200" s="61">
        <v>199</v>
      </c>
      <c r="B200" s="119">
        <v>2.1208</v>
      </c>
      <c r="C200" s="21">
        <f t="shared" si="3"/>
        <v>0.28920000000000012</v>
      </c>
    </row>
    <row r="201" spans="1:3" x14ac:dyDescent="0.25">
      <c r="A201" s="61">
        <v>200</v>
      </c>
      <c r="B201" s="119">
        <v>2.1208</v>
      </c>
      <c r="C201" s="21">
        <f t="shared" si="3"/>
        <v>0.28920000000000012</v>
      </c>
    </row>
    <row r="202" spans="1:3" x14ac:dyDescent="0.25">
      <c r="A202" s="61">
        <v>201</v>
      </c>
      <c r="B202" s="119">
        <v>2.1208</v>
      </c>
      <c r="C202" s="21">
        <f t="shared" si="3"/>
        <v>0.28920000000000012</v>
      </c>
    </row>
    <row r="203" spans="1:3" x14ac:dyDescent="0.25">
      <c r="A203" s="61">
        <v>202</v>
      </c>
      <c r="B203" s="119">
        <v>2.1208</v>
      </c>
      <c r="C203" s="21">
        <f t="shared" si="3"/>
        <v>0.28920000000000012</v>
      </c>
    </row>
    <row r="204" spans="1:3" x14ac:dyDescent="0.25">
      <c r="A204" s="61">
        <v>203</v>
      </c>
      <c r="B204" s="119">
        <v>2.1208</v>
      </c>
      <c r="C204" s="21">
        <f t="shared" si="3"/>
        <v>0.28920000000000012</v>
      </c>
    </row>
    <row r="205" spans="1:3" x14ac:dyDescent="0.25">
      <c r="A205" s="61">
        <v>204</v>
      </c>
      <c r="B205" s="119">
        <v>2.1208</v>
      </c>
      <c r="C205" s="21">
        <f t="shared" si="3"/>
        <v>0.28920000000000012</v>
      </c>
    </row>
    <row r="206" spans="1:3" x14ac:dyDescent="0.25">
      <c r="A206" s="61">
        <v>205</v>
      </c>
      <c r="B206" s="119">
        <v>2.1208</v>
      </c>
      <c r="C206" s="21">
        <f t="shared" si="3"/>
        <v>0.28920000000000012</v>
      </c>
    </row>
    <row r="207" spans="1:3" x14ac:dyDescent="0.25">
      <c r="A207" s="61">
        <v>206</v>
      </c>
      <c r="B207" s="119">
        <v>2.1208</v>
      </c>
      <c r="C207" s="21">
        <f t="shared" si="3"/>
        <v>0.28920000000000012</v>
      </c>
    </row>
    <row r="208" spans="1:3" x14ac:dyDescent="0.25">
      <c r="A208" s="61">
        <v>207</v>
      </c>
      <c r="B208" s="119">
        <v>2.1208</v>
      </c>
      <c r="C208" s="21">
        <f t="shared" si="3"/>
        <v>0.28920000000000012</v>
      </c>
    </row>
    <row r="209" spans="1:3" x14ac:dyDescent="0.25">
      <c r="A209" s="61">
        <v>208</v>
      </c>
      <c r="B209" s="119">
        <v>2.1208</v>
      </c>
      <c r="C209" s="21">
        <f t="shared" si="3"/>
        <v>0.28920000000000012</v>
      </c>
    </row>
    <row r="210" spans="1:3" x14ac:dyDescent="0.25">
      <c r="A210" s="61">
        <v>209</v>
      </c>
      <c r="B210" s="119">
        <v>2.1208</v>
      </c>
      <c r="C210" s="21">
        <f t="shared" si="3"/>
        <v>0.28920000000000012</v>
      </c>
    </row>
    <row r="211" spans="1:3" x14ac:dyDescent="0.25">
      <c r="A211" s="61">
        <v>210</v>
      </c>
      <c r="B211" s="119">
        <v>2.1208</v>
      </c>
      <c r="C211" s="21">
        <f t="shared" si="3"/>
        <v>0.28920000000000012</v>
      </c>
    </row>
    <row r="212" spans="1:3" x14ac:dyDescent="0.25">
      <c r="A212" s="61">
        <v>211</v>
      </c>
      <c r="B212" s="119">
        <v>2.1208</v>
      </c>
      <c r="C212" s="21">
        <f t="shared" si="3"/>
        <v>0.28920000000000012</v>
      </c>
    </row>
    <row r="213" spans="1:3" x14ac:dyDescent="0.25">
      <c r="A213" s="61">
        <v>212</v>
      </c>
      <c r="B213" s="119">
        <v>2.1208</v>
      </c>
      <c r="C213" s="21">
        <f t="shared" si="3"/>
        <v>0.28920000000000012</v>
      </c>
    </row>
    <row r="214" spans="1:3" x14ac:dyDescent="0.25">
      <c r="A214" s="61">
        <v>213</v>
      </c>
      <c r="B214" s="119">
        <v>2.1208</v>
      </c>
      <c r="C214" s="21">
        <f t="shared" si="3"/>
        <v>0.28920000000000012</v>
      </c>
    </row>
    <row r="215" spans="1:3" x14ac:dyDescent="0.25">
      <c r="A215" s="61">
        <v>214</v>
      </c>
      <c r="B215" s="119">
        <v>2.1208</v>
      </c>
      <c r="C215" s="21">
        <f t="shared" si="3"/>
        <v>0.28920000000000012</v>
      </c>
    </row>
    <row r="216" spans="1:3" x14ac:dyDescent="0.25">
      <c r="A216" s="61">
        <v>215</v>
      </c>
      <c r="B216" s="119">
        <v>2.1208</v>
      </c>
      <c r="C216" s="21">
        <f t="shared" si="3"/>
        <v>0.28920000000000012</v>
      </c>
    </row>
    <row r="217" spans="1:3" x14ac:dyDescent="0.25">
      <c r="A217" s="61">
        <v>216</v>
      </c>
      <c r="B217" s="119">
        <v>2.1208</v>
      </c>
      <c r="C217" s="21">
        <f t="shared" si="3"/>
        <v>0.28920000000000012</v>
      </c>
    </row>
    <row r="218" spans="1:3" x14ac:dyDescent="0.25">
      <c r="A218" s="61">
        <v>217</v>
      </c>
      <c r="B218" s="119">
        <v>2.1208</v>
      </c>
      <c r="C218" s="21">
        <f t="shared" si="3"/>
        <v>0.28920000000000012</v>
      </c>
    </row>
    <row r="219" spans="1:3" x14ac:dyDescent="0.25">
      <c r="A219" s="61">
        <v>218</v>
      </c>
      <c r="B219" s="119">
        <v>2.1208</v>
      </c>
      <c r="C219" s="21">
        <f t="shared" si="3"/>
        <v>0.28920000000000012</v>
      </c>
    </row>
    <row r="220" spans="1:3" x14ac:dyDescent="0.25">
      <c r="A220" s="61">
        <v>219</v>
      </c>
      <c r="B220" s="119">
        <v>2.1208</v>
      </c>
      <c r="C220" s="21">
        <f t="shared" si="3"/>
        <v>0.28920000000000012</v>
      </c>
    </row>
    <row r="221" spans="1:3" x14ac:dyDescent="0.25">
      <c r="A221" s="61">
        <v>220</v>
      </c>
      <c r="B221" s="119">
        <v>2.1208</v>
      </c>
      <c r="C221" s="21">
        <f t="shared" si="3"/>
        <v>0.28920000000000012</v>
      </c>
    </row>
    <row r="222" spans="1:3" x14ac:dyDescent="0.25">
      <c r="A222" s="61">
        <v>221</v>
      </c>
      <c r="B222" s="119">
        <v>2.1208</v>
      </c>
      <c r="C222" s="21">
        <f t="shared" si="3"/>
        <v>0.28920000000000012</v>
      </c>
    </row>
    <row r="223" spans="1:3" x14ac:dyDescent="0.25">
      <c r="A223" s="61">
        <v>222</v>
      </c>
      <c r="B223" s="119">
        <v>2.1208</v>
      </c>
      <c r="C223" s="21">
        <f t="shared" si="3"/>
        <v>0.28920000000000012</v>
      </c>
    </row>
    <row r="224" spans="1:3" x14ac:dyDescent="0.25">
      <c r="A224" s="61">
        <v>223</v>
      </c>
      <c r="B224" s="119">
        <v>2.1208</v>
      </c>
      <c r="C224" s="21">
        <f t="shared" si="3"/>
        <v>0.28920000000000012</v>
      </c>
    </row>
    <row r="225" spans="1:3" x14ac:dyDescent="0.25">
      <c r="A225" s="61">
        <v>224</v>
      </c>
      <c r="B225" s="119">
        <v>2.1208</v>
      </c>
      <c r="C225" s="21">
        <f t="shared" si="3"/>
        <v>0.28920000000000012</v>
      </c>
    </row>
    <row r="226" spans="1:3" x14ac:dyDescent="0.25">
      <c r="A226" s="61">
        <v>225</v>
      </c>
      <c r="B226" s="119">
        <v>2.1208</v>
      </c>
      <c r="C226" s="21">
        <f t="shared" si="3"/>
        <v>0.28920000000000012</v>
      </c>
    </row>
    <row r="227" spans="1:3" x14ac:dyDescent="0.25">
      <c r="A227" s="61">
        <v>226</v>
      </c>
      <c r="B227" s="119">
        <v>2.1208</v>
      </c>
      <c r="C227" s="21">
        <f t="shared" si="3"/>
        <v>0.28920000000000012</v>
      </c>
    </row>
    <row r="228" spans="1:3" x14ac:dyDescent="0.25">
      <c r="A228" s="61">
        <v>227</v>
      </c>
      <c r="B228" s="119">
        <v>2.1208</v>
      </c>
      <c r="C228" s="21">
        <f t="shared" si="3"/>
        <v>0.28920000000000012</v>
      </c>
    </row>
    <row r="229" spans="1:3" x14ac:dyDescent="0.25">
      <c r="A229" s="61">
        <v>228</v>
      </c>
      <c r="B229" s="119">
        <v>2.1208</v>
      </c>
      <c r="C229" s="21">
        <f t="shared" si="3"/>
        <v>0.28920000000000012</v>
      </c>
    </row>
    <row r="230" spans="1:3" x14ac:dyDescent="0.25">
      <c r="A230" s="61">
        <v>229</v>
      </c>
      <c r="B230" s="119">
        <v>2.1208</v>
      </c>
      <c r="C230" s="21">
        <f t="shared" si="3"/>
        <v>0.28920000000000012</v>
      </c>
    </row>
    <row r="231" spans="1:3" x14ac:dyDescent="0.25">
      <c r="A231" s="61">
        <v>230</v>
      </c>
      <c r="B231" s="119">
        <v>2.1208</v>
      </c>
      <c r="C231" s="21">
        <f t="shared" si="3"/>
        <v>0.28920000000000012</v>
      </c>
    </row>
    <row r="232" spans="1:3" x14ac:dyDescent="0.25">
      <c r="A232" s="61">
        <v>231</v>
      </c>
      <c r="B232" s="119">
        <v>2.1208</v>
      </c>
      <c r="C232" s="21">
        <f t="shared" si="3"/>
        <v>0.28920000000000012</v>
      </c>
    </row>
    <row r="233" spans="1:3" x14ac:dyDescent="0.25">
      <c r="A233" s="61">
        <v>232</v>
      </c>
      <c r="B233" s="119">
        <v>2.1208</v>
      </c>
      <c r="C233" s="21">
        <f t="shared" si="3"/>
        <v>0.28920000000000012</v>
      </c>
    </row>
    <row r="234" spans="1:3" x14ac:dyDescent="0.25">
      <c r="A234" s="61">
        <v>233</v>
      </c>
      <c r="B234" s="119">
        <v>2.1208</v>
      </c>
      <c r="C234" s="21">
        <f t="shared" si="3"/>
        <v>0.28920000000000012</v>
      </c>
    </row>
    <row r="235" spans="1:3" x14ac:dyDescent="0.25">
      <c r="A235" s="61">
        <v>234</v>
      </c>
      <c r="B235" s="119">
        <v>2.1208</v>
      </c>
      <c r="C235" s="21">
        <f t="shared" si="3"/>
        <v>0.28920000000000012</v>
      </c>
    </row>
    <row r="236" spans="1:3" x14ac:dyDescent="0.25">
      <c r="A236" s="61">
        <v>235</v>
      </c>
      <c r="B236" s="119">
        <v>2.1208</v>
      </c>
      <c r="C236" s="21">
        <f t="shared" si="3"/>
        <v>0.28920000000000012</v>
      </c>
    </row>
    <row r="237" spans="1:3" x14ac:dyDescent="0.25">
      <c r="A237" s="61">
        <v>236</v>
      </c>
      <c r="B237" s="119">
        <v>2.1208</v>
      </c>
      <c r="C237" s="21">
        <f t="shared" si="3"/>
        <v>0.28920000000000012</v>
      </c>
    </row>
    <row r="238" spans="1:3" x14ac:dyDescent="0.25">
      <c r="A238" s="61">
        <v>237</v>
      </c>
      <c r="B238" s="119">
        <v>2.1208</v>
      </c>
      <c r="C238" s="21">
        <f t="shared" si="3"/>
        <v>0.28920000000000012</v>
      </c>
    </row>
    <row r="239" spans="1:3" x14ac:dyDescent="0.25">
      <c r="A239" s="61">
        <v>238</v>
      </c>
      <c r="B239" s="119">
        <v>2.1208</v>
      </c>
      <c r="C239" s="21">
        <f t="shared" si="3"/>
        <v>0.28920000000000012</v>
      </c>
    </row>
    <row r="240" spans="1:3" x14ac:dyDescent="0.25">
      <c r="A240" s="61">
        <v>239</v>
      </c>
      <c r="B240" s="119">
        <v>2.1208</v>
      </c>
      <c r="C240" s="21">
        <f t="shared" si="3"/>
        <v>0.28920000000000012</v>
      </c>
    </row>
    <row r="241" spans="1:3" x14ac:dyDescent="0.25">
      <c r="A241" s="61">
        <v>240</v>
      </c>
      <c r="B241" s="119">
        <v>2.1208</v>
      </c>
      <c r="C241" s="21">
        <f t="shared" si="3"/>
        <v>0.28920000000000012</v>
      </c>
    </row>
    <row r="242" spans="1:3" x14ac:dyDescent="0.25">
      <c r="A242" s="61">
        <v>241</v>
      </c>
      <c r="B242" s="119">
        <v>2.0967000000000002</v>
      </c>
      <c r="C242" s="21">
        <f t="shared" si="3"/>
        <v>0.31329999999999991</v>
      </c>
    </row>
    <row r="243" spans="1:3" x14ac:dyDescent="0.25">
      <c r="A243" s="61">
        <v>242</v>
      </c>
      <c r="B243" s="119">
        <v>2.0967000000000002</v>
      </c>
      <c r="C243" s="21">
        <f t="shared" si="3"/>
        <v>0.31329999999999991</v>
      </c>
    </row>
    <row r="244" spans="1:3" x14ac:dyDescent="0.25">
      <c r="A244" s="61">
        <v>243</v>
      </c>
      <c r="B244" s="119">
        <v>2.0967000000000002</v>
      </c>
      <c r="C244" s="21">
        <f t="shared" si="3"/>
        <v>0.31329999999999991</v>
      </c>
    </row>
    <row r="245" spans="1:3" x14ac:dyDescent="0.25">
      <c r="A245" s="61">
        <v>244</v>
      </c>
      <c r="B245" s="119">
        <v>2.0967000000000002</v>
      </c>
      <c r="C245" s="21">
        <f t="shared" si="3"/>
        <v>0.31329999999999991</v>
      </c>
    </row>
    <row r="246" spans="1:3" x14ac:dyDescent="0.25">
      <c r="A246" s="61">
        <v>245</v>
      </c>
      <c r="B246" s="119">
        <v>2.0967000000000002</v>
      </c>
      <c r="C246" s="21">
        <f t="shared" si="3"/>
        <v>0.31329999999999991</v>
      </c>
    </row>
    <row r="247" spans="1:3" x14ac:dyDescent="0.25">
      <c r="A247" s="61">
        <v>246</v>
      </c>
      <c r="B247" s="119">
        <v>2.0967000000000002</v>
      </c>
      <c r="C247" s="21">
        <f t="shared" si="3"/>
        <v>0.31329999999999991</v>
      </c>
    </row>
    <row r="248" spans="1:3" x14ac:dyDescent="0.25">
      <c r="A248" s="61">
        <v>247</v>
      </c>
      <c r="B248" s="119">
        <v>2.0967000000000002</v>
      </c>
      <c r="C248" s="21">
        <f t="shared" si="3"/>
        <v>0.31329999999999991</v>
      </c>
    </row>
    <row r="249" spans="1:3" x14ac:dyDescent="0.25">
      <c r="A249" s="61">
        <v>248</v>
      </c>
      <c r="B249" s="119">
        <v>2.0967000000000002</v>
      </c>
      <c r="C249" s="21">
        <f t="shared" si="3"/>
        <v>0.31329999999999991</v>
      </c>
    </row>
    <row r="250" spans="1:3" x14ac:dyDescent="0.25">
      <c r="A250" s="61">
        <v>249</v>
      </c>
      <c r="B250" s="119">
        <v>2.0967000000000002</v>
      </c>
      <c r="C250" s="21">
        <f t="shared" si="3"/>
        <v>0.31329999999999991</v>
      </c>
    </row>
    <row r="251" spans="1:3" x14ac:dyDescent="0.25">
      <c r="A251" s="61">
        <v>250</v>
      </c>
      <c r="B251" s="119">
        <v>2.0967000000000002</v>
      </c>
      <c r="C251" s="21">
        <f t="shared" si="3"/>
        <v>0.31329999999999991</v>
      </c>
    </row>
    <row r="252" spans="1:3" x14ac:dyDescent="0.25">
      <c r="A252" s="61">
        <v>251</v>
      </c>
      <c r="B252" s="119">
        <v>2.0967000000000002</v>
      </c>
      <c r="C252" s="21">
        <f t="shared" si="3"/>
        <v>0.31329999999999991</v>
      </c>
    </row>
    <row r="253" spans="1:3" x14ac:dyDescent="0.25">
      <c r="A253" s="61">
        <v>252</v>
      </c>
      <c r="B253" s="119">
        <v>2.0967000000000002</v>
      </c>
      <c r="C253" s="21">
        <f t="shared" si="3"/>
        <v>0.31329999999999991</v>
      </c>
    </row>
    <row r="254" spans="1:3" x14ac:dyDescent="0.25">
      <c r="A254" s="61">
        <v>253</v>
      </c>
      <c r="B254" s="119">
        <v>2.0967000000000002</v>
      </c>
      <c r="C254" s="21">
        <f t="shared" si="3"/>
        <v>0.31329999999999991</v>
      </c>
    </row>
    <row r="255" spans="1:3" x14ac:dyDescent="0.25">
      <c r="A255" s="61">
        <v>254</v>
      </c>
      <c r="B255" s="119">
        <v>2.0967000000000002</v>
      </c>
      <c r="C255" s="21">
        <f t="shared" si="3"/>
        <v>0.31329999999999991</v>
      </c>
    </row>
    <row r="256" spans="1:3" x14ac:dyDescent="0.25">
      <c r="A256" s="61">
        <v>255</v>
      </c>
      <c r="B256" s="119">
        <v>2.0967000000000002</v>
      </c>
      <c r="C256" s="21">
        <f t="shared" si="3"/>
        <v>0.31329999999999991</v>
      </c>
    </row>
    <row r="257" spans="1:3" x14ac:dyDescent="0.25">
      <c r="A257" s="61">
        <v>256</v>
      </c>
      <c r="B257" s="119">
        <v>2.0967000000000002</v>
      </c>
      <c r="C257" s="21">
        <f t="shared" si="3"/>
        <v>0.31329999999999991</v>
      </c>
    </row>
    <row r="258" spans="1:3" x14ac:dyDescent="0.25">
      <c r="A258" s="61">
        <v>257</v>
      </c>
      <c r="B258" s="119">
        <v>2.0967000000000002</v>
      </c>
      <c r="C258" s="21">
        <f t="shared" ref="C258:C301" si="4">IF(ISNUMBER(B258),Torig-B258,NA())</f>
        <v>0.31329999999999991</v>
      </c>
    </row>
    <row r="259" spans="1:3" x14ac:dyDescent="0.25">
      <c r="A259" s="61">
        <v>258</v>
      </c>
      <c r="B259" s="119">
        <v>2.0967000000000002</v>
      </c>
      <c r="C259" s="21">
        <f t="shared" si="4"/>
        <v>0.31329999999999991</v>
      </c>
    </row>
    <row r="260" spans="1:3" x14ac:dyDescent="0.25">
      <c r="A260" s="61">
        <v>259</v>
      </c>
      <c r="B260" s="119">
        <v>2.0967000000000002</v>
      </c>
      <c r="C260" s="21">
        <f t="shared" si="4"/>
        <v>0.31329999999999991</v>
      </c>
    </row>
    <row r="261" spans="1:3" x14ac:dyDescent="0.25">
      <c r="A261" s="61">
        <v>260</v>
      </c>
      <c r="B261" s="119">
        <v>2.0967000000000002</v>
      </c>
      <c r="C261" s="21">
        <f t="shared" si="4"/>
        <v>0.31329999999999991</v>
      </c>
    </row>
    <row r="262" spans="1:3" x14ac:dyDescent="0.25">
      <c r="A262" s="61">
        <v>261</v>
      </c>
      <c r="B262" s="119">
        <v>2.0967000000000002</v>
      </c>
      <c r="C262" s="21">
        <f t="shared" si="4"/>
        <v>0.31329999999999991</v>
      </c>
    </row>
    <row r="263" spans="1:3" x14ac:dyDescent="0.25">
      <c r="A263" s="61">
        <v>262</v>
      </c>
      <c r="B263" s="119">
        <v>2.0967000000000002</v>
      </c>
      <c r="C263" s="21">
        <f t="shared" si="4"/>
        <v>0.31329999999999991</v>
      </c>
    </row>
    <row r="264" spans="1:3" x14ac:dyDescent="0.25">
      <c r="A264" s="61">
        <v>263</v>
      </c>
      <c r="B264" s="119">
        <v>2.0967000000000002</v>
      </c>
      <c r="C264" s="21">
        <f t="shared" si="4"/>
        <v>0.31329999999999991</v>
      </c>
    </row>
    <row r="265" spans="1:3" x14ac:dyDescent="0.25">
      <c r="A265" s="61">
        <v>264</v>
      </c>
      <c r="B265" s="119">
        <v>2.0967000000000002</v>
      </c>
      <c r="C265" s="21">
        <f t="shared" si="4"/>
        <v>0.31329999999999991</v>
      </c>
    </row>
    <row r="266" spans="1:3" x14ac:dyDescent="0.25">
      <c r="A266" s="61">
        <v>265</v>
      </c>
      <c r="B266" s="119">
        <v>2.0967000000000002</v>
      </c>
      <c r="C266" s="21">
        <f t="shared" si="4"/>
        <v>0.31329999999999991</v>
      </c>
    </row>
    <row r="267" spans="1:3" x14ac:dyDescent="0.25">
      <c r="A267" s="61">
        <v>266</v>
      </c>
      <c r="B267" s="119">
        <v>2.0967000000000002</v>
      </c>
      <c r="C267" s="21">
        <f t="shared" si="4"/>
        <v>0.31329999999999991</v>
      </c>
    </row>
    <row r="268" spans="1:3" x14ac:dyDescent="0.25">
      <c r="A268" s="61">
        <v>267</v>
      </c>
      <c r="B268" s="119">
        <v>2.0967000000000002</v>
      </c>
      <c r="C268" s="21">
        <f t="shared" si="4"/>
        <v>0.31329999999999991</v>
      </c>
    </row>
    <row r="269" spans="1:3" x14ac:dyDescent="0.25">
      <c r="A269" s="61">
        <v>268</v>
      </c>
      <c r="B269" s="119">
        <v>2.0967000000000002</v>
      </c>
      <c r="C269" s="21">
        <f t="shared" si="4"/>
        <v>0.31329999999999991</v>
      </c>
    </row>
    <row r="270" spans="1:3" x14ac:dyDescent="0.25">
      <c r="A270" s="61">
        <v>269</v>
      </c>
      <c r="B270" s="119">
        <v>2.0967000000000002</v>
      </c>
      <c r="C270" s="21">
        <f t="shared" si="4"/>
        <v>0.31329999999999991</v>
      </c>
    </row>
    <row r="271" spans="1:3" x14ac:dyDescent="0.25">
      <c r="A271" s="61">
        <v>270</v>
      </c>
      <c r="B271" s="119">
        <v>2.0967000000000002</v>
      </c>
      <c r="C271" s="21">
        <f t="shared" si="4"/>
        <v>0.31329999999999991</v>
      </c>
    </row>
    <row r="272" spans="1:3" x14ac:dyDescent="0.25">
      <c r="A272" s="61">
        <v>271</v>
      </c>
      <c r="B272" s="119">
        <v>2.0967000000000002</v>
      </c>
      <c r="C272" s="21">
        <f t="shared" si="4"/>
        <v>0.31329999999999991</v>
      </c>
    </row>
    <row r="273" spans="1:3" x14ac:dyDescent="0.25">
      <c r="A273" s="61">
        <v>272</v>
      </c>
      <c r="B273" s="119">
        <v>2.0967000000000002</v>
      </c>
      <c r="C273" s="21">
        <f t="shared" si="4"/>
        <v>0.31329999999999991</v>
      </c>
    </row>
    <row r="274" spans="1:3" x14ac:dyDescent="0.25">
      <c r="A274" s="61">
        <v>273</v>
      </c>
      <c r="B274" s="119">
        <v>2.0967000000000002</v>
      </c>
      <c r="C274" s="21">
        <f t="shared" si="4"/>
        <v>0.31329999999999991</v>
      </c>
    </row>
    <row r="275" spans="1:3" x14ac:dyDescent="0.25">
      <c r="A275" s="61">
        <v>274</v>
      </c>
      <c r="B275" s="119">
        <v>2.0967000000000002</v>
      </c>
      <c r="C275" s="21">
        <f t="shared" si="4"/>
        <v>0.31329999999999991</v>
      </c>
    </row>
    <row r="276" spans="1:3" x14ac:dyDescent="0.25">
      <c r="A276" s="61">
        <v>275</v>
      </c>
      <c r="B276" s="119">
        <v>2.0967000000000002</v>
      </c>
      <c r="C276" s="21">
        <f t="shared" si="4"/>
        <v>0.31329999999999991</v>
      </c>
    </row>
    <row r="277" spans="1:3" x14ac:dyDescent="0.25">
      <c r="A277" s="61">
        <v>276</v>
      </c>
      <c r="B277" s="119">
        <v>2.0726</v>
      </c>
      <c r="C277" s="21">
        <f t="shared" si="4"/>
        <v>0.33740000000000014</v>
      </c>
    </row>
    <row r="278" spans="1:3" x14ac:dyDescent="0.25">
      <c r="A278" s="61">
        <v>277</v>
      </c>
      <c r="B278" s="119">
        <v>2.0726</v>
      </c>
      <c r="C278" s="21">
        <f t="shared" si="4"/>
        <v>0.33740000000000014</v>
      </c>
    </row>
    <row r="279" spans="1:3" x14ac:dyDescent="0.25">
      <c r="A279" s="61">
        <v>278</v>
      </c>
      <c r="B279" s="119">
        <v>2.0726</v>
      </c>
      <c r="C279" s="21">
        <f t="shared" si="4"/>
        <v>0.33740000000000014</v>
      </c>
    </row>
    <row r="280" spans="1:3" x14ac:dyDescent="0.25">
      <c r="A280" s="61">
        <v>279</v>
      </c>
      <c r="B280" s="119">
        <v>2.0726</v>
      </c>
      <c r="C280" s="21">
        <f t="shared" si="4"/>
        <v>0.33740000000000014</v>
      </c>
    </row>
    <row r="281" spans="1:3" x14ac:dyDescent="0.25">
      <c r="A281" s="61">
        <v>280</v>
      </c>
      <c r="B281" s="119">
        <v>2.0726</v>
      </c>
      <c r="C281" s="21">
        <f t="shared" si="4"/>
        <v>0.33740000000000014</v>
      </c>
    </row>
    <row r="282" spans="1:3" x14ac:dyDescent="0.25">
      <c r="A282" s="61">
        <v>281</v>
      </c>
      <c r="B282" s="119">
        <v>2.0726</v>
      </c>
      <c r="C282" s="21">
        <f t="shared" si="4"/>
        <v>0.33740000000000014</v>
      </c>
    </row>
    <row r="283" spans="1:3" x14ac:dyDescent="0.25">
      <c r="A283" s="61">
        <v>282</v>
      </c>
      <c r="B283" s="119">
        <v>2.0726</v>
      </c>
      <c r="C283" s="21">
        <f t="shared" si="4"/>
        <v>0.33740000000000014</v>
      </c>
    </row>
    <row r="284" spans="1:3" x14ac:dyDescent="0.25">
      <c r="A284" s="61">
        <v>283</v>
      </c>
      <c r="B284" s="119">
        <v>2.0726</v>
      </c>
      <c r="C284" s="21">
        <f t="shared" si="4"/>
        <v>0.33740000000000014</v>
      </c>
    </row>
    <row r="285" spans="1:3" x14ac:dyDescent="0.25">
      <c r="A285" s="61">
        <v>284</v>
      </c>
      <c r="B285" s="119">
        <v>2.0726</v>
      </c>
      <c r="C285" s="21">
        <f t="shared" si="4"/>
        <v>0.33740000000000014</v>
      </c>
    </row>
    <row r="286" spans="1:3" x14ac:dyDescent="0.25">
      <c r="A286" s="61">
        <v>285</v>
      </c>
      <c r="B286" s="119">
        <v>2.0726</v>
      </c>
      <c r="C286" s="21">
        <f t="shared" si="4"/>
        <v>0.33740000000000014</v>
      </c>
    </row>
    <row r="287" spans="1:3" x14ac:dyDescent="0.25">
      <c r="A287" s="61">
        <v>286</v>
      </c>
      <c r="B287" s="119">
        <v>2.0726</v>
      </c>
      <c r="C287" s="21">
        <f t="shared" si="4"/>
        <v>0.33740000000000014</v>
      </c>
    </row>
    <row r="288" spans="1:3" x14ac:dyDescent="0.25">
      <c r="A288" s="61">
        <v>287</v>
      </c>
      <c r="B288" s="119">
        <v>2.0726</v>
      </c>
      <c r="C288" s="21">
        <f t="shared" si="4"/>
        <v>0.33740000000000014</v>
      </c>
    </row>
    <row r="289" spans="1:3" x14ac:dyDescent="0.25">
      <c r="A289" s="61">
        <v>288</v>
      </c>
      <c r="B289" s="119">
        <v>2.0726</v>
      </c>
      <c r="C289" s="21">
        <f t="shared" si="4"/>
        <v>0.33740000000000014</v>
      </c>
    </row>
    <row r="290" spans="1:3" x14ac:dyDescent="0.25">
      <c r="A290" s="61">
        <v>289</v>
      </c>
      <c r="B290" s="119">
        <v>2.0726</v>
      </c>
      <c r="C290" s="21">
        <f t="shared" si="4"/>
        <v>0.33740000000000014</v>
      </c>
    </row>
    <row r="291" spans="1:3" x14ac:dyDescent="0.25">
      <c r="A291" s="61">
        <v>290</v>
      </c>
      <c r="B291" s="119">
        <v>2.0726</v>
      </c>
      <c r="C291" s="21">
        <f t="shared" si="4"/>
        <v>0.33740000000000014</v>
      </c>
    </row>
    <row r="292" spans="1:3" x14ac:dyDescent="0.25">
      <c r="A292" s="61">
        <v>291</v>
      </c>
      <c r="B292" s="119">
        <v>2.0726</v>
      </c>
      <c r="C292" s="21">
        <f t="shared" si="4"/>
        <v>0.33740000000000014</v>
      </c>
    </row>
    <row r="293" spans="1:3" x14ac:dyDescent="0.25">
      <c r="A293" s="61">
        <v>292</v>
      </c>
      <c r="B293" s="119">
        <v>2.0726</v>
      </c>
      <c r="C293" s="21">
        <f t="shared" si="4"/>
        <v>0.33740000000000014</v>
      </c>
    </row>
    <row r="294" spans="1:3" x14ac:dyDescent="0.25">
      <c r="A294" s="61">
        <v>293</v>
      </c>
      <c r="B294" s="119">
        <v>2.0726</v>
      </c>
      <c r="C294" s="21">
        <f t="shared" si="4"/>
        <v>0.33740000000000014</v>
      </c>
    </row>
    <row r="295" spans="1:3" x14ac:dyDescent="0.25">
      <c r="A295" s="61">
        <v>294</v>
      </c>
      <c r="B295" s="119">
        <v>2.0726</v>
      </c>
      <c r="C295" s="21">
        <f t="shared" si="4"/>
        <v>0.33740000000000014</v>
      </c>
    </row>
    <row r="296" spans="1:3" x14ac:dyDescent="0.25">
      <c r="A296" s="61">
        <v>295</v>
      </c>
      <c r="B296" s="119">
        <v>2.0726</v>
      </c>
      <c r="C296" s="21">
        <f t="shared" si="4"/>
        <v>0.33740000000000014</v>
      </c>
    </row>
    <row r="297" spans="1:3" x14ac:dyDescent="0.25">
      <c r="A297" s="61">
        <v>296</v>
      </c>
      <c r="B297" s="119">
        <v>2.0726</v>
      </c>
      <c r="C297" s="21">
        <f t="shared" si="4"/>
        <v>0.33740000000000014</v>
      </c>
    </row>
    <row r="298" spans="1:3" x14ac:dyDescent="0.25">
      <c r="A298" s="61">
        <v>297</v>
      </c>
      <c r="B298" s="119">
        <v>2.0726</v>
      </c>
      <c r="C298" s="21">
        <f t="shared" si="4"/>
        <v>0.33740000000000014</v>
      </c>
    </row>
    <row r="299" spans="1:3" x14ac:dyDescent="0.25">
      <c r="A299" s="61">
        <v>298</v>
      </c>
      <c r="B299" s="119">
        <v>2.0726</v>
      </c>
      <c r="C299" s="21">
        <f t="shared" si="4"/>
        <v>0.33740000000000014</v>
      </c>
    </row>
    <row r="300" spans="1:3" x14ac:dyDescent="0.25">
      <c r="A300" s="61">
        <v>299</v>
      </c>
      <c r="B300" s="119">
        <v>2.0726</v>
      </c>
      <c r="C300" s="21">
        <f t="shared" si="4"/>
        <v>0.33740000000000014</v>
      </c>
    </row>
    <row r="301" spans="1:3" x14ac:dyDescent="0.25">
      <c r="A301" s="61">
        <v>300</v>
      </c>
      <c r="B301" s="119">
        <v>2.0726</v>
      </c>
      <c r="C301" s="21">
        <f t="shared" si="4"/>
        <v>0.33740000000000014</v>
      </c>
    </row>
    <row r="302" spans="1:3" x14ac:dyDescent="0.25">
      <c r="A302" s="61"/>
      <c r="B302" s="119">
        <v>2.0726</v>
      </c>
    </row>
    <row r="303" spans="1:3" x14ac:dyDescent="0.25">
      <c r="A303" s="61"/>
      <c r="B303" s="119">
        <v>2.0485000000000002</v>
      </c>
    </row>
    <row r="304" spans="1:3" x14ac:dyDescent="0.25">
      <c r="A304" s="61"/>
      <c r="B304" s="119">
        <v>2.0485000000000002</v>
      </c>
    </row>
    <row r="305" spans="1:2" x14ac:dyDescent="0.25">
      <c r="A305" s="61"/>
      <c r="B305" s="119">
        <v>2.0485000000000002</v>
      </c>
    </row>
    <row r="306" spans="1:2" x14ac:dyDescent="0.25">
      <c r="A306" s="61"/>
      <c r="B306" s="119">
        <v>2.0485000000000002</v>
      </c>
    </row>
    <row r="307" spans="1:2" x14ac:dyDescent="0.25">
      <c r="A307" s="61"/>
      <c r="B307" s="119">
        <v>2.0485000000000002</v>
      </c>
    </row>
    <row r="308" spans="1:2" x14ac:dyDescent="0.25">
      <c r="A308" s="61"/>
      <c r="B308" s="119">
        <v>2.0485000000000002</v>
      </c>
    </row>
    <row r="309" spans="1:2" x14ac:dyDescent="0.25">
      <c r="A309" s="61"/>
      <c r="B309" s="119">
        <v>2.0485000000000002</v>
      </c>
    </row>
    <row r="310" spans="1:2" x14ac:dyDescent="0.25">
      <c r="A310" s="61"/>
      <c r="B310" s="119">
        <v>2.0485000000000002</v>
      </c>
    </row>
    <row r="311" spans="1:2" x14ac:dyDescent="0.25">
      <c r="A311" s="61"/>
      <c r="B311" s="119">
        <v>2.0485000000000002</v>
      </c>
    </row>
    <row r="312" spans="1:2" x14ac:dyDescent="0.25">
      <c r="A312" s="61"/>
      <c r="B312" s="119">
        <v>2.0485000000000002</v>
      </c>
    </row>
    <row r="313" spans="1:2" x14ac:dyDescent="0.25">
      <c r="A313" s="61"/>
      <c r="B313" s="119">
        <v>2.0485000000000002</v>
      </c>
    </row>
    <row r="314" spans="1:2" x14ac:dyDescent="0.25">
      <c r="A314" s="61"/>
      <c r="B314" s="119">
        <v>2.0485000000000002</v>
      </c>
    </row>
    <row r="315" spans="1:2" x14ac:dyDescent="0.25">
      <c r="A315" s="61"/>
      <c r="B315" s="119">
        <v>2.0485000000000002</v>
      </c>
    </row>
    <row r="316" spans="1:2" x14ac:dyDescent="0.25">
      <c r="A316" s="61"/>
      <c r="B316" s="119">
        <v>2.0485000000000002</v>
      </c>
    </row>
    <row r="317" spans="1:2" x14ac:dyDescent="0.25">
      <c r="A317" s="61"/>
      <c r="B317" s="119">
        <v>2.0485000000000002</v>
      </c>
    </row>
    <row r="318" spans="1:2" x14ac:dyDescent="0.25">
      <c r="A318" s="61"/>
      <c r="B318" s="119">
        <v>2.0485000000000002</v>
      </c>
    </row>
    <row r="319" spans="1:2" x14ac:dyDescent="0.25">
      <c r="A319" s="61"/>
      <c r="B319" s="119">
        <v>2.0485000000000002</v>
      </c>
    </row>
    <row r="320" spans="1:2" x14ac:dyDescent="0.25">
      <c r="A320" s="61"/>
      <c r="B320" s="119">
        <v>2.0485000000000002</v>
      </c>
    </row>
    <row r="321" spans="1:2" x14ac:dyDescent="0.25">
      <c r="A321" s="61"/>
      <c r="B321" s="119">
        <v>2.0485000000000002</v>
      </c>
    </row>
    <row r="322" spans="1:2" x14ac:dyDescent="0.25">
      <c r="A322" s="61"/>
      <c r="B322" s="119">
        <v>2.0485000000000002</v>
      </c>
    </row>
    <row r="323" spans="1:2" x14ac:dyDescent="0.25">
      <c r="A323" s="61"/>
      <c r="B323" s="119">
        <v>2.0485000000000002</v>
      </c>
    </row>
    <row r="324" spans="1:2" x14ac:dyDescent="0.25">
      <c r="A324" s="61"/>
      <c r="B324" s="119">
        <v>2.0485000000000002</v>
      </c>
    </row>
    <row r="325" spans="1:2" x14ac:dyDescent="0.25">
      <c r="A325" s="61"/>
      <c r="B325" s="119">
        <v>2.0485000000000002</v>
      </c>
    </row>
    <row r="326" spans="1:2" x14ac:dyDescent="0.25">
      <c r="A326" s="61"/>
      <c r="B326" s="119">
        <v>2.0485000000000002</v>
      </c>
    </row>
    <row r="327" spans="1:2" x14ac:dyDescent="0.25">
      <c r="A327" s="61"/>
      <c r="B327" s="119">
        <v>2.0485000000000002</v>
      </c>
    </row>
    <row r="328" spans="1:2" x14ac:dyDescent="0.25">
      <c r="A328" s="61"/>
      <c r="B328" s="119">
        <v>2.0485000000000002</v>
      </c>
    </row>
    <row r="329" spans="1:2" x14ac:dyDescent="0.25">
      <c r="A329" s="61"/>
      <c r="B329" s="119">
        <v>2.0485000000000002</v>
      </c>
    </row>
    <row r="330" spans="1:2" x14ac:dyDescent="0.25">
      <c r="A330" s="61"/>
      <c r="B330" s="119">
        <v>2.0485000000000002</v>
      </c>
    </row>
    <row r="331" spans="1:2" x14ac:dyDescent="0.25">
      <c r="A331" s="61"/>
      <c r="B331" s="119">
        <v>2.0485000000000002</v>
      </c>
    </row>
    <row r="332" spans="1:2" x14ac:dyDescent="0.25">
      <c r="A332" s="61"/>
      <c r="B332" s="119">
        <v>2.0485000000000002</v>
      </c>
    </row>
    <row r="333" spans="1:2" x14ac:dyDescent="0.25">
      <c r="A333" s="61"/>
      <c r="B333" s="119">
        <v>2.0485000000000002</v>
      </c>
    </row>
    <row r="334" spans="1:2" x14ac:dyDescent="0.25">
      <c r="A334" s="61"/>
      <c r="B334" s="119">
        <v>2.0485000000000002</v>
      </c>
    </row>
    <row r="335" spans="1:2" x14ac:dyDescent="0.25">
      <c r="A335" s="61"/>
      <c r="B335" s="119">
        <v>2.0485000000000002</v>
      </c>
    </row>
    <row r="336" spans="1:2" x14ac:dyDescent="0.25">
      <c r="A336" s="61"/>
      <c r="B336" s="119">
        <v>2.0485000000000002</v>
      </c>
    </row>
    <row r="337" spans="1:2" x14ac:dyDescent="0.25">
      <c r="A337" s="61"/>
      <c r="B337" s="119">
        <v>2.0485000000000002</v>
      </c>
    </row>
    <row r="338" spans="1:2" x14ac:dyDescent="0.25">
      <c r="A338" s="61"/>
      <c r="B338" s="119">
        <v>2.0485000000000002</v>
      </c>
    </row>
    <row r="339" spans="1:2" x14ac:dyDescent="0.25">
      <c r="A339" s="61"/>
      <c r="B339" s="119">
        <v>2.0485000000000002</v>
      </c>
    </row>
    <row r="340" spans="1:2" x14ac:dyDescent="0.25">
      <c r="A340" s="61"/>
      <c r="B340" s="119">
        <v>2.0485000000000002</v>
      </c>
    </row>
    <row r="341" spans="1:2" x14ac:dyDescent="0.25">
      <c r="A341" s="61"/>
      <c r="B341" s="119">
        <v>2.0485000000000002</v>
      </c>
    </row>
    <row r="342" spans="1:2" x14ac:dyDescent="0.25">
      <c r="A342" s="61"/>
      <c r="B342" s="119">
        <v>2.0485000000000002</v>
      </c>
    </row>
    <row r="343" spans="1:2" x14ac:dyDescent="0.25">
      <c r="A343" s="61"/>
      <c r="B343" s="119">
        <v>2.0485000000000002</v>
      </c>
    </row>
    <row r="344" spans="1:2" x14ac:dyDescent="0.25">
      <c r="A344" s="61"/>
      <c r="B344" s="119">
        <v>2.0485000000000002</v>
      </c>
    </row>
    <row r="345" spans="1:2" x14ac:dyDescent="0.25">
      <c r="A345" s="61"/>
      <c r="B345" s="119">
        <v>2.0485000000000002</v>
      </c>
    </row>
    <row r="346" spans="1:2" x14ac:dyDescent="0.25">
      <c r="A346" s="61"/>
      <c r="B346" s="119">
        <v>2.0485000000000002</v>
      </c>
    </row>
    <row r="347" spans="1:2" x14ac:dyDescent="0.25">
      <c r="A347" s="61"/>
      <c r="B347" s="119">
        <v>2.0485000000000002</v>
      </c>
    </row>
    <row r="348" spans="1:2" x14ac:dyDescent="0.25">
      <c r="A348" s="61"/>
      <c r="B348" s="119">
        <v>2.0485000000000002</v>
      </c>
    </row>
    <row r="349" spans="1:2" x14ac:dyDescent="0.25">
      <c r="A349" s="61"/>
      <c r="B349" s="119">
        <v>2.0485000000000002</v>
      </c>
    </row>
    <row r="350" spans="1:2" x14ac:dyDescent="0.25">
      <c r="A350" s="61"/>
      <c r="B350" s="119">
        <v>2.0485000000000002</v>
      </c>
    </row>
    <row r="351" spans="1:2" x14ac:dyDescent="0.25">
      <c r="A351" s="61"/>
      <c r="B351" s="119">
        <v>2.0485000000000002</v>
      </c>
    </row>
    <row r="352" spans="1:2" x14ac:dyDescent="0.25">
      <c r="A352" s="61"/>
      <c r="B352" s="119">
        <v>2.0485000000000002</v>
      </c>
    </row>
    <row r="353" spans="1:2" x14ac:dyDescent="0.25">
      <c r="A353" s="61"/>
      <c r="B353" s="119">
        <v>2.0485000000000002</v>
      </c>
    </row>
    <row r="354" spans="1:2" x14ac:dyDescent="0.25">
      <c r="A354" s="61"/>
      <c r="B354" s="119">
        <v>2.0485000000000002</v>
      </c>
    </row>
    <row r="355" spans="1:2" x14ac:dyDescent="0.25">
      <c r="A355" s="61"/>
      <c r="B355" s="119">
        <v>2.0485000000000002</v>
      </c>
    </row>
    <row r="356" spans="1:2" x14ac:dyDescent="0.25">
      <c r="A356" s="61"/>
      <c r="B356" s="119">
        <v>2.0485000000000002</v>
      </c>
    </row>
    <row r="357" spans="1:2" x14ac:dyDescent="0.25">
      <c r="A357" s="61"/>
      <c r="B357" s="119">
        <v>2.0485000000000002</v>
      </c>
    </row>
    <row r="358" spans="1:2" x14ac:dyDescent="0.25">
      <c r="A358" s="61"/>
      <c r="B358" s="119">
        <v>2.0485000000000002</v>
      </c>
    </row>
    <row r="359" spans="1:2" x14ac:dyDescent="0.25">
      <c r="A359" s="61"/>
      <c r="B359" s="119">
        <v>2.0485000000000002</v>
      </c>
    </row>
    <row r="360" spans="1:2" x14ac:dyDescent="0.25">
      <c r="A360" s="61"/>
      <c r="B360" s="119">
        <v>2.0244</v>
      </c>
    </row>
    <row r="361" spans="1:2" x14ac:dyDescent="0.25">
      <c r="A361" s="61"/>
      <c r="B361" s="119">
        <v>2.0244</v>
      </c>
    </row>
    <row r="362" spans="1:2" x14ac:dyDescent="0.25">
      <c r="A362" s="61"/>
      <c r="B362" s="119">
        <v>2.0003000000000002</v>
      </c>
    </row>
    <row r="363" spans="1:2" x14ac:dyDescent="0.25">
      <c r="A363" s="61"/>
      <c r="B363" s="119">
        <v>2.0003000000000002</v>
      </c>
    </row>
    <row r="364" spans="1:2" x14ac:dyDescent="0.25">
      <c r="A364" s="61"/>
      <c r="B364" s="119">
        <v>2.0003000000000002</v>
      </c>
    </row>
    <row r="365" spans="1:2" x14ac:dyDescent="0.25">
      <c r="A365" s="61"/>
      <c r="B365" s="119">
        <v>2.0003000000000002</v>
      </c>
    </row>
    <row r="366" spans="1:2" x14ac:dyDescent="0.25">
      <c r="A366" s="61"/>
      <c r="B366" s="119">
        <v>2.0003000000000002</v>
      </c>
    </row>
    <row r="367" spans="1:2" x14ac:dyDescent="0.25">
      <c r="A367" s="61"/>
      <c r="B367" s="119">
        <v>2.0003000000000002</v>
      </c>
    </row>
    <row r="368" spans="1:2" x14ac:dyDescent="0.25">
      <c r="A368" s="61"/>
      <c r="B368" s="59"/>
    </row>
    <row r="369" spans="1:2" x14ac:dyDescent="0.25">
      <c r="A369" s="61"/>
      <c r="B369" s="59"/>
    </row>
    <row r="370" spans="1:2" x14ac:dyDescent="0.25">
      <c r="A370" s="61"/>
      <c r="B370" s="59"/>
    </row>
    <row r="371" spans="1:2" x14ac:dyDescent="0.25">
      <c r="A371" s="61"/>
      <c r="B371" s="59"/>
    </row>
    <row r="372" spans="1:2" x14ac:dyDescent="0.25">
      <c r="A372" s="61"/>
      <c r="B372" s="59"/>
    </row>
    <row r="373" spans="1:2" x14ac:dyDescent="0.25">
      <c r="A373" s="61"/>
      <c r="B373" s="59"/>
    </row>
    <row r="374" spans="1:2" x14ac:dyDescent="0.25">
      <c r="A374" s="61"/>
      <c r="B374" s="59"/>
    </row>
    <row r="375" spans="1:2" x14ac:dyDescent="0.25">
      <c r="A375" s="61"/>
      <c r="B375" s="59"/>
    </row>
    <row r="376" spans="1:2" x14ac:dyDescent="0.25">
      <c r="A376" s="61"/>
      <c r="B376" s="59"/>
    </row>
    <row r="377" spans="1:2" x14ac:dyDescent="0.25">
      <c r="A377" s="61"/>
      <c r="B377" s="59"/>
    </row>
    <row r="378" spans="1:2" x14ac:dyDescent="0.25">
      <c r="A378" s="61"/>
      <c r="B378" s="59"/>
    </row>
    <row r="379" spans="1:2" x14ac:dyDescent="0.25">
      <c r="A379" s="61"/>
      <c r="B379" s="59"/>
    </row>
    <row r="380" spans="1:2" x14ac:dyDescent="0.25">
      <c r="A380" s="61"/>
      <c r="B380" s="59"/>
    </row>
    <row r="381" spans="1:2" x14ac:dyDescent="0.25">
      <c r="A381" s="61"/>
      <c r="B381" s="59"/>
    </row>
    <row r="382" spans="1:2" x14ac:dyDescent="0.25">
      <c r="A382" s="61"/>
      <c r="B382" s="59"/>
    </row>
    <row r="383" spans="1:2" x14ac:dyDescent="0.25">
      <c r="A383" s="61"/>
      <c r="B383" s="59"/>
    </row>
    <row r="384" spans="1:2" x14ac:dyDescent="0.25">
      <c r="A384" s="61"/>
      <c r="B384" s="59"/>
    </row>
    <row r="385" spans="1:2" x14ac:dyDescent="0.25">
      <c r="A385" s="61"/>
      <c r="B385" s="59"/>
    </row>
    <row r="386" spans="1:2" x14ac:dyDescent="0.25">
      <c r="A386" s="61"/>
      <c r="B386" s="59"/>
    </row>
    <row r="387" spans="1:2" x14ac:dyDescent="0.25">
      <c r="A387" s="61"/>
      <c r="B387" s="59"/>
    </row>
    <row r="388" spans="1:2" x14ac:dyDescent="0.25">
      <c r="A388" s="61"/>
      <c r="B388" s="59"/>
    </row>
    <row r="389" spans="1:2" x14ac:dyDescent="0.25">
      <c r="A389" s="61"/>
      <c r="B389" s="59"/>
    </row>
    <row r="390" spans="1:2" x14ac:dyDescent="0.25">
      <c r="A390" s="61"/>
      <c r="B390" s="59"/>
    </row>
    <row r="391" spans="1:2" x14ac:dyDescent="0.25">
      <c r="A391" s="61"/>
      <c r="B391" s="59"/>
    </row>
    <row r="392" spans="1:2" x14ac:dyDescent="0.25">
      <c r="A392" s="61"/>
      <c r="B392" s="59"/>
    </row>
    <row r="393" spans="1:2" x14ac:dyDescent="0.25">
      <c r="A393" s="61"/>
      <c r="B393" s="59"/>
    </row>
    <row r="394" spans="1:2" x14ac:dyDescent="0.25">
      <c r="A394" s="61"/>
      <c r="B394" s="59"/>
    </row>
    <row r="395" spans="1:2" x14ac:dyDescent="0.25">
      <c r="A395" s="61"/>
      <c r="B395" s="59"/>
    </row>
    <row r="396" spans="1:2" x14ac:dyDescent="0.25">
      <c r="A396" s="61"/>
      <c r="B396" s="59"/>
    </row>
    <row r="397" spans="1:2" x14ac:dyDescent="0.25">
      <c r="A397" s="61"/>
      <c r="B397" s="59"/>
    </row>
    <row r="398" spans="1:2" x14ac:dyDescent="0.25">
      <c r="A398" s="61"/>
      <c r="B398" s="59"/>
    </row>
    <row r="399" spans="1:2" x14ac:dyDescent="0.25">
      <c r="A399" s="61"/>
      <c r="B399" s="59"/>
    </row>
    <row r="400" spans="1:2" x14ac:dyDescent="0.25">
      <c r="A400" s="61"/>
      <c r="B400" s="59"/>
    </row>
    <row r="401" spans="1:2" x14ac:dyDescent="0.25">
      <c r="A401" s="61"/>
      <c r="B401" s="59"/>
    </row>
    <row r="402" spans="1:2" x14ac:dyDescent="0.25">
      <c r="A402" s="61"/>
      <c r="B402" s="59"/>
    </row>
    <row r="403" spans="1:2" x14ac:dyDescent="0.25">
      <c r="A403" s="61"/>
      <c r="B403" s="59"/>
    </row>
    <row r="404" spans="1:2" x14ac:dyDescent="0.25">
      <c r="A404" s="61"/>
      <c r="B404" s="59"/>
    </row>
    <row r="405" spans="1:2" x14ac:dyDescent="0.25">
      <c r="A405" s="61"/>
      <c r="B405" s="59"/>
    </row>
    <row r="406" spans="1:2" x14ac:dyDescent="0.25">
      <c r="A406" s="61"/>
      <c r="B406" s="59"/>
    </row>
    <row r="407" spans="1:2" x14ac:dyDescent="0.25">
      <c r="A407" s="61"/>
      <c r="B407" s="59"/>
    </row>
    <row r="408" spans="1:2" x14ac:dyDescent="0.25">
      <c r="A408" s="61"/>
      <c r="B408" s="59"/>
    </row>
    <row r="409" spans="1:2" x14ac:dyDescent="0.25">
      <c r="A409" s="61"/>
      <c r="B409" s="59"/>
    </row>
    <row r="410" spans="1:2" x14ac:dyDescent="0.25">
      <c r="A410" s="61"/>
      <c r="B410" s="59"/>
    </row>
    <row r="411" spans="1:2" x14ac:dyDescent="0.25">
      <c r="A411" s="61"/>
      <c r="B411" s="59"/>
    </row>
    <row r="412" spans="1:2" x14ac:dyDescent="0.25">
      <c r="A412" s="61"/>
      <c r="B412" s="59"/>
    </row>
    <row r="413" spans="1:2" x14ac:dyDescent="0.25">
      <c r="A413" s="61"/>
      <c r="B413" s="59"/>
    </row>
    <row r="414" spans="1:2" x14ac:dyDescent="0.25">
      <c r="A414" s="61"/>
      <c r="B414" s="59"/>
    </row>
    <row r="415" spans="1:2" x14ac:dyDescent="0.25">
      <c r="A415" s="61"/>
      <c r="B415" s="59"/>
    </row>
    <row r="416" spans="1:2" x14ac:dyDescent="0.25">
      <c r="A416" s="61"/>
      <c r="B416" s="59"/>
    </row>
    <row r="417" spans="1:2" x14ac:dyDescent="0.25">
      <c r="A417" s="61"/>
      <c r="B417" s="59"/>
    </row>
    <row r="418" spans="1:2" x14ac:dyDescent="0.25">
      <c r="A418" s="61"/>
      <c r="B418" s="59"/>
    </row>
    <row r="419" spans="1:2" x14ac:dyDescent="0.25">
      <c r="A419" s="61"/>
      <c r="B419" s="59"/>
    </row>
    <row r="420" spans="1:2" x14ac:dyDescent="0.25">
      <c r="A420" s="61"/>
      <c r="B420" s="59"/>
    </row>
    <row r="421" spans="1:2" x14ac:dyDescent="0.25">
      <c r="A421" s="61"/>
      <c r="B421" s="59"/>
    </row>
    <row r="422" spans="1:2" x14ac:dyDescent="0.25">
      <c r="A422" s="61"/>
      <c r="B422" s="59"/>
    </row>
    <row r="423" spans="1:2" x14ac:dyDescent="0.25">
      <c r="A423" s="61"/>
      <c r="B423" s="59"/>
    </row>
    <row r="424" spans="1:2" x14ac:dyDescent="0.25">
      <c r="A424" s="61"/>
      <c r="B424" s="59"/>
    </row>
    <row r="425" spans="1:2" x14ac:dyDescent="0.25">
      <c r="A425" s="61"/>
      <c r="B425" s="59"/>
    </row>
    <row r="426" spans="1:2" x14ac:dyDescent="0.25">
      <c r="A426" s="61"/>
      <c r="B426" s="59"/>
    </row>
    <row r="427" spans="1:2" x14ac:dyDescent="0.25">
      <c r="A427" s="61"/>
      <c r="B427" s="59"/>
    </row>
    <row r="428" spans="1:2" x14ac:dyDescent="0.25">
      <c r="A428" s="61"/>
      <c r="B428" s="59"/>
    </row>
    <row r="429" spans="1:2" x14ac:dyDescent="0.25">
      <c r="A429" s="61"/>
      <c r="B429" s="59"/>
    </row>
    <row r="430" spans="1:2" x14ac:dyDescent="0.25">
      <c r="A430" s="61"/>
      <c r="B430" s="59"/>
    </row>
    <row r="431" spans="1:2" x14ac:dyDescent="0.25">
      <c r="A431" s="61"/>
      <c r="B431" s="59"/>
    </row>
    <row r="432" spans="1:2" x14ac:dyDescent="0.25">
      <c r="A432" s="61"/>
      <c r="B432" s="59"/>
    </row>
    <row r="433" spans="1:2" x14ac:dyDescent="0.25">
      <c r="A433" s="61"/>
      <c r="B433" s="59"/>
    </row>
    <row r="434" spans="1:2" x14ac:dyDescent="0.25">
      <c r="A434" s="61"/>
      <c r="B434" s="59"/>
    </row>
    <row r="435" spans="1:2" x14ac:dyDescent="0.25">
      <c r="A435" s="61"/>
      <c r="B435" s="59"/>
    </row>
    <row r="436" spans="1:2" x14ac:dyDescent="0.25">
      <c r="A436" s="61"/>
      <c r="B436" s="59"/>
    </row>
    <row r="437" spans="1:2" x14ac:dyDescent="0.25">
      <c r="A437" s="61"/>
      <c r="B437" s="59"/>
    </row>
    <row r="438" spans="1:2" x14ac:dyDescent="0.25">
      <c r="A438" s="61"/>
      <c r="B438" s="59"/>
    </row>
    <row r="439" spans="1:2" x14ac:dyDescent="0.25">
      <c r="A439" s="61"/>
      <c r="B439" s="59"/>
    </row>
    <row r="440" spans="1:2" x14ac:dyDescent="0.25">
      <c r="A440" s="61"/>
      <c r="B440" s="59"/>
    </row>
    <row r="441" spans="1:2" x14ac:dyDescent="0.25">
      <c r="A441" s="61"/>
      <c r="B441" s="59"/>
    </row>
    <row r="442" spans="1:2" x14ac:dyDescent="0.25">
      <c r="A442" s="61"/>
      <c r="B442" s="59"/>
    </row>
    <row r="443" spans="1:2" x14ac:dyDescent="0.25">
      <c r="A443" s="61"/>
      <c r="B443" s="59"/>
    </row>
    <row r="444" spans="1:2" x14ac:dyDescent="0.25">
      <c r="A444" s="61"/>
      <c r="B444" s="59"/>
    </row>
    <row r="445" spans="1:2" x14ac:dyDescent="0.25">
      <c r="A445" s="61"/>
      <c r="B445" s="59"/>
    </row>
    <row r="446" spans="1:2" x14ac:dyDescent="0.25">
      <c r="A446" s="61"/>
      <c r="B446" s="59"/>
    </row>
    <row r="447" spans="1:2" x14ac:dyDescent="0.25">
      <c r="A447" s="61"/>
      <c r="B447" s="59"/>
    </row>
    <row r="448" spans="1:2" x14ac:dyDescent="0.25">
      <c r="A448" s="61"/>
      <c r="B448" s="59"/>
    </row>
    <row r="449" spans="1:2" x14ac:dyDescent="0.25">
      <c r="A449" s="61"/>
      <c r="B449" s="59"/>
    </row>
    <row r="450" spans="1:2" x14ac:dyDescent="0.25">
      <c r="A450" s="61"/>
      <c r="B450" s="59"/>
    </row>
    <row r="451" spans="1:2" x14ac:dyDescent="0.25">
      <c r="A451" s="61"/>
      <c r="B451" s="59"/>
    </row>
    <row r="452" spans="1:2" x14ac:dyDescent="0.25">
      <c r="A452" s="61"/>
      <c r="B452" s="59"/>
    </row>
    <row r="453" spans="1:2" x14ac:dyDescent="0.25">
      <c r="A453" s="61"/>
      <c r="B453" s="59"/>
    </row>
    <row r="454" spans="1:2" x14ac:dyDescent="0.25">
      <c r="A454" s="61"/>
      <c r="B454" s="59"/>
    </row>
    <row r="455" spans="1:2" x14ac:dyDescent="0.25">
      <c r="A455" s="61"/>
      <c r="B455" s="59"/>
    </row>
    <row r="456" spans="1:2" x14ac:dyDescent="0.25">
      <c r="A456" s="61"/>
      <c r="B456" s="59"/>
    </row>
    <row r="457" spans="1:2" x14ac:dyDescent="0.25">
      <c r="A457" s="61"/>
      <c r="B457" s="59"/>
    </row>
    <row r="458" spans="1:2" x14ac:dyDescent="0.25">
      <c r="A458" s="61"/>
      <c r="B458" s="59"/>
    </row>
    <row r="459" spans="1:2" x14ac:dyDescent="0.25">
      <c r="A459" s="61"/>
      <c r="B459" s="59"/>
    </row>
    <row r="460" spans="1:2" x14ac:dyDescent="0.25">
      <c r="A460" s="61"/>
      <c r="B460" s="59"/>
    </row>
    <row r="461" spans="1:2" x14ac:dyDescent="0.25">
      <c r="A461" s="61"/>
      <c r="B461" s="59"/>
    </row>
    <row r="462" spans="1:2" x14ac:dyDescent="0.25">
      <c r="A462" s="61"/>
      <c r="B462" s="59"/>
    </row>
    <row r="463" spans="1:2" x14ac:dyDescent="0.25">
      <c r="A463" s="61"/>
      <c r="B463" s="59"/>
    </row>
    <row r="464" spans="1:2" x14ac:dyDescent="0.25">
      <c r="A464" s="61"/>
      <c r="B464" s="59"/>
    </row>
    <row r="465" spans="1:2" x14ac:dyDescent="0.25">
      <c r="A465" s="61"/>
      <c r="B465" s="59"/>
    </row>
    <row r="466" spans="1:2" x14ac:dyDescent="0.25">
      <c r="A466" s="61"/>
      <c r="B466" s="59"/>
    </row>
    <row r="467" spans="1:2" x14ac:dyDescent="0.25">
      <c r="A467" s="61"/>
      <c r="B467" s="59"/>
    </row>
    <row r="468" spans="1:2" x14ac:dyDescent="0.25">
      <c r="A468" s="61"/>
      <c r="B468" s="59"/>
    </row>
    <row r="469" spans="1:2" x14ac:dyDescent="0.25">
      <c r="A469" s="61"/>
      <c r="B469" s="59"/>
    </row>
    <row r="470" spans="1:2" x14ac:dyDescent="0.25">
      <c r="A470" s="61"/>
      <c r="B470" s="59"/>
    </row>
    <row r="471" spans="1:2" x14ac:dyDescent="0.25">
      <c r="A471" s="61"/>
      <c r="B471" s="59"/>
    </row>
    <row r="472" spans="1:2" x14ac:dyDescent="0.25">
      <c r="A472" s="61"/>
      <c r="B472" s="59"/>
    </row>
    <row r="473" spans="1:2" x14ac:dyDescent="0.25">
      <c r="A473" s="61"/>
      <c r="B473" s="59"/>
    </row>
    <row r="474" spans="1:2" x14ac:dyDescent="0.25">
      <c r="A474" s="61"/>
      <c r="B474" s="59"/>
    </row>
    <row r="475" spans="1:2" x14ac:dyDescent="0.25">
      <c r="A475" s="61"/>
      <c r="B475" s="59"/>
    </row>
    <row r="476" spans="1:2" x14ac:dyDescent="0.25">
      <c r="A476" s="61"/>
      <c r="B476" s="59"/>
    </row>
    <row r="477" spans="1:2" x14ac:dyDescent="0.25">
      <c r="A477" s="61"/>
      <c r="B477" s="59"/>
    </row>
    <row r="478" spans="1:2" x14ac:dyDescent="0.25">
      <c r="A478" s="61"/>
      <c r="B478" s="59"/>
    </row>
    <row r="479" spans="1:2" x14ac:dyDescent="0.25">
      <c r="A479" s="61"/>
      <c r="B479" s="59"/>
    </row>
    <row r="480" spans="1:2" x14ac:dyDescent="0.25">
      <c r="A480" s="61"/>
      <c r="B480" s="59"/>
    </row>
    <row r="481" spans="1:2" x14ac:dyDescent="0.25">
      <c r="A481" s="61"/>
      <c r="B481" s="59"/>
    </row>
    <row r="482" spans="1:2" x14ac:dyDescent="0.25">
      <c r="A482" s="61"/>
      <c r="B482" s="59"/>
    </row>
    <row r="483" spans="1:2" x14ac:dyDescent="0.25">
      <c r="A483" s="61"/>
      <c r="B483" s="59"/>
    </row>
    <row r="484" spans="1:2" x14ac:dyDescent="0.25">
      <c r="A484" s="61"/>
      <c r="B484" s="59"/>
    </row>
    <row r="485" spans="1:2" x14ac:dyDescent="0.25">
      <c r="A485" s="61"/>
      <c r="B485" s="59"/>
    </row>
    <row r="486" spans="1:2" x14ac:dyDescent="0.25">
      <c r="A486" s="61"/>
      <c r="B486" s="59"/>
    </row>
    <row r="487" spans="1:2" x14ac:dyDescent="0.25">
      <c r="A487" s="61"/>
      <c r="B487" s="59"/>
    </row>
    <row r="488" spans="1:2" x14ac:dyDescent="0.25">
      <c r="A488" s="61"/>
      <c r="B488" s="59"/>
    </row>
    <row r="489" spans="1:2" x14ac:dyDescent="0.25">
      <c r="A489" s="61"/>
      <c r="B489" s="59"/>
    </row>
    <row r="490" spans="1:2" x14ac:dyDescent="0.25">
      <c r="A490" s="61"/>
      <c r="B490" s="59"/>
    </row>
    <row r="491" spans="1:2" x14ac:dyDescent="0.25">
      <c r="A491" s="61"/>
      <c r="B491" s="59"/>
    </row>
    <row r="492" spans="1:2" x14ac:dyDescent="0.25">
      <c r="A492" s="61"/>
      <c r="B492" s="59"/>
    </row>
    <row r="493" spans="1:2" x14ac:dyDescent="0.25">
      <c r="A493" s="61"/>
      <c r="B493" s="59"/>
    </row>
    <row r="494" spans="1:2" x14ac:dyDescent="0.25">
      <c r="A494" s="61"/>
      <c r="B494" s="59"/>
    </row>
    <row r="495" spans="1:2" x14ac:dyDescent="0.25">
      <c r="A495" s="61"/>
      <c r="B495" s="59"/>
    </row>
    <row r="496" spans="1:2" x14ac:dyDescent="0.25">
      <c r="A496" s="61"/>
      <c r="B496" s="59"/>
    </row>
    <row r="497" spans="1:2" x14ac:dyDescent="0.25">
      <c r="A497" s="61"/>
      <c r="B497" s="59"/>
    </row>
    <row r="498" spans="1:2" x14ac:dyDescent="0.25">
      <c r="A498" s="61"/>
      <c r="B498" s="59"/>
    </row>
    <row r="499" spans="1:2" x14ac:dyDescent="0.25">
      <c r="A499" s="61"/>
      <c r="B499" s="59"/>
    </row>
    <row r="500" spans="1:2" x14ac:dyDescent="0.25">
      <c r="A500" s="61"/>
      <c r="B500" s="59"/>
    </row>
    <row r="501" spans="1:2" x14ac:dyDescent="0.25">
      <c r="A501" s="61"/>
      <c r="B501" s="59"/>
    </row>
    <row r="502" spans="1:2" x14ac:dyDescent="0.25">
      <c r="A502" s="61"/>
      <c r="B502" s="59"/>
    </row>
    <row r="503" spans="1:2" x14ac:dyDescent="0.25">
      <c r="A503" s="61"/>
      <c r="B503" s="59"/>
    </row>
    <row r="504" spans="1:2" x14ac:dyDescent="0.25">
      <c r="A504" s="61"/>
      <c r="B504" s="59"/>
    </row>
    <row r="505" spans="1:2" x14ac:dyDescent="0.25">
      <c r="A505" s="61"/>
      <c r="B505" s="59"/>
    </row>
    <row r="506" spans="1:2" x14ac:dyDescent="0.25">
      <c r="A506" s="61"/>
      <c r="B506" s="59"/>
    </row>
    <row r="507" spans="1:2" x14ac:dyDescent="0.25">
      <c r="A507" s="61"/>
      <c r="B507" s="59"/>
    </row>
    <row r="508" spans="1:2" x14ac:dyDescent="0.25">
      <c r="A508" s="61"/>
      <c r="B508" s="59"/>
    </row>
    <row r="509" spans="1:2" x14ac:dyDescent="0.25">
      <c r="A509" s="61"/>
      <c r="B509" s="59"/>
    </row>
    <row r="510" spans="1:2" x14ac:dyDescent="0.25">
      <c r="A510" s="61"/>
      <c r="B510" s="59"/>
    </row>
    <row r="511" spans="1:2" x14ac:dyDescent="0.25">
      <c r="A511" s="61"/>
      <c r="B511" s="59"/>
    </row>
    <row r="512" spans="1:2" x14ac:dyDescent="0.25">
      <c r="A512" s="61"/>
      <c r="B512" s="59"/>
    </row>
    <row r="513" spans="1:2" x14ac:dyDescent="0.25">
      <c r="A513" s="61"/>
      <c r="B513" s="59"/>
    </row>
    <row r="514" spans="1:2" x14ac:dyDescent="0.25">
      <c r="A514" s="61"/>
      <c r="B514" s="59"/>
    </row>
    <row r="515" spans="1:2" x14ac:dyDescent="0.25">
      <c r="A515" s="61"/>
      <c r="B515" s="59"/>
    </row>
    <row r="516" spans="1:2" x14ac:dyDescent="0.25">
      <c r="A516" s="61"/>
      <c r="B516" s="59"/>
    </row>
    <row r="517" spans="1:2" x14ac:dyDescent="0.25">
      <c r="A517" s="61"/>
      <c r="B517" s="59"/>
    </row>
    <row r="518" spans="1:2" x14ac:dyDescent="0.25">
      <c r="A518" s="61"/>
      <c r="B518" s="59"/>
    </row>
    <row r="519" spans="1:2" x14ac:dyDescent="0.25">
      <c r="A519" s="61"/>
      <c r="B519" s="59"/>
    </row>
    <row r="520" spans="1:2" x14ac:dyDescent="0.25">
      <c r="A520" s="61"/>
      <c r="B520" s="59"/>
    </row>
    <row r="521" spans="1:2" x14ac:dyDescent="0.25">
      <c r="A521" s="61"/>
      <c r="B521" s="59"/>
    </row>
    <row r="522" spans="1:2" x14ac:dyDescent="0.25">
      <c r="A522" s="61"/>
      <c r="B522" s="59"/>
    </row>
    <row r="523" spans="1:2" x14ac:dyDescent="0.25">
      <c r="A523" s="61"/>
      <c r="B523" s="59"/>
    </row>
    <row r="524" spans="1:2" x14ac:dyDescent="0.25">
      <c r="A524" s="61"/>
      <c r="B524" s="59"/>
    </row>
    <row r="525" spans="1:2" x14ac:dyDescent="0.25">
      <c r="A525" s="61"/>
      <c r="B525" s="59"/>
    </row>
    <row r="526" spans="1:2" x14ac:dyDescent="0.25">
      <c r="A526" s="61"/>
      <c r="B526" s="59"/>
    </row>
    <row r="527" spans="1:2" x14ac:dyDescent="0.25">
      <c r="A527" s="61"/>
      <c r="B527" s="59"/>
    </row>
    <row r="528" spans="1:2" x14ac:dyDescent="0.25">
      <c r="A528" s="61"/>
      <c r="B528" s="59"/>
    </row>
    <row r="529" spans="1:2" x14ac:dyDescent="0.25">
      <c r="A529" s="61"/>
      <c r="B529" s="59"/>
    </row>
    <row r="530" spans="1:2" x14ac:dyDescent="0.25">
      <c r="A530" s="61"/>
      <c r="B530" s="59"/>
    </row>
    <row r="531" spans="1:2" x14ac:dyDescent="0.25">
      <c r="A531" s="61"/>
      <c r="B531" s="59"/>
    </row>
    <row r="532" spans="1:2" x14ac:dyDescent="0.25">
      <c r="A532" s="61"/>
      <c r="B532" s="59"/>
    </row>
    <row r="533" spans="1:2" x14ac:dyDescent="0.25">
      <c r="A533" s="61"/>
      <c r="B533" s="59"/>
    </row>
    <row r="534" spans="1:2" x14ac:dyDescent="0.25">
      <c r="A534" s="61"/>
      <c r="B534" s="59"/>
    </row>
    <row r="535" spans="1:2" x14ac:dyDescent="0.25">
      <c r="A535" s="61"/>
      <c r="B535" s="59"/>
    </row>
    <row r="536" spans="1:2" x14ac:dyDescent="0.25">
      <c r="A536" s="61"/>
      <c r="B536" s="59"/>
    </row>
    <row r="537" spans="1:2" x14ac:dyDescent="0.25">
      <c r="A537" s="61"/>
      <c r="B537" s="59"/>
    </row>
    <row r="538" spans="1:2" x14ac:dyDescent="0.25">
      <c r="A538" s="61"/>
      <c r="B538" s="59"/>
    </row>
    <row r="539" spans="1:2" x14ac:dyDescent="0.25">
      <c r="A539" s="61"/>
      <c r="B539" s="59"/>
    </row>
    <row r="540" spans="1:2" x14ac:dyDescent="0.25">
      <c r="A540" s="61"/>
      <c r="B540" s="59"/>
    </row>
    <row r="541" spans="1:2" x14ac:dyDescent="0.25">
      <c r="A541" s="61"/>
      <c r="B541" s="59"/>
    </row>
    <row r="542" spans="1:2" x14ac:dyDescent="0.25">
      <c r="A542" s="61"/>
      <c r="B542" s="59"/>
    </row>
    <row r="543" spans="1:2" x14ac:dyDescent="0.25">
      <c r="A543" s="61"/>
      <c r="B543" s="59"/>
    </row>
    <row r="544" spans="1:2" x14ac:dyDescent="0.25">
      <c r="A544" s="61"/>
      <c r="B544" s="59"/>
    </row>
    <row r="545" spans="1:2" x14ac:dyDescent="0.25">
      <c r="A545" s="61"/>
      <c r="B545" s="59"/>
    </row>
    <row r="546" spans="1:2" x14ac:dyDescent="0.25">
      <c r="A546" s="61"/>
      <c r="B546" s="59"/>
    </row>
    <row r="547" spans="1:2" x14ac:dyDescent="0.25">
      <c r="A547" s="61"/>
      <c r="B547" s="59"/>
    </row>
    <row r="548" spans="1:2" x14ac:dyDescent="0.25">
      <c r="A548" s="61"/>
      <c r="B548" s="59"/>
    </row>
    <row r="549" spans="1:2" x14ac:dyDescent="0.25">
      <c r="A549" s="61"/>
      <c r="B549" s="59"/>
    </row>
    <row r="550" spans="1:2" x14ac:dyDescent="0.25">
      <c r="A550" s="61"/>
      <c r="B550" s="59"/>
    </row>
    <row r="551" spans="1:2" x14ac:dyDescent="0.25">
      <c r="A551" s="61"/>
      <c r="B551" s="59"/>
    </row>
    <row r="552" spans="1:2" x14ac:dyDescent="0.25">
      <c r="A552" s="61"/>
      <c r="B552" s="59"/>
    </row>
    <row r="553" spans="1:2" x14ac:dyDescent="0.25">
      <c r="A553" s="61"/>
      <c r="B553" s="59"/>
    </row>
    <row r="554" spans="1:2" x14ac:dyDescent="0.25">
      <c r="A554" s="61"/>
      <c r="B554" s="59"/>
    </row>
    <row r="555" spans="1:2" x14ac:dyDescent="0.25">
      <c r="A555" s="61"/>
      <c r="B555" s="59"/>
    </row>
    <row r="556" spans="1:2" x14ac:dyDescent="0.25">
      <c r="A556" s="61"/>
      <c r="B556" s="59"/>
    </row>
    <row r="557" spans="1:2" x14ac:dyDescent="0.25">
      <c r="A557" s="61"/>
      <c r="B557" s="59"/>
    </row>
    <row r="558" spans="1:2" x14ac:dyDescent="0.25">
      <c r="A558" s="61"/>
      <c r="B558" s="59"/>
    </row>
    <row r="559" spans="1:2" x14ac:dyDescent="0.25">
      <c r="A559" s="61"/>
      <c r="B559" s="59"/>
    </row>
    <row r="560" spans="1:2" x14ac:dyDescent="0.25">
      <c r="A560" s="61"/>
      <c r="B560" s="59"/>
    </row>
    <row r="561" spans="1:2" x14ac:dyDescent="0.25">
      <c r="A561" s="61"/>
      <c r="B561" s="59"/>
    </row>
    <row r="562" spans="1:2" x14ac:dyDescent="0.25">
      <c r="A562" s="61"/>
      <c r="B562" s="59"/>
    </row>
    <row r="563" spans="1:2" x14ac:dyDescent="0.25">
      <c r="A563" s="61"/>
      <c r="B563" s="59"/>
    </row>
    <row r="564" spans="1:2" x14ac:dyDescent="0.25">
      <c r="A564" s="61"/>
      <c r="B564" s="59"/>
    </row>
    <row r="565" spans="1:2" x14ac:dyDescent="0.25">
      <c r="A565" s="61"/>
      <c r="B565" s="59"/>
    </row>
    <row r="566" spans="1:2" x14ac:dyDescent="0.25">
      <c r="A566" s="61"/>
      <c r="B566" s="59"/>
    </row>
    <row r="567" spans="1:2" x14ac:dyDescent="0.25">
      <c r="A567" s="61"/>
      <c r="B567" s="59"/>
    </row>
    <row r="568" spans="1:2" x14ac:dyDescent="0.25">
      <c r="A568" s="61"/>
      <c r="B568" s="59"/>
    </row>
    <row r="569" spans="1:2" x14ac:dyDescent="0.25">
      <c r="A569" s="61"/>
      <c r="B569" s="59"/>
    </row>
    <row r="570" spans="1:2" x14ac:dyDescent="0.25">
      <c r="A570" s="61"/>
      <c r="B570" s="59"/>
    </row>
    <row r="571" spans="1:2" x14ac:dyDescent="0.25">
      <c r="A571" s="61"/>
      <c r="B571" s="59"/>
    </row>
    <row r="572" spans="1:2" x14ac:dyDescent="0.25">
      <c r="A572" s="61"/>
      <c r="B572" s="59"/>
    </row>
    <row r="573" spans="1:2" x14ac:dyDescent="0.25">
      <c r="A573" s="61"/>
      <c r="B573" s="59"/>
    </row>
    <row r="574" spans="1:2" x14ac:dyDescent="0.25">
      <c r="A574" s="61"/>
      <c r="B574" s="59"/>
    </row>
    <row r="575" spans="1:2" x14ac:dyDescent="0.25">
      <c r="A575" s="61"/>
      <c r="B575" s="59"/>
    </row>
    <row r="576" spans="1:2" x14ac:dyDescent="0.25">
      <c r="A576" s="61"/>
      <c r="B576" s="59"/>
    </row>
    <row r="577" spans="1:2" x14ac:dyDescent="0.25">
      <c r="A577" s="61"/>
      <c r="B577" s="59"/>
    </row>
    <row r="578" spans="1:2" x14ac:dyDescent="0.25">
      <c r="A578" s="61"/>
      <c r="B578" s="59"/>
    </row>
    <row r="579" spans="1:2" x14ac:dyDescent="0.25">
      <c r="A579" s="61"/>
      <c r="B579" s="59"/>
    </row>
    <row r="580" spans="1:2" x14ac:dyDescent="0.25">
      <c r="A580" s="61"/>
      <c r="B580" s="59"/>
    </row>
    <row r="581" spans="1:2" x14ac:dyDescent="0.25">
      <c r="A581" s="61"/>
      <c r="B581" s="59"/>
    </row>
    <row r="582" spans="1:2" x14ac:dyDescent="0.25">
      <c r="A582" s="61"/>
      <c r="B582" s="59"/>
    </row>
    <row r="583" spans="1:2" x14ac:dyDescent="0.25">
      <c r="A583" s="61"/>
      <c r="B583" s="59"/>
    </row>
    <row r="584" spans="1:2" x14ac:dyDescent="0.25">
      <c r="A584" s="61"/>
      <c r="B584" s="59"/>
    </row>
    <row r="585" spans="1:2" x14ac:dyDescent="0.25">
      <c r="A585" s="61"/>
      <c r="B585" s="59"/>
    </row>
    <row r="586" spans="1:2" x14ac:dyDescent="0.25">
      <c r="A586" s="61"/>
      <c r="B586" s="59"/>
    </row>
    <row r="587" spans="1:2" x14ac:dyDescent="0.25">
      <c r="A587" s="61"/>
      <c r="B587" s="59"/>
    </row>
    <row r="588" spans="1:2" x14ac:dyDescent="0.25">
      <c r="A588" s="61"/>
      <c r="B588" s="59"/>
    </row>
    <row r="589" spans="1:2" x14ac:dyDescent="0.25">
      <c r="A589" s="61"/>
      <c r="B589" s="59"/>
    </row>
    <row r="590" spans="1:2" x14ac:dyDescent="0.25">
      <c r="A590" s="61"/>
      <c r="B590" s="59"/>
    </row>
    <row r="591" spans="1:2" x14ac:dyDescent="0.25">
      <c r="A591" s="61"/>
      <c r="B591" s="59"/>
    </row>
    <row r="592" spans="1:2" x14ac:dyDescent="0.25">
      <c r="A592" s="61"/>
      <c r="B592" s="59"/>
    </row>
    <row r="593" spans="1:2" x14ac:dyDescent="0.25">
      <c r="A593" s="61"/>
      <c r="B593" s="59"/>
    </row>
    <row r="594" spans="1:2" x14ac:dyDescent="0.25">
      <c r="A594" s="61"/>
      <c r="B594" s="59"/>
    </row>
    <row r="595" spans="1:2" x14ac:dyDescent="0.25">
      <c r="A595" s="61"/>
      <c r="B595" s="59"/>
    </row>
    <row r="596" spans="1:2" x14ac:dyDescent="0.25">
      <c r="A596" s="61"/>
      <c r="B596" s="59"/>
    </row>
    <row r="597" spans="1:2" x14ac:dyDescent="0.25">
      <c r="A597" s="61"/>
      <c r="B597" s="59"/>
    </row>
    <row r="598" spans="1:2" x14ac:dyDescent="0.25">
      <c r="A598" s="61"/>
      <c r="B598" s="59"/>
    </row>
    <row r="599" spans="1:2" x14ac:dyDescent="0.25">
      <c r="A599" s="61"/>
      <c r="B599" s="59"/>
    </row>
    <row r="600" spans="1:2" x14ac:dyDescent="0.25">
      <c r="A600" s="61"/>
      <c r="B600" s="59"/>
    </row>
    <row r="601" spans="1:2" x14ac:dyDescent="0.25">
      <c r="A601" s="61"/>
      <c r="B601" s="59"/>
    </row>
    <row r="602" spans="1:2" x14ac:dyDescent="0.25">
      <c r="A602" s="61"/>
      <c r="B602" s="59"/>
    </row>
    <row r="603" spans="1:2" x14ac:dyDescent="0.25">
      <c r="A603" s="61"/>
      <c r="B603" s="59"/>
    </row>
    <row r="604" spans="1:2" x14ac:dyDescent="0.25">
      <c r="A604" s="61"/>
      <c r="B604" s="59"/>
    </row>
    <row r="605" spans="1:2" x14ac:dyDescent="0.25">
      <c r="A605" s="61"/>
      <c r="B605" s="59"/>
    </row>
    <row r="606" spans="1:2" x14ac:dyDescent="0.25">
      <c r="A606" s="61"/>
      <c r="B606" s="59"/>
    </row>
    <row r="607" spans="1:2" x14ac:dyDescent="0.25">
      <c r="A607" s="61"/>
      <c r="B607" s="59"/>
    </row>
    <row r="608" spans="1:2" x14ac:dyDescent="0.25">
      <c r="A608" s="61"/>
      <c r="B608" s="59"/>
    </row>
    <row r="609" spans="1:2" x14ac:dyDescent="0.25">
      <c r="A609" s="61"/>
      <c r="B609" s="59"/>
    </row>
    <row r="610" spans="1:2" x14ac:dyDescent="0.25">
      <c r="A610" s="61"/>
      <c r="B610" s="59"/>
    </row>
    <row r="611" spans="1:2" x14ac:dyDescent="0.25">
      <c r="A611" s="61"/>
      <c r="B611" s="59"/>
    </row>
    <row r="612" spans="1:2" x14ac:dyDescent="0.25">
      <c r="A612" s="61"/>
      <c r="B612" s="59"/>
    </row>
    <row r="613" spans="1:2" x14ac:dyDescent="0.25">
      <c r="A613" s="61"/>
      <c r="B613" s="59"/>
    </row>
    <row r="614" spans="1:2" x14ac:dyDescent="0.25">
      <c r="A614" s="61"/>
      <c r="B614" s="59"/>
    </row>
    <row r="615" spans="1:2" x14ac:dyDescent="0.25">
      <c r="A615" s="61"/>
      <c r="B615" s="59"/>
    </row>
    <row r="616" spans="1:2" x14ac:dyDescent="0.25">
      <c r="A616" s="61"/>
      <c r="B616" s="59"/>
    </row>
    <row r="617" spans="1:2" x14ac:dyDescent="0.25">
      <c r="A617" s="61"/>
      <c r="B617" s="59"/>
    </row>
    <row r="618" spans="1:2" x14ac:dyDescent="0.25">
      <c r="A618" s="61"/>
      <c r="B618" s="59"/>
    </row>
    <row r="619" spans="1:2" x14ac:dyDescent="0.25">
      <c r="A619" s="61"/>
      <c r="B619" s="59"/>
    </row>
    <row r="620" spans="1:2" x14ac:dyDescent="0.25">
      <c r="A620" s="61"/>
      <c r="B620" s="59"/>
    </row>
    <row r="621" spans="1:2" x14ac:dyDescent="0.25">
      <c r="A621" s="61"/>
      <c r="B621" s="59"/>
    </row>
    <row r="622" spans="1:2" x14ac:dyDescent="0.25">
      <c r="A622" s="61"/>
      <c r="B622" s="59"/>
    </row>
    <row r="623" spans="1:2" x14ac:dyDescent="0.25">
      <c r="A623" s="61"/>
      <c r="B623" s="59"/>
    </row>
    <row r="624" spans="1:2" x14ac:dyDescent="0.25">
      <c r="A624" s="61"/>
      <c r="B624" s="59"/>
    </row>
    <row r="625" spans="1:2" x14ac:dyDescent="0.25">
      <c r="A625" s="61"/>
      <c r="B625" s="59"/>
    </row>
    <row r="626" spans="1:2" x14ac:dyDescent="0.25">
      <c r="A626" s="61"/>
      <c r="B626" s="59"/>
    </row>
    <row r="627" spans="1:2" x14ac:dyDescent="0.25">
      <c r="A627" s="61"/>
      <c r="B627" s="59"/>
    </row>
    <row r="628" spans="1:2" x14ac:dyDescent="0.25">
      <c r="A628" s="61"/>
      <c r="B628" s="59"/>
    </row>
    <row r="629" spans="1:2" x14ac:dyDescent="0.25">
      <c r="A629" s="61"/>
      <c r="B629" s="59"/>
    </row>
    <row r="630" spans="1:2" x14ac:dyDescent="0.25">
      <c r="A630" s="61"/>
      <c r="B630" s="59"/>
    </row>
    <row r="631" spans="1:2" x14ac:dyDescent="0.25">
      <c r="A631" s="61"/>
      <c r="B631" s="59"/>
    </row>
    <row r="632" spans="1:2" x14ac:dyDescent="0.25">
      <c r="A632" s="61"/>
      <c r="B632" s="59"/>
    </row>
    <row r="633" spans="1:2" x14ac:dyDescent="0.25">
      <c r="A633" s="61"/>
      <c r="B633" s="59"/>
    </row>
    <row r="634" spans="1:2" x14ac:dyDescent="0.25">
      <c r="A634" s="61"/>
      <c r="B634" s="59"/>
    </row>
    <row r="635" spans="1:2" x14ac:dyDescent="0.25">
      <c r="A635" s="61"/>
      <c r="B635" s="59"/>
    </row>
    <row r="636" spans="1:2" x14ac:dyDescent="0.25">
      <c r="A636" s="61"/>
      <c r="B636" s="59"/>
    </row>
    <row r="637" spans="1:2" x14ac:dyDescent="0.25">
      <c r="A637" s="61"/>
      <c r="B637" s="59"/>
    </row>
    <row r="638" spans="1:2" x14ac:dyDescent="0.25">
      <c r="A638" s="61"/>
      <c r="B638" s="59"/>
    </row>
    <row r="639" spans="1:2" x14ac:dyDescent="0.25">
      <c r="A639" s="61"/>
      <c r="B639" s="59"/>
    </row>
    <row r="640" spans="1:2" x14ac:dyDescent="0.25">
      <c r="A640" s="61"/>
      <c r="B640" s="59"/>
    </row>
    <row r="641" spans="1:2" x14ac:dyDescent="0.25">
      <c r="A641" s="61"/>
      <c r="B641" s="59"/>
    </row>
    <row r="642" spans="1:2" x14ac:dyDescent="0.25">
      <c r="A642" s="61"/>
      <c r="B642" s="59"/>
    </row>
    <row r="643" spans="1:2" x14ac:dyDescent="0.25">
      <c r="A643" s="61"/>
      <c r="B643" s="59"/>
    </row>
    <row r="644" spans="1:2" x14ac:dyDescent="0.25">
      <c r="A644" s="61"/>
      <c r="B644" s="59"/>
    </row>
    <row r="645" spans="1:2" x14ac:dyDescent="0.25">
      <c r="A645" s="61"/>
      <c r="B645" s="59"/>
    </row>
    <row r="646" spans="1:2" x14ac:dyDescent="0.25">
      <c r="A646" s="61"/>
      <c r="B646" s="59"/>
    </row>
    <row r="647" spans="1:2" x14ac:dyDescent="0.25">
      <c r="A647" s="61"/>
      <c r="B647" s="59"/>
    </row>
    <row r="648" spans="1:2" x14ac:dyDescent="0.25">
      <c r="A648" s="61"/>
      <c r="B648" s="59"/>
    </row>
    <row r="649" spans="1:2" x14ac:dyDescent="0.25">
      <c r="A649" s="61"/>
      <c r="B649" s="59"/>
    </row>
    <row r="650" spans="1:2" x14ac:dyDescent="0.25">
      <c r="A650" s="61"/>
      <c r="B650" s="59"/>
    </row>
    <row r="651" spans="1:2" x14ac:dyDescent="0.25">
      <c r="A651" s="61"/>
      <c r="B651" s="59"/>
    </row>
    <row r="652" spans="1:2" x14ac:dyDescent="0.25">
      <c r="A652" s="61"/>
      <c r="B652" s="59"/>
    </row>
    <row r="653" spans="1:2" x14ac:dyDescent="0.25">
      <c r="A653" s="61"/>
      <c r="B653" s="59"/>
    </row>
    <row r="654" spans="1:2" x14ac:dyDescent="0.25">
      <c r="A654" s="61"/>
      <c r="B654" s="59"/>
    </row>
    <row r="655" spans="1:2" x14ac:dyDescent="0.25">
      <c r="A655" s="61"/>
      <c r="B655" s="59"/>
    </row>
    <row r="656" spans="1:2" x14ac:dyDescent="0.25">
      <c r="A656" s="61"/>
      <c r="B656" s="59"/>
    </row>
    <row r="657" spans="1:2" x14ac:dyDescent="0.25">
      <c r="A657" s="61"/>
      <c r="B657" s="59"/>
    </row>
    <row r="658" spans="1:2" x14ac:dyDescent="0.25">
      <c r="A658" s="61"/>
      <c r="B658" s="59"/>
    </row>
    <row r="659" spans="1:2" x14ac:dyDescent="0.25">
      <c r="A659" s="61"/>
      <c r="B659" s="59"/>
    </row>
    <row r="660" spans="1:2" x14ac:dyDescent="0.25">
      <c r="A660" s="61"/>
      <c r="B660" s="59"/>
    </row>
    <row r="661" spans="1:2" x14ac:dyDescent="0.25">
      <c r="A661" s="61"/>
      <c r="B661" s="59"/>
    </row>
    <row r="662" spans="1:2" x14ac:dyDescent="0.25">
      <c r="A662" s="61"/>
      <c r="B662" s="59"/>
    </row>
    <row r="663" spans="1:2" x14ac:dyDescent="0.25">
      <c r="A663" s="61"/>
      <c r="B663" s="59"/>
    </row>
    <row r="664" spans="1:2" x14ac:dyDescent="0.25">
      <c r="A664" s="61"/>
      <c r="B664" s="59"/>
    </row>
    <row r="665" spans="1:2" x14ac:dyDescent="0.25">
      <c r="A665" s="61"/>
      <c r="B665" s="59"/>
    </row>
    <row r="666" spans="1:2" x14ac:dyDescent="0.25">
      <c r="A666" s="61"/>
      <c r="B666" s="59"/>
    </row>
    <row r="667" spans="1:2" x14ac:dyDescent="0.25">
      <c r="A667" s="61"/>
      <c r="B667" s="59"/>
    </row>
    <row r="668" spans="1:2" x14ac:dyDescent="0.25">
      <c r="A668" s="61"/>
      <c r="B668" s="59"/>
    </row>
    <row r="669" spans="1:2" x14ac:dyDescent="0.25">
      <c r="A669" s="61"/>
      <c r="B669" s="59"/>
    </row>
    <row r="670" spans="1:2" x14ac:dyDescent="0.25">
      <c r="A670" s="61"/>
      <c r="B670" s="59"/>
    </row>
    <row r="671" spans="1:2" x14ac:dyDescent="0.25">
      <c r="A671" s="61"/>
      <c r="B671" s="59"/>
    </row>
    <row r="672" spans="1:2" x14ac:dyDescent="0.25">
      <c r="A672" s="61"/>
      <c r="B672" s="59"/>
    </row>
    <row r="673" spans="1:2" x14ac:dyDescent="0.25">
      <c r="A673" s="61"/>
      <c r="B673" s="59"/>
    </row>
    <row r="674" spans="1:2" x14ac:dyDescent="0.25">
      <c r="A674" s="61"/>
      <c r="B674" s="59"/>
    </row>
    <row r="675" spans="1:2" x14ac:dyDescent="0.25">
      <c r="A675" s="61"/>
      <c r="B675" s="59"/>
    </row>
    <row r="676" spans="1:2" x14ac:dyDescent="0.25">
      <c r="A676" s="61"/>
      <c r="B676" s="59"/>
    </row>
    <row r="677" spans="1:2" x14ac:dyDescent="0.25">
      <c r="A677" s="61"/>
      <c r="B677" s="59"/>
    </row>
    <row r="678" spans="1:2" x14ac:dyDescent="0.25">
      <c r="A678" s="61"/>
      <c r="B678" s="59"/>
    </row>
    <row r="679" spans="1:2" x14ac:dyDescent="0.25">
      <c r="A679" s="61"/>
      <c r="B679" s="59"/>
    </row>
    <row r="680" spans="1:2" x14ac:dyDescent="0.25">
      <c r="A680" s="61"/>
      <c r="B680" s="59"/>
    </row>
    <row r="681" spans="1:2" x14ac:dyDescent="0.25">
      <c r="A681" s="61"/>
      <c r="B681" s="59"/>
    </row>
    <row r="682" spans="1:2" x14ac:dyDescent="0.25">
      <c r="A682" s="61"/>
      <c r="B682" s="59"/>
    </row>
    <row r="683" spans="1:2" x14ac:dyDescent="0.25">
      <c r="A683" s="61"/>
      <c r="B683" s="59"/>
    </row>
    <row r="684" spans="1:2" x14ac:dyDescent="0.25">
      <c r="A684" s="61"/>
      <c r="B684" s="59"/>
    </row>
    <row r="685" spans="1:2" x14ac:dyDescent="0.25">
      <c r="A685" s="61"/>
      <c r="B685" s="59"/>
    </row>
    <row r="686" spans="1:2" x14ac:dyDescent="0.25">
      <c r="A686" s="61"/>
      <c r="B686" s="59"/>
    </row>
    <row r="687" spans="1:2" x14ac:dyDescent="0.25">
      <c r="A687" s="61"/>
      <c r="B687" s="59"/>
    </row>
    <row r="688" spans="1:2" x14ac:dyDescent="0.25">
      <c r="A688" s="61"/>
      <c r="B688" s="59"/>
    </row>
    <row r="689" spans="1:2" x14ac:dyDescent="0.25">
      <c r="A689" s="61"/>
      <c r="B689" s="59"/>
    </row>
    <row r="690" spans="1:2" x14ac:dyDescent="0.25">
      <c r="A690" s="61"/>
      <c r="B690" s="59"/>
    </row>
    <row r="691" spans="1:2" x14ac:dyDescent="0.25">
      <c r="A691" s="61"/>
      <c r="B691" s="59"/>
    </row>
    <row r="692" spans="1:2" x14ac:dyDescent="0.25">
      <c r="A692" s="61"/>
      <c r="B692" s="59"/>
    </row>
    <row r="693" spans="1:2" x14ac:dyDescent="0.25">
      <c r="A693" s="61"/>
      <c r="B693" s="59"/>
    </row>
    <row r="694" spans="1:2" x14ac:dyDescent="0.25">
      <c r="A694" s="61"/>
      <c r="B694" s="59"/>
    </row>
    <row r="695" spans="1:2" x14ac:dyDescent="0.25">
      <c r="A695" s="61"/>
      <c r="B695" s="59"/>
    </row>
    <row r="696" spans="1:2" x14ac:dyDescent="0.25">
      <c r="A696" s="61"/>
      <c r="B696" s="59"/>
    </row>
    <row r="697" spans="1:2" x14ac:dyDescent="0.25">
      <c r="A697" s="61"/>
      <c r="B697" s="59"/>
    </row>
    <row r="698" spans="1:2" x14ac:dyDescent="0.25">
      <c r="A698" s="61"/>
      <c r="B698" s="59"/>
    </row>
    <row r="699" spans="1:2" x14ac:dyDescent="0.25">
      <c r="A699" s="61"/>
      <c r="B699" s="59"/>
    </row>
    <row r="700" spans="1:2" x14ac:dyDescent="0.25">
      <c r="A700" s="61"/>
      <c r="B700" s="59"/>
    </row>
    <row r="701" spans="1:2" x14ac:dyDescent="0.25">
      <c r="A701" s="61"/>
      <c r="B701" s="59"/>
    </row>
    <row r="702" spans="1:2" x14ac:dyDescent="0.25">
      <c r="A702" s="61"/>
      <c r="B702" s="59"/>
    </row>
    <row r="703" spans="1:2" x14ac:dyDescent="0.25">
      <c r="A703" s="61"/>
      <c r="B703" s="59"/>
    </row>
    <row r="704" spans="1:2" x14ac:dyDescent="0.25">
      <c r="A704" s="61"/>
      <c r="B704" s="59"/>
    </row>
    <row r="705" spans="1:2" x14ac:dyDescent="0.25">
      <c r="A705" s="61"/>
      <c r="B705" s="59"/>
    </row>
    <row r="706" spans="1:2" x14ac:dyDescent="0.25">
      <c r="A706" s="61"/>
      <c r="B706" s="59"/>
    </row>
    <row r="707" spans="1:2" x14ac:dyDescent="0.25">
      <c r="A707" s="61"/>
      <c r="B707" s="59"/>
    </row>
    <row r="708" spans="1:2" x14ac:dyDescent="0.25">
      <c r="A708" s="61"/>
      <c r="B708" s="59"/>
    </row>
    <row r="709" spans="1:2" x14ac:dyDescent="0.25">
      <c r="A709" s="61"/>
      <c r="B709" s="59"/>
    </row>
    <row r="710" spans="1:2" x14ac:dyDescent="0.25">
      <c r="A710" s="61"/>
      <c r="B710" s="59"/>
    </row>
    <row r="711" spans="1:2" x14ac:dyDescent="0.25">
      <c r="A711" s="61"/>
      <c r="B711" s="59"/>
    </row>
    <row r="712" spans="1:2" x14ac:dyDescent="0.25">
      <c r="A712" s="61"/>
      <c r="B712" s="59"/>
    </row>
    <row r="713" spans="1:2" x14ac:dyDescent="0.25">
      <c r="A713" s="61"/>
      <c r="B713" s="59"/>
    </row>
    <row r="714" spans="1:2" x14ac:dyDescent="0.25">
      <c r="A714" s="61"/>
      <c r="B714" s="59"/>
    </row>
    <row r="715" spans="1:2" x14ac:dyDescent="0.25">
      <c r="A715" s="61"/>
      <c r="B715" s="59"/>
    </row>
    <row r="716" spans="1:2" x14ac:dyDescent="0.25">
      <c r="A716" s="61"/>
      <c r="B716" s="59"/>
    </row>
    <row r="717" spans="1:2" x14ac:dyDescent="0.25">
      <c r="A717" s="61"/>
      <c r="B717" s="59"/>
    </row>
    <row r="718" spans="1:2" x14ac:dyDescent="0.25">
      <c r="A718" s="61"/>
      <c r="B718" s="59"/>
    </row>
    <row r="719" spans="1:2" x14ac:dyDescent="0.25">
      <c r="A719" s="61"/>
      <c r="B719" s="59"/>
    </row>
    <row r="720" spans="1:2" x14ac:dyDescent="0.25">
      <c r="A720" s="61"/>
      <c r="B720" s="59"/>
    </row>
    <row r="721" spans="1:2" x14ac:dyDescent="0.25">
      <c r="A721" s="61"/>
      <c r="B721" s="59"/>
    </row>
    <row r="722" spans="1:2" x14ac:dyDescent="0.25">
      <c r="A722" s="61"/>
      <c r="B722" s="59"/>
    </row>
    <row r="723" spans="1:2" x14ac:dyDescent="0.25">
      <c r="A723" s="61"/>
      <c r="B723" s="59"/>
    </row>
    <row r="724" spans="1:2" x14ac:dyDescent="0.25">
      <c r="A724" s="61"/>
      <c r="B724" s="59"/>
    </row>
    <row r="725" spans="1:2" x14ac:dyDescent="0.25">
      <c r="A725" s="61"/>
      <c r="B725" s="59"/>
    </row>
    <row r="726" spans="1:2" x14ac:dyDescent="0.25">
      <c r="A726" s="61"/>
      <c r="B726" s="59"/>
    </row>
    <row r="727" spans="1:2" x14ac:dyDescent="0.25">
      <c r="A727" s="61"/>
      <c r="B727" s="59"/>
    </row>
    <row r="728" spans="1:2" x14ac:dyDescent="0.25">
      <c r="A728" s="61"/>
      <c r="B728" s="59"/>
    </row>
    <row r="729" spans="1:2" x14ac:dyDescent="0.25">
      <c r="A729" s="61"/>
      <c r="B729" s="59"/>
    </row>
    <row r="730" spans="1:2" x14ac:dyDescent="0.25">
      <c r="A730" s="61"/>
      <c r="B730" s="59"/>
    </row>
    <row r="731" spans="1:2" x14ac:dyDescent="0.25">
      <c r="A731" s="61"/>
      <c r="B731" s="59"/>
    </row>
    <row r="732" spans="1:2" x14ac:dyDescent="0.25">
      <c r="A732" s="61"/>
      <c r="B732" s="59"/>
    </row>
    <row r="733" spans="1:2" x14ac:dyDescent="0.25">
      <c r="A733" s="61"/>
      <c r="B733" s="59"/>
    </row>
    <row r="734" spans="1:2" x14ac:dyDescent="0.25">
      <c r="A734" s="61"/>
      <c r="B734" s="59"/>
    </row>
    <row r="735" spans="1:2" x14ac:dyDescent="0.25">
      <c r="A735" s="61"/>
      <c r="B735" s="59"/>
    </row>
    <row r="736" spans="1:2" x14ac:dyDescent="0.25">
      <c r="A736" s="61"/>
      <c r="B736" s="59"/>
    </row>
    <row r="737" spans="1:2" x14ac:dyDescent="0.25">
      <c r="A737" s="61"/>
      <c r="B737" s="59"/>
    </row>
    <row r="738" spans="1:2" x14ac:dyDescent="0.25">
      <c r="A738" s="61"/>
      <c r="B738" s="59"/>
    </row>
    <row r="739" spans="1:2" x14ac:dyDescent="0.25">
      <c r="A739" s="61"/>
      <c r="B739" s="59"/>
    </row>
    <row r="740" spans="1:2" x14ac:dyDescent="0.25">
      <c r="A740" s="61"/>
      <c r="B740" s="59"/>
    </row>
    <row r="741" spans="1:2" x14ac:dyDescent="0.25">
      <c r="A741" s="61"/>
      <c r="B741" s="59"/>
    </row>
    <row r="742" spans="1:2" x14ac:dyDescent="0.25">
      <c r="A742" s="61"/>
      <c r="B742" s="59"/>
    </row>
    <row r="743" spans="1:2" x14ac:dyDescent="0.25">
      <c r="A743" s="61"/>
      <c r="B743" s="59"/>
    </row>
    <row r="744" spans="1:2" x14ac:dyDescent="0.25">
      <c r="A744" s="61"/>
      <c r="B744" s="59"/>
    </row>
    <row r="745" spans="1:2" x14ac:dyDescent="0.25">
      <c r="A745" s="61"/>
      <c r="B745" s="59"/>
    </row>
    <row r="746" spans="1:2" x14ac:dyDescent="0.25">
      <c r="A746" s="61"/>
      <c r="B746" s="59"/>
    </row>
    <row r="747" spans="1:2" x14ac:dyDescent="0.25">
      <c r="A747" s="61"/>
      <c r="B747" s="59"/>
    </row>
    <row r="748" spans="1:2" x14ac:dyDescent="0.25">
      <c r="A748" s="61"/>
      <c r="B748" s="59"/>
    </row>
    <row r="749" spans="1:2" x14ac:dyDescent="0.25">
      <c r="A749" s="61"/>
      <c r="B749" s="59"/>
    </row>
    <row r="750" spans="1:2" x14ac:dyDescent="0.25">
      <c r="A750" s="61"/>
      <c r="B750" s="59"/>
    </row>
    <row r="751" spans="1:2" x14ac:dyDescent="0.25">
      <c r="A751" s="61"/>
      <c r="B751" s="59"/>
    </row>
    <row r="752" spans="1:2" x14ac:dyDescent="0.25">
      <c r="A752" s="61"/>
      <c r="B752" s="59"/>
    </row>
    <row r="753" spans="1:2" x14ac:dyDescent="0.25">
      <c r="A753" s="61"/>
      <c r="B753" s="59"/>
    </row>
    <row r="754" spans="1:2" x14ac:dyDescent="0.25">
      <c r="A754" s="61"/>
      <c r="B754" s="59"/>
    </row>
    <row r="755" spans="1:2" x14ac:dyDescent="0.25">
      <c r="A755" s="61"/>
      <c r="B755" s="59"/>
    </row>
    <row r="756" spans="1:2" x14ac:dyDescent="0.25">
      <c r="A756" s="61"/>
      <c r="B756" s="59"/>
    </row>
    <row r="757" spans="1:2" x14ac:dyDescent="0.25">
      <c r="A757" s="61"/>
      <c r="B757" s="59"/>
    </row>
    <row r="758" spans="1:2" x14ac:dyDescent="0.25">
      <c r="A758" s="61"/>
      <c r="B758" s="59"/>
    </row>
    <row r="759" spans="1:2" x14ac:dyDescent="0.25">
      <c r="A759" s="61"/>
      <c r="B759" s="59"/>
    </row>
    <row r="760" spans="1:2" x14ac:dyDescent="0.25">
      <c r="A760" s="61"/>
      <c r="B760" s="59"/>
    </row>
    <row r="761" spans="1:2" x14ac:dyDescent="0.25">
      <c r="A761" s="61"/>
      <c r="B761" s="59"/>
    </row>
    <row r="762" spans="1:2" x14ac:dyDescent="0.25">
      <c r="A762" s="61"/>
      <c r="B762" s="59"/>
    </row>
    <row r="763" spans="1:2" x14ac:dyDescent="0.25">
      <c r="A763" s="61"/>
      <c r="B763" s="59"/>
    </row>
    <row r="764" spans="1:2" x14ac:dyDescent="0.25">
      <c r="A764" s="61"/>
      <c r="B764" s="59"/>
    </row>
    <row r="765" spans="1:2" x14ac:dyDescent="0.25">
      <c r="A765" s="61"/>
      <c r="B765" s="59"/>
    </row>
    <row r="766" spans="1:2" x14ac:dyDescent="0.25">
      <c r="A766" s="61"/>
      <c r="B766" s="59"/>
    </row>
    <row r="767" spans="1:2" x14ac:dyDescent="0.25">
      <c r="A767" s="61"/>
      <c r="B767" s="59"/>
    </row>
    <row r="768" spans="1:2" x14ac:dyDescent="0.25">
      <c r="A768" s="61"/>
      <c r="B768" s="59"/>
    </row>
    <row r="769" spans="1:2" x14ac:dyDescent="0.25">
      <c r="A769" s="61"/>
      <c r="B769" s="59"/>
    </row>
    <row r="770" spans="1:2" x14ac:dyDescent="0.25">
      <c r="A770" s="61"/>
      <c r="B770" s="59"/>
    </row>
    <row r="771" spans="1:2" x14ac:dyDescent="0.25">
      <c r="A771" s="61"/>
      <c r="B771" s="59"/>
    </row>
    <row r="772" spans="1:2" x14ac:dyDescent="0.25">
      <c r="A772" s="61"/>
      <c r="B772" s="59"/>
    </row>
    <row r="773" spans="1:2" x14ac:dyDescent="0.25">
      <c r="A773" s="61"/>
      <c r="B773" s="59"/>
    </row>
    <row r="774" spans="1:2" x14ac:dyDescent="0.25">
      <c r="A774" s="61"/>
      <c r="B774" s="59"/>
    </row>
    <row r="775" spans="1:2" x14ac:dyDescent="0.25">
      <c r="A775" s="61"/>
      <c r="B775" s="59"/>
    </row>
    <row r="776" spans="1:2" x14ac:dyDescent="0.25">
      <c r="A776" s="61"/>
      <c r="B776" s="59"/>
    </row>
    <row r="777" spans="1:2" x14ac:dyDescent="0.25">
      <c r="A777" s="61"/>
      <c r="B777" s="59"/>
    </row>
    <row r="778" spans="1:2" x14ac:dyDescent="0.25">
      <c r="A778" s="61"/>
      <c r="B778" s="59"/>
    </row>
    <row r="779" spans="1:2" x14ac:dyDescent="0.25">
      <c r="A779" s="61"/>
      <c r="B779" s="59"/>
    </row>
    <row r="780" spans="1:2" x14ac:dyDescent="0.25">
      <c r="A780" s="61"/>
      <c r="B780" s="59"/>
    </row>
    <row r="781" spans="1:2" x14ac:dyDescent="0.25">
      <c r="A781" s="61"/>
      <c r="B781" s="59"/>
    </row>
    <row r="782" spans="1:2" x14ac:dyDescent="0.25">
      <c r="A782" s="61"/>
      <c r="B782" s="59"/>
    </row>
    <row r="783" spans="1:2" x14ac:dyDescent="0.25">
      <c r="A783" s="61"/>
      <c r="B783" s="59"/>
    </row>
    <row r="784" spans="1:2" x14ac:dyDescent="0.25">
      <c r="A784" s="61"/>
      <c r="B784" s="59"/>
    </row>
    <row r="785" spans="1:2" x14ac:dyDescent="0.25">
      <c r="A785" s="61"/>
      <c r="B785" s="59"/>
    </row>
    <row r="786" spans="1:2" x14ac:dyDescent="0.25">
      <c r="A786" s="61"/>
      <c r="B786" s="59"/>
    </row>
    <row r="787" spans="1:2" x14ac:dyDescent="0.25">
      <c r="A787" s="61"/>
      <c r="B787" s="59"/>
    </row>
    <row r="788" spans="1:2" x14ac:dyDescent="0.25">
      <c r="A788" s="61"/>
      <c r="B788" s="59"/>
    </row>
    <row r="789" spans="1:2" x14ac:dyDescent="0.25">
      <c r="A789" s="61"/>
      <c r="B789" s="59"/>
    </row>
    <row r="790" spans="1:2" x14ac:dyDescent="0.25">
      <c r="A790" s="61"/>
      <c r="B790" s="59"/>
    </row>
    <row r="791" spans="1:2" x14ac:dyDescent="0.25">
      <c r="A791" s="61"/>
      <c r="B791" s="59"/>
    </row>
    <row r="792" spans="1:2" x14ac:dyDescent="0.25">
      <c r="A792" s="61"/>
      <c r="B792" s="59"/>
    </row>
    <row r="793" spans="1:2" x14ac:dyDescent="0.25">
      <c r="A793" s="61"/>
      <c r="B793" s="59"/>
    </row>
    <row r="794" spans="1:2" x14ac:dyDescent="0.25">
      <c r="A794" s="61"/>
      <c r="B794" s="59"/>
    </row>
    <row r="795" spans="1:2" x14ac:dyDescent="0.25">
      <c r="A795" s="61"/>
      <c r="B795" s="59"/>
    </row>
    <row r="796" spans="1:2" x14ac:dyDescent="0.25">
      <c r="A796" s="61"/>
      <c r="B796" s="59"/>
    </row>
    <row r="797" spans="1:2" x14ac:dyDescent="0.25">
      <c r="A797" s="61"/>
      <c r="B797" s="59"/>
    </row>
    <row r="798" spans="1:2" x14ac:dyDescent="0.25">
      <c r="A798" s="61"/>
      <c r="B798" s="59"/>
    </row>
    <row r="799" spans="1:2" x14ac:dyDescent="0.25">
      <c r="A799" s="61"/>
      <c r="B799" s="59"/>
    </row>
    <row r="800" spans="1:2" x14ac:dyDescent="0.25">
      <c r="A800" s="61"/>
      <c r="B800" s="59"/>
    </row>
    <row r="801" spans="1:2" x14ac:dyDescent="0.25">
      <c r="A801" s="61"/>
      <c r="B801" s="59"/>
    </row>
    <row r="802" spans="1:2" x14ac:dyDescent="0.25">
      <c r="A802" s="61"/>
      <c r="B802" s="59"/>
    </row>
    <row r="803" spans="1:2" x14ac:dyDescent="0.25">
      <c r="A803" s="61"/>
      <c r="B803" s="59"/>
    </row>
    <row r="804" spans="1:2" x14ac:dyDescent="0.25">
      <c r="A804" s="61"/>
      <c r="B804" s="59"/>
    </row>
    <row r="805" spans="1:2" x14ac:dyDescent="0.25">
      <c r="A805" s="61"/>
      <c r="B805" s="59"/>
    </row>
    <row r="806" spans="1:2" x14ac:dyDescent="0.25">
      <c r="A806" s="61"/>
      <c r="B806" s="59"/>
    </row>
    <row r="807" spans="1:2" x14ac:dyDescent="0.25">
      <c r="A807" s="61"/>
      <c r="B807" s="59"/>
    </row>
    <row r="808" spans="1:2" x14ac:dyDescent="0.25">
      <c r="A808" s="61"/>
      <c r="B808" s="59"/>
    </row>
    <row r="809" spans="1:2" x14ac:dyDescent="0.25">
      <c r="A809" s="61"/>
      <c r="B809" s="59"/>
    </row>
    <row r="810" spans="1:2" x14ac:dyDescent="0.25">
      <c r="A810" s="61"/>
      <c r="B810" s="59"/>
    </row>
    <row r="811" spans="1:2" x14ac:dyDescent="0.25">
      <c r="A811" s="61"/>
      <c r="B811" s="59"/>
    </row>
    <row r="812" spans="1:2" x14ac:dyDescent="0.25">
      <c r="A812" s="61"/>
      <c r="B812" s="59"/>
    </row>
    <row r="813" spans="1:2" x14ac:dyDescent="0.25">
      <c r="A813" s="61"/>
      <c r="B813" s="59"/>
    </row>
    <row r="814" spans="1:2" x14ac:dyDescent="0.25">
      <c r="A814" s="61"/>
      <c r="B814" s="59"/>
    </row>
    <row r="815" spans="1:2" x14ac:dyDescent="0.25">
      <c r="A815" s="61"/>
      <c r="B815" s="59"/>
    </row>
    <row r="816" spans="1:2" x14ac:dyDescent="0.25">
      <c r="A816" s="61"/>
      <c r="B816" s="59"/>
    </row>
    <row r="817" spans="1:2" x14ac:dyDescent="0.25">
      <c r="A817" s="61"/>
      <c r="B817" s="59"/>
    </row>
    <row r="818" spans="1:2" x14ac:dyDescent="0.25">
      <c r="A818" s="61"/>
      <c r="B818" s="59"/>
    </row>
    <row r="819" spans="1:2" x14ac:dyDescent="0.25">
      <c r="A819" s="61"/>
      <c r="B819" s="59"/>
    </row>
    <row r="820" spans="1:2" x14ac:dyDescent="0.25">
      <c r="A820" s="61"/>
      <c r="B820" s="59"/>
    </row>
    <row r="821" spans="1:2" x14ac:dyDescent="0.25">
      <c r="A821" s="61"/>
      <c r="B821" s="59"/>
    </row>
    <row r="822" spans="1:2" x14ac:dyDescent="0.25">
      <c r="A822" s="61"/>
      <c r="B822" s="59"/>
    </row>
    <row r="823" spans="1:2" x14ac:dyDescent="0.25">
      <c r="A823" s="61"/>
      <c r="B823" s="59"/>
    </row>
    <row r="824" spans="1:2" x14ac:dyDescent="0.25">
      <c r="A824" s="61"/>
      <c r="B824" s="59"/>
    </row>
    <row r="825" spans="1:2" x14ac:dyDescent="0.25">
      <c r="A825" s="61"/>
      <c r="B825" s="59"/>
    </row>
    <row r="826" spans="1:2" x14ac:dyDescent="0.25">
      <c r="A826" s="61"/>
      <c r="B826" s="59"/>
    </row>
    <row r="827" spans="1:2" x14ac:dyDescent="0.25">
      <c r="A827" s="61"/>
      <c r="B827" s="59"/>
    </row>
    <row r="828" spans="1:2" x14ac:dyDescent="0.25">
      <c r="A828" s="61"/>
      <c r="B828" s="59"/>
    </row>
    <row r="829" spans="1:2" x14ac:dyDescent="0.25">
      <c r="A829" s="61"/>
      <c r="B829" s="59"/>
    </row>
    <row r="830" spans="1:2" x14ac:dyDescent="0.25">
      <c r="A830" s="61"/>
      <c r="B830" s="59"/>
    </row>
    <row r="831" spans="1:2" x14ac:dyDescent="0.25">
      <c r="A831" s="61"/>
      <c r="B831" s="59"/>
    </row>
    <row r="832" spans="1:2" x14ac:dyDescent="0.25">
      <c r="A832" s="61"/>
      <c r="B832" s="59"/>
    </row>
    <row r="833" spans="1:2" x14ac:dyDescent="0.25">
      <c r="A833" s="61"/>
      <c r="B833" s="59"/>
    </row>
    <row r="834" spans="1:2" x14ac:dyDescent="0.25">
      <c r="A834" s="61"/>
      <c r="B834" s="59"/>
    </row>
    <row r="835" spans="1:2" x14ac:dyDescent="0.25">
      <c r="A835" s="61"/>
      <c r="B835" s="59"/>
    </row>
    <row r="836" spans="1:2" x14ac:dyDescent="0.25">
      <c r="A836" s="61"/>
      <c r="B836" s="59"/>
    </row>
    <row r="837" spans="1:2" x14ac:dyDescent="0.25">
      <c r="A837" s="61"/>
      <c r="B837" s="59"/>
    </row>
    <row r="838" spans="1:2" x14ac:dyDescent="0.25">
      <c r="A838" s="61"/>
      <c r="B838" s="59"/>
    </row>
    <row r="839" spans="1:2" x14ac:dyDescent="0.25">
      <c r="A839" s="61"/>
      <c r="B839" s="59"/>
    </row>
    <row r="840" spans="1:2" x14ac:dyDescent="0.25">
      <c r="A840" s="61"/>
      <c r="B840" s="59"/>
    </row>
    <row r="841" spans="1:2" x14ac:dyDescent="0.25">
      <c r="A841" s="61"/>
      <c r="B841" s="59"/>
    </row>
    <row r="842" spans="1:2" x14ac:dyDescent="0.25">
      <c r="A842" s="61"/>
      <c r="B842" s="59"/>
    </row>
    <row r="843" spans="1:2" x14ac:dyDescent="0.25">
      <c r="A843" s="61"/>
      <c r="B843" s="59"/>
    </row>
    <row r="844" spans="1:2" x14ac:dyDescent="0.25">
      <c r="A844" s="61"/>
      <c r="B844" s="59"/>
    </row>
    <row r="845" spans="1:2" x14ac:dyDescent="0.25">
      <c r="A845" s="61"/>
      <c r="B845" s="59"/>
    </row>
    <row r="846" spans="1:2" x14ac:dyDescent="0.25">
      <c r="A846" s="61"/>
      <c r="B846" s="59"/>
    </row>
    <row r="847" spans="1:2" x14ac:dyDescent="0.25">
      <c r="A847" s="61"/>
      <c r="B847" s="59"/>
    </row>
    <row r="848" spans="1:2" x14ac:dyDescent="0.25">
      <c r="A848" s="61"/>
      <c r="B848" s="59"/>
    </row>
    <row r="849" spans="1:2" x14ac:dyDescent="0.25">
      <c r="A849" s="61"/>
      <c r="B849" s="59"/>
    </row>
    <row r="850" spans="1:2" x14ac:dyDescent="0.25">
      <c r="A850" s="61"/>
      <c r="B850" s="59"/>
    </row>
    <row r="851" spans="1:2" x14ac:dyDescent="0.25">
      <c r="A851" s="61"/>
      <c r="B851" s="59"/>
    </row>
    <row r="852" spans="1:2" x14ac:dyDescent="0.25">
      <c r="A852" s="61"/>
      <c r="B852" s="59"/>
    </row>
    <row r="853" spans="1:2" x14ac:dyDescent="0.25">
      <c r="A853" s="61"/>
      <c r="B853" s="59"/>
    </row>
    <row r="854" spans="1:2" x14ac:dyDescent="0.25">
      <c r="A854" s="61"/>
      <c r="B854" s="59"/>
    </row>
    <row r="855" spans="1:2" x14ac:dyDescent="0.25">
      <c r="A855" s="61"/>
      <c r="B855" s="59"/>
    </row>
    <row r="856" spans="1:2" x14ac:dyDescent="0.25">
      <c r="A856" s="61"/>
      <c r="B856" s="59"/>
    </row>
    <row r="857" spans="1:2" x14ac:dyDescent="0.25">
      <c r="A857" s="61"/>
      <c r="B857" s="59"/>
    </row>
    <row r="858" spans="1:2" x14ac:dyDescent="0.25">
      <c r="A858" s="61"/>
      <c r="B858" s="59"/>
    </row>
    <row r="859" spans="1:2" x14ac:dyDescent="0.25">
      <c r="A859" s="61"/>
      <c r="B859" s="59"/>
    </row>
    <row r="860" spans="1:2" x14ac:dyDescent="0.25">
      <c r="A860" s="61"/>
      <c r="B860" s="59"/>
    </row>
    <row r="861" spans="1:2" x14ac:dyDescent="0.25">
      <c r="A861" s="61"/>
      <c r="B861" s="59"/>
    </row>
    <row r="862" spans="1:2" x14ac:dyDescent="0.25">
      <c r="A862" s="61"/>
      <c r="B862" s="59"/>
    </row>
    <row r="863" spans="1:2" x14ac:dyDescent="0.25">
      <c r="A863" s="61"/>
      <c r="B863" s="59"/>
    </row>
    <row r="864" spans="1:2" x14ac:dyDescent="0.25">
      <c r="A864" s="61"/>
      <c r="B864" s="59"/>
    </row>
    <row r="865" spans="1:2" x14ac:dyDescent="0.25">
      <c r="A865" s="61"/>
      <c r="B865" s="59"/>
    </row>
    <row r="866" spans="1:2" x14ac:dyDescent="0.25">
      <c r="A866" s="61"/>
      <c r="B866" s="59"/>
    </row>
    <row r="867" spans="1:2" x14ac:dyDescent="0.25">
      <c r="A867" s="61"/>
      <c r="B867" s="59"/>
    </row>
    <row r="868" spans="1:2" x14ac:dyDescent="0.25">
      <c r="A868" s="61"/>
      <c r="B868" s="59"/>
    </row>
    <row r="869" spans="1:2" x14ac:dyDescent="0.25">
      <c r="A869" s="61"/>
      <c r="B869" s="59"/>
    </row>
    <row r="870" spans="1:2" x14ac:dyDescent="0.25">
      <c r="A870" s="61"/>
      <c r="B870" s="59"/>
    </row>
    <row r="871" spans="1:2" x14ac:dyDescent="0.25">
      <c r="A871" s="61"/>
      <c r="B871" s="59"/>
    </row>
    <row r="872" spans="1:2" x14ac:dyDescent="0.25">
      <c r="A872" s="61"/>
      <c r="B872" s="59"/>
    </row>
    <row r="873" spans="1:2" x14ac:dyDescent="0.25">
      <c r="A873" s="61"/>
      <c r="B873" s="59"/>
    </row>
    <row r="874" spans="1:2" x14ac:dyDescent="0.25">
      <c r="A874" s="61"/>
      <c r="B874" s="59"/>
    </row>
    <row r="875" spans="1:2" x14ac:dyDescent="0.25">
      <c r="A875" s="61"/>
      <c r="B875" s="59"/>
    </row>
    <row r="876" spans="1:2" x14ac:dyDescent="0.25">
      <c r="A876" s="61"/>
      <c r="B876" s="59"/>
    </row>
    <row r="877" spans="1:2" x14ac:dyDescent="0.25">
      <c r="A877" s="61"/>
      <c r="B877" s="59"/>
    </row>
    <row r="878" spans="1:2" x14ac:dyDescent="0.25">
      <c r="A878" s="61"/>
      <c r="B878" s="59"/>
    </row>
    <row r="879" spans="1:2" x14ac:dyDescent="0.25">
      <c r="A879" s="61"/>
      <c r="B879" s="59"/>
    </row>
    <row r="880" spans="1:2" x14ac:dyDescent="0.25">
      <c r="A880" s="61"/>
      <c r="B880" s="59"/>
    </row>
    <row r="881" spans="1:2" x14ac:dyDescent="0.25">
      <c r="A881" s="61"/>
      <c r="B881" s="59"/>
    </row>
    <row r="882" spans="1:2" x14ac:dyDescent="0.25">
      <c r="A882" s="61"/>
      <c r="B882" s="59"/>
    </row>
    <row r="883" spans="1:2" x14ac:dyDescent="0.25">
      <c r="A883" s="61"/>
      <c r="B883" s="59"/>
    </row>
    <row r="884" spans="1:2" x14ac:dyDescent="0.25">
      <c r="A884" s="61"/>
      <c r="B884" s="59"/>
    </row>
    <row r="885" spans="1:2" x14ac:dyDescent="0.25">
      <c r="A885" s="61"/>
      <c r="B885" s="59"/>
    </row>
    <row r="886" spans="1:2" x14ac:dyDescent="0.25">
      <c r="A886" s="61"/>
      <c r="B886" s="59"/>
    </row>
    <row r="887" spans="1:2" x14ac:dyDescent="0.25">
      <c r="A887" s="61"/>
      <c r="B887" s="59"/>
    </row>
    <row r="888" spans="1:2" x14ac:dyDescent="0.25">
      <c r="A888" s="61"/>
      <c r="B888" s="59"/>
    </row>
    <row r="889" spans="1:2" x14ac:dyDescent="0.25">
      <c r="A889" s="61"/>
      <c r="B889" s="59"/>
    </row>
    <row r="890" spans="1:2" x14ac:dyDescent="0.25">
      <c r="A890" s="61"/>
      <c r="B890" s="59"/>
    </row>
    <row r="891" spans="1:2" x14ac:dyDescent="0.25">
      <c r="A891" s="61"/>
      <c r="B891" s="59"/>
    </row>
    <row r="892" spans="1:2" x14ac:dyDescent="0.25">
      <c r="A892" s="61"/>
      <c r="B892" s="59"/>
    </row>
    <row r="893" spans="1:2" x14ac:dyDescent="0.25">
      <c r="A893" s="61"/>
      <c r="B893" s="59"/>
    </row>
    <row r="894" spans="1:2" x14ac:dyDescent="0.25">
      <c r="A894" s="61"/>
      <c r="B894" s="59"/>
    </row>
    <row r="895" spans="1:2" x14ac:dyDescent="0.25">
      <c r="A895" s="61"/>
      <c r="B895" s="59"/>
    </row>
    <row r="896" spans="1:2" x14ac:dyDescent="0.25">
      <c r="A896" s="61"/>
      <c r="B896" s="59"/>
    </row>
    <row r="897" spans="1:2" x14ac:dyDescent="0.25">
      <c r="A897" s="61"/>
      <c r="B897" s="59"/>
    </row>
    <row r="898" spans="1:2" x14ac:dyDescent="0.25">
      <c r="A898" s="61"/>
      <c r="B898" s="59"/>
    </row>
    <row r="899" spans="1:2" x14ac:dyDescent="0.25">
      <c r="A899" s="61"/>
      <c r="B899" s="59"/>
    </row>
    <row r="900" spans="1:2" x14ac:dyDescent="0.25">
      <c r="A900" s="61"/>
      <c r="B900" s="59"/>
    </row>
    <row r="901" spans="1:2" x14ac:dyDescent="0.25">
      <c r="A901" s="61"/>
      <c r="B901" s="59"/>
    </row>
    <row r="902" spans="1:2" x14ac:dyDescent="0.25">
      <c r="A902" s="61"/>
      <c r="B902" s="59"/>
    </row>
    <row r="903" spans="1:2" x14ac:dyDescent="0.25">
      <c r="A903" s="61"/>
      <c r="B903" s="59"/>
    </row>
    <row r="904" spans="1:2" x14ac:dyDescent="0.25">
      <c r="A904" s="61"/>
      <c r="B904" s="59"/>
    </row>
    <row r="905" spans="1:2" x14ac:dyDescent="0.25">
      <c r="A905" s="61"/>
      <c r="B905" s="59"/>
    </row>
    <row r="906" spans="1:2" x14ac:dyDescent="0.25">
      <c r="A906" s="61"/>
      <c r="B906" s="59"/>
    </row>
    <row r="907" spans="1:2" x14ac:dyDescent="0.25">
      <c r="A907" s="61"/>
      <c r="B907" s="59"/>
    </row>
    <row r="908" spans="1:2" x14ac:dyDescent="0.25">
      <c r="A908" s="61"/>
      <c r="B908" s="59"/>
    </row>
    <row r="909" spans="1:2" x14ac:dyDescent="0.25">
      <c r="A909" s="61"/>
      <c r="B909" s="59"/>
    </row>
    <row r="910" spans="1:2" x14ac:dyDescent="0.25">
      <c r="A910" s="61"/>
      <c r="B910" s="59"/>
    </row>
    <row r="911" spans="1:2" x14ac:dyDescent="0.25">
      <c r="A911" s="61"/>
      <c r="B911" s="59"/>
    </row>
    <row r="912" spans="1:2" x14ac:dyDescent="0.25">
      <c r="A912" s="61"/>
      <c r="B912" s="59"/>
    </row>
    <row r="913" spans="1:2" x14ac:dyDescent="0.25">
      <c r="A913" s="61"/>
      <c r="B913" s="59"/>
    </row>
    <row r="914" spans="1:2" x14ac:dyDescent="0.25">
      <c r="A914" s="61"/>
      <c r="B914" s="59"/>
    </row>
    <row r="915" spans="1:2" x14ac:dyDescent="0.25">
      <c r="A915" s="61"/>
      <c r="B915" s="59"/>
    </row>
    <row r="916" spans="1:2" x14ac:dyDescent="0.25">
      <c r="A916" s="61"/>
      <c r="B916" s="59"/>
    </row>
    <row r="917" spans="1:2" x14ac:dyDescent="0.25">
      <c r="A917" s="61"/>
      <c r="B917" s="59"/>
    </row>
    <row r="918" spans="1:2" x14ac:dyDescent="0.25">
      <c r="A918" s="61"/>
      <c r="B918" s="59"/>
    </row>
    <row r="919" spans="1:2" x14ac:dyDescent="0.25">
      <c r="A919" s="61"/>
      <c r="B919" s="59"/>
    </row>
    <row r="920" spans="1:2" x14ac:dyDescent="0.25">
      <c r="A920" s="61"/>
      <c r="B920" s="59"/>
    </row>
    <row r="921" spans="1:2" x14ac:dyDescent="0.25">
      <c r="A921" s="61"/>
      <c r="B921" s="59"/>
    </row>
    <row r="922" spans="1:2" x14ac:dyDescent="0.25">
      <c r="A922" s="61"/>
      <c r="B922" s="59"/>
    </row>
    <row r="923" spans="1:2" x14ac:dyDescent="0.25">
      <c r="A923" s="61"/>
      <c r="B923" s="59"/>
    </row>
    <row r="924" spans="1:2" x14ac:dyDescent="0.25">
      <c r="A924" s="61"/>
      <c r="B924" s="59"/>
    </row>
    <row r="925" spans="1:2" x14ac:dyDescent="0.25">
      <c r="A925" s="61"/>
      <c r="B925" s="59"/>
    </row>
    <row r="926" spans="1:2" x14ac:dyDescent="0.25">
      <c r="A926" s="61"/>
      <c r="B926" s="59"/>
    </row>
    <row r="927" spans="1:2" x14ac:dyDescent="0.25">
      <c r="A927" s="61"/>
      <c r="B927" s="59"/>
    </row>
    <row r="928" spans="1:2" x14ac:dyDescent="0.25">
      <c r="A928" s="61"/>
      <c r="B928" s="59"/>
    </row>
    <row r="929" spans="1:2" x14ac:dyDescent="0.25">
      <c r="A929" s="61"/>
      <c r="B929" s="59"/>
    </row>
    <row r="930" spans="1:2" x14ac:dyDescent="0.25">
      <c r="A930" s="61"/>
      <c r="B930" s="59"/>
    </row>
    <row r="931" spans="1:2" x14ac:dyDescent="0.25">
      <c r="A931" s="61"/>
      <c r="B931" s="59"/>
    </row>
    <row r="932" spans="1:2" x14ac:dyDescent="0.25">
      <c r="A932" s="61"/>
      <c r="B932" s="59"/>
    </row>
    <row r="933" spans="1:2" x14ac:dyDescent="0.25">
      <c r="A933" s="61"/>
      <c r="B933" s="59"/>
    </row>
    <row r="934" spans="1:2" x14ac:dyDescent="0.25">
      <c r="A934" s="61"/>
      <c r="B934" s="59"/>
    </row>
    <row r="935" spans="1:2" x14ac:dyDescent="0.25">
      <c r="A935" s="61"/>
      <c r="B935" s="59"/>
    </row>
    <row r="936" spans="1:2" x14ac:dyDescent="0.25">
      <c r="A936" s="61"/>
      <c r="B936" s="59"/>
    </row>
    <row r="937" spans="1:2" x14ac:dyDescent="0.25">
      <c r="A937" s="61"/>
      <c r="B937" s="59"/>
    </row>
    <row r="938" spans="1:2" x14ac:dyDescent="0.25">
      <c r="A938" s="61"/>
      <c r="B938" s="59"/>
    </row>
    <row r="939" spans="1:2" x14ac:dyDescent="0.25">
      <c r="A939" s="61"/>
      <c r="B939" s="59"/>
    </row>
    <row r="940" spans="1:2" x14ac:dyDescent="0.25">
      <c r="A940" s="61"/>
      <c r="B940" s="59"/>
    </row>
    <row r="941" spans="1:2" x14ac:dyDescent="0.25">
      <c r="A941" s="61"/>
      <c r="B941" s="59"/>
    </row>
    <row r="942" spans="1:2" x14ac:dyDescent="0.25">
      <c r="A942" s="61"/>
      <c r="B942" s="59"/>
    </row>
    <row r="943" spans="1:2" x14ac:dyDescent="0.25">
      <c r="A943" s="61"/>
      <c r="B943" s="59"/>
    </row>
    <row r="944" spans="1:2" x14ac:dyDescent="0.25">
      <c r="A944" s="61"/>
      <c r="B944" s="59"/>
    </row>
    <row r="945" spans="1:2" x14ac:dyDescent="0.25">
      <c r="A945" s="61"/>
      <c r="B945" s="59"/>
    </row>
    <row r="946" spans="1:2" x14ac:dyDescent="0.25">
      <c r="A946" s="61"/>
      <c r="B946" s="59"/>
    </row>
    <row r="947" spans="1:2" x14ac:dyDescent="0.25">
      <c r="A947" s="61"/>
      <c r="B947" s="59"/>
    </row>
    <row r="948" spans="1:2" x14ac:dyDescent="0.25">
      <c r="A948" s="61"/>
      <c r="B948" s="59"/>
    </row>
    <row r="949" spans="1:2" x14ac:dyDescent="0.25">
      <c r="A949" s="61"/>
      <c r="B949" s="59"/>
    </row>
    <row r="950" spans="1:2" x14ac:dyDescent="0.25">
      <c r="A950" s="61"/>
      <c r="B950" s="59"/>
    </row>
    <row r="951" spans="1:2" x14ac:dyDescent="0.25">
      <c r="A951" s="61"/>
      <c r="B951" s="59"/>
    </row>
    <row r="952" spans="1:2" x14ac:dyDescent="0.25">
      <c r="A952" s="61"/>
      <c r="B952" s="59"/>
    </row>
    <row r="953" spans="1:2" x14ac:dyDescent="0.25">
      <c r="A953" s="61"/>
      <c r="B953" s="59"/>
    </row>
    <row r="954" spans="1:2" x14ac:dyDescent="0.25">
      <c r="A954" s="61"/>
      <c r="B954" s="59"/>
    </row>
    <row r="955" spans="1:2" x14ac:dyDescent="0.25">
      <c r="A955" s="61"/>
      <c r="B955" s="59"/>
    </row>
    <row r="956" spans="1:2" x14ac:dyDescent="0.25">
      <c r="A956" s="61"/>
      <c r="B956" s="59"/>
    </row>
    <row r="957" spans="1:2" x14ac:dyDescent="0.25">
      <c r="A957" s="61"/>
      <c r="B957" s="59"/>
    </row>
    <row r="958" spans="1:2" x14ac:dyDescent="0.25">
      <c r="A958" s="61"/>
      <c r="B958" s="59"/>
    </row>
    <row r="959" spans="1:2" x14ac:dyDescent="0.25">
      <c r="A959" s="61"/>
      <c r="B959" s="59"/>
    </row>
    <row r="960" spans="1:2" x14ac:dyDescent="0.25">
      <c r="A960" s="61"/>
      <c r="B960" s="59"/>
    </row>
    <row r="961" spans="1:2" x14ac:dyDescent="0.25">
      <c r="A961" s="61"/>
      <c r="B961" s="59"/>
    </row>
    <row r="962" spans="1:2" x14ac:dyDescent="0.25">
      <c r="A962" s="61"/>
      <c r="B962" s="59"/>
    </row>
    <row r="963" spans="1:2" x14ac:dyDescent="0.25">
      <c r="A963" s="61"/>
      <c r="B963" s="59"/>
    </row>
    <row r="964" spans="1:2" x14ac:dyDescent="0.25">
      <c r="A964" s="61"/>
      <c r="B964" s="59"/>
    </row>
    <row r="965" spans="1:2" x14ac:dyDescent="0.25">
      <c r="A965" s="61"/>
      <c r="B965" s="59"/>
    </row>
    <row r="966" spans="1:2" x14ac:dyDescent="0.25">
      <c r="A966" s="61"/>
      <c r="B966" s="59"/>
    </row>
    <row r="967" spans="1:2" x14ac:dyDescent="0.25">
      <c r="A967" s="61"/>
      <c r="B967" s="59"/>
    </row>
    <row r="968" spans="1:2" x14ac:dyDescent="0.25">
      <c r="A968" s="61"/>
      <c r="B968" s="59"/>
    </row>
    <row r="969" spans="1:2" x14ac:dyDescent="0.25">
      <c r="A969" s="61"/>
      <c r="B969" s="59"/>
    </row>
    <row r="970" spans="1:2" x14ac:dyDescent="0.25">
      <c r="A970" s="61"/>
      <c r="B970" s="59"/>
    </row>
    <row r="971" spans="1:2" x14ac:dyDescent="0.25">
      <c r="A971" s="61"/>
      <c r="B971" s="59"/>
    </row>
    <row r="972" spans="1:2" x14ac:dyDescent="0.25">
      <c r="A972" s="61"/>
      <c r="B972" s="59"/>
    </row>
    <row r="973" spans="1:2" x14ac:dyDescent="0.25">
      <c r="A973" s="61"/>
      <c r="B973" s="59"/>
    </row>
    <row r="974" spans="1:2" x14ac:dyDescent="0.25">
      <c r="A974" s="61"/>
      <c r="B974" s="59"/>
    </row>
    <row r="975" spans="1:2" x14ac:dyDescent="0.25">
      <c r="A975" s="61"/>
      <c r="B975" s="59"/>
    </row>
    <row r="976" spans="1:2" x14ac:dyDescent="0.25">
      <c r="A976" s="61"/>
      <c r="B976" s="59"/>
    </row>
    <row r="977" spans="1:2" x14ac:dyDescent="0.25">
      <c r="A977" s="61"/>
      <c r="B977" s="59"/>
    </row>
    <row r="978" spans="1:2" x14ac:dyDescent="0.25">
      <c r="A978" s="61"/>
      <c r="B978" s="59"/>
    </row>
    <row r="979" spans="1:2" x14ac:dyDescent="0.25">
      <c r="A979" s="61"/>
      <c r="B979" s="59"/>
    </row>
    <row r="980" spans="1:2" x14ac:dyDescent="0.25">
      <c r="A980" s="61"/>
      <c r="B980" s="59"/>
    </row>
    <row r="981" spans="1:2" x14ac:dyDescent="0.25">
      <c r="A981" s="61"/>
      <c r="B981" s="59"/>
    </row>
    <row r="982" spans="1:2" x14ac:dyDescent="0.25">
      <c r="A982" s="61"/>
      <c r="B982" s="59"/>
    </row>
    <row r="983" spans="1:2" x14ac:dyDescent="0.25">
      <c r="A983" s="61"/>
      <c r="B983" s="59"/>
    </row>
    <row r="984" spans="1:2" x14ac:dyDescent="0.25">
      <c r="A984" s="61"/>
      <c r="B984" s="59"/>
    </row>
    <row r="985" spans="1:2" x14ac:dyDescent="0.25">
      <c r="A985" s="61"/>
      <c r="B985" s="59"/>
    </row>
    <row r="986" spans="1:2" x14ac:dyDescent="0.25">
      <c r="A986" s="61"/>
      <c r="B986" s="59"/>
    </row>
    <row r="987" spans="1:2" x14ac:dyDescent="0.25">
      <c r="A987" s="61"/>
      <c r="B987" s="59"/>
    </row>
    <row r="988" spans="1:2" x14ac:dyDescent="0.25">
      <c r="A988" s="61"/>
      <c r="B988" s="59"/>
    </row>
    <row r="989" spans="1:2" x14ac:dyDescent="0.25">
      <c r="A989" s="61"/>
      <c r="B989" s="59"/>
    </row>
    <row r="990" spans="1:2" x14ac:dyDescent="0.25">
      <c r="A990" s="61"/>
      <c r="B990" s="59"/>
    </row>
    <row r="991" spans="1:2" x14ac:dyDescent="0.25">
      <c r="A991" s="61"/>
      <c r="B991" s="59"/>
    </row>
    <row r="992" spans="1:2" x14ac:dyDescent="0.25">
      <c r="A992" s="61"/>
      <c r="B992" s="59"/>
    </row>
    <row r="993" spans="1:2" x14ac:dyDescent="0.25">
      <c r="A993" s="61"/>
      <c r="B993" s="59"/>
    </row>
    <row r="994" spans="1:2" x14ac:dyDescent="0.25">
      <c r="A994" s="61"/>
      <c r="B994" s="59"/>
    </row>
    <row r="995" spans="1:2" x14ac:dyDescent="0.25">
      <c r="A995" s="61"/>
      <c r="B995" s="59"/>
    </row>
    <row r="996" spans="1:2" x14ac:dyDescent="0.25">
      <c r="A996" s="61"/>
      <c r="B996" s="59"/>
    </row>
    <row r="997" spans="1:2" x14ac:dyDescent="0.25">
      <c r="A997" s="61"/>
      <c r="B997" s="59"/>
    </row>
    <row r="998" spans="1:2" x14ac:dyDescent="0.25">
      <c r="A998" s="61"/>
      <c r="B998" s="59"/>
    </row>
    <row r="999" spans="1:2" x14ac:dyDescent="0.25">
      <c r="A999" s="61"/>
      <c r="B999" s="59"/>
    </row>
    <row r="1000" spans="1:2" x14ac:dyDescent="0.25">
      <c r="A1000" s="61"/>
      <c r="B1000" s="59"/>
    </row>
    <row r="1001" spans="1:2" x14ac:dyDescent="0.25">
      <c r="A1001" s="61"/>
      <c r="B1001" s="59"/>
    </row>
    <row r="1002" spans="1:2" x14ac:dyDescent="0.25">
      <c r="A1002" s="61"/>
      <c r="B1002" s="59"/>
    </row>
    <row r="1003" spans="1:2" x14ac:dyDescent="0.25">
      <c r="A1003" s="61"/>
      <c r="B1003" s="59"/>
    </row>
    <row r="1004" spans="1:2" x14ac:dyDescent="0.25">
      <c r="A1004" s="61"/>
      <c r="B1004" s="59"/>
    </row>
    <row r="1005" spans="1:2" x14ac:dyDescent="0.25">
      <c r="A1005" s="61"/>
      <c r="B1005" s="59"/>
    </row>
    <row r="1006" spans="1:2" x14ac:dyDescent="0.25">
      <c r="A1006" s="61"/>
      <c r="B1006" s="59"/>
    </row>
    <row r="1007" spans="1:2" x14ac:dyDescent="0.25">
      <c r="A1007" s="61"/>
      <c r="B1007" s="59"/>
    </row>
    <row r="1008" spans="1:2" x14ac:dyDescent="0.25">
      <c r="A1008" s="61"/>
      <c r="B1008" s="59"/>
    </row>
    <row r="1009" spans="1:2" x14ac:dyDescent="0.25">
      <c r="A1009" s="61"/>
      <c r="B1009" s="59"/>
    </row>
    <row r="1010" spans="1:2" x14ac:dyDescent="0.25">
      <c r="A1010" s="61"/>
      <c r="B1010" s="59"/>
    </row>
    <row r="1011" spans="1:2" x14ac:dyDescent="0.25">
      <c r="A1011" s="61"/>
      <c r="B1011" s="59"/>
    </row>
    <row r="1012" spans="1:2" x14ac:dyDescent="0.25">
      <c r="A1012" s="61"/>
      <c r="B1012" s="59"/>
    </row>
    <row r="1013" spans="1:2" x14ac:dyDescent="0.25">
      <c r="A1013" s="61"/>
      <c r="B1013" s="59"/>
    </row>
    <row r="1014" spans="1:2" x14ac:dyDescent="0.25">
      <c r="A1014" s="61"/>
      <c r="B1014" s="59"/>
    </row>
    <row r="1015" spans="1:2" x14ac:dyDescent="0.25">
      <c r="A1015" s="61"/>
      <c r="B1015" s="59"/>
    </row>
    <row r="1016" spans="1:2" x14ac:dyDescent="0.25">
      <c r="A1016" s="61"/>
      <c r="B1016" s="59"/>
    </row>
    <row r="1017" spans="1:2" x14ac:dyDescent="0.25">
      <c r="A1017" s="61"/>
      <c r="B1017" s="59"/>
    </row>
    <row r="1018" spans="1:2" x14ac:dyDescent="0.25">
      <c r="A1018" s="61"/>
      <c r="B1018" s="59"/>
    </row>
    <row r="1019" spans="1:2" x14ac:dyDescent="0.25">
      <c r="A1019" s="61"/>
      <c r="B1019" s="59"/>
    </row>
    <row r="1020" spans="1:2" x14ac:dyDescent="0.25">
      <c r="A1020" s="61"/>
      <c r="B1020" s="59"/>
    </row>
    <row r="1021" spans="1:2" x14ac:dyDescent="0.25">
      <c r="A1021" s="61"/>
      <c r="B1021" s="59"/>
    </row>
    <row r="1022" spans="1:2" x14ac:dyDescent="0.25">
      <c r="A1022" s="61"/>
      <c r="B1022" s="59"/>
    </row>
    <row r="1023" spans="1:2" x14ac:dyDescent="0.25">
      <c r="A1023" s="61"/>
      <c r="B1023" s="59"/>
    </row>
    <row r="1024" spans="1:2" x14ac:dyDescent="0.25">
      <c r="A1024" s="61"/>
      <c r="B1024" s="59"/>
    </row>
    <row r="1025" spans="1:2" x14ac:dyDescent="0.25">
      <c r="A1025" s="61"/>
      <c r="B1025" s="59"/>
    </row>
    <row r="1026" spans="1:2" x14ac:dyDescent="0.25">
      <c r="A1026" s="61"/>
      <c r="B1026" s="59"/>
    </row>
    <row r="1027" spans="1:2" x14ac:dyDescent="0.25">
      <c r="A1027" s="61"/>
      <c r="B1027" s="59"/>
    </row>
    <row r="1028" spans="1:2" x14ac:dyDescent="0.25">
      <c r="A1028" s="61"/>
      <c r="B1028" s="59"/>
    </row>
    <row r="1029" spans="1:2" x14ac:dyDescent="0.25">
      <c r="A1029" s="61"/>
      <c r="B1029" s="59"/>
    </row>
    <row r="1030" spans="1:2" x14ac:dyDescent="0.25">
      <c r="A1030" s="61"/>
      <c r="B1030" s="59"/>
    </row>
    <row r="1031" spans="1:2" x14ac:dyDescent="0.25">
      <c r="A1031" s="61"/>
      <c r="B1031" s="59"/>
    </row>
    <row r="1032" spans="1:2" x14ac:dyDescent="0.25">
      <c r="A1032" s="61"/>
      <c r="B1032" s="59"/>
    </row>
    <row r="1033" spans="1:2" x14ac:dyDescent="0.25">
      <c r="A1033" s="61"/>
      <c r="B1033" s="59"/>
    </row>
    <row r="1034" spans="1:2" x14ac:dyDescent="0.25">
      <c r="A1034" s="61"/>
      <c r="B1034" s="59"/>
    </row>
    <row r="1035" spans="1:2" x14ac:dyDescent="0.25">
      <c r="A1035" s="61"/>
      <c r="B1035" s="59"/>
    </row>
    <row r="1036" spans="1:2" x14ac:dyDescent="0.25">
      <c r="A1036" s="61"/>
      <c r="B1036" s="59"/>
    </row>
    <row r="1037" spans="1:2" x14ac:dyDescent="0.25">
      <c r="A1037" s="61"/>
      <c r="B1037" s="59"/>
    </row>
    <row r="1038" spans="1:2" x14ac:dyDescent="0.25">
      <c r="A1038" s="61"/>
      <c r="B1038" s="59"/>
    </row>
    <row r="1039" spans="1:2" x14ac:dyDescent="0.25">
      <c r="A1039" s="61"/>
      <c r="B1039" s="59"/>
    </row>
    <row r="1040" spans="1:2" x14ac:dyDescent="0.25">
      <c r="A1040" s="61"/>
      <c r="B1040" s="59"/>
    </row>
    <row r="1041" spans="1:2" x14ac:dyDescent="0.25">
      <c r="A1041" s="61"/>
      <c r="B1041" s="59"/>
    </row>
    <row r="1042" spans="1:2" x14ac:dyDescent="0.25">
      <c r="A1042" s="61"/>
      <c r="B1042" s="59"/>
    </row>
    <row r="1043" spans="1:2" x14ac:dyDescent="0.25">
      <c r="A1043" s="61"/>
      <c r="B1043" s="59"/>
    </row>
    <row r="1044" spans="1:2" x14ac:dyDescent="0.25">
      <c r="A1044" s="61"/>
      <c r="B1044" s="59"/>
    </row>
    <row r="1045" spans="1:2" x14ac:dyDescent="0.25">
      <c r="A1045" s="61"/>
      <c r="B1045" s="59"/>
    </row>
    <row r="1046" spans="1:2" x14ac:dyDescent="0.25">
      <c r="A1046" s="61"/>
      <c r="B1046" s="59"/>
    </row>
    <row r="1047" spans="1:2" x14ac:dyDescent="0.25">
      <c r="A1047" s="61"/>
      <c r="B1047" s="59"/>
    </row>
    <row r="1048" spans="1:2" x14ac:dyDescent="0.25">
      <c r="A1048" s="61"/>
      <c r="B1048" s="59"/>
    </row>
    <row r="1049" spans="1:2" x14ac:dyDescent="0.25">
      <c r="A1049" s="61"/>
      <c r="B1049" s="59"/>
    </row>
    <row r="1050" spans="1:2" x14ac:dyDescent="0.25">
      <c r="A1050" s="61"/>
      <c r="B1050" s="59"/>
    </row>
    <row r="1051" spans="1:2" x14ac:dyDescent="0.25">
      <c r="A1051" s="61"/>
      <c r="B1051" s="59"/>
    </row>
    <row r="1052" spans="1:2" x14ac:dyDescent="0.25">
      <c r="A1052" s="61"/>
      <c r="B1052" s="59"/>
    </row>
    <row r="1053" spans="1:2" x14ac:dyDescent="0.25">
      <c r="A1053" s="61"/>
      <c r="B1053" s="59"/>
    </row>
    <row r="1054" spans="1:2" x14ac:dyDescent="0.25">
      <c r="A1054" s="61"/>
      <c r="B1054" s="59"/>
    </row>
    <row r="1055" spans="1:2" x14ac:dyDescent="0.25">
      <c r="A1055" s="61"/>
      <c r="B1055" s="59"/>
    </row>
    <row r="1056" spans="1:2" x14ac:dyDescent="0.25">
      <c r="A1056" s="61"/>
      <c r="B1056" s="59"/>
    </row>
    <row r="1057" spans="1:2" x14ac:dyDescent="0.25">
      <c r="A1057" s="61"/>
      <c r="B1057" s="59"/>
    </row>
    <row r="1058" spans="1:2" x14ac:dyDescent="0.25">
      <c r="A1058" s="61"/>
      <c r="B1058" s="59"/>
    </row>
    <row r="1059" spans="1:2" x14ac:dyDescent="0.25">
      <c r="A1059" s="61"/>
      <c r="B1059" s="59"/>
    </row>
    <row r="1060" spans="1:2" x14ac:dyDescent="0.25">
      <c r="A1060" s="61"/>
      <c r="B1060" s="59"/>
    </row>
    <row r="1061" spans="1:2" x14ac:dyDescent="0.25">
      <c r="A1061" s="61"/>
      <c r="B1061" s="59"/>
    </row>
    <row r="1062" spans="1:2" x14ac:dyDescent="0.25">
      <c r="A1062" s="61"/>
      <c r="B1062" s="59"/>
    </row>
    <row r="1063" spans="1:2" x14ac:dyDescent="0.25">
      <c r="A1063" s="61"/>
      <c r="B1063" s="59"/>
    </row>
    <row r="1064" spans="1:2" x14ac:dyDescent="0.25">
      <c r="A1064" s="61"/>
      <c r="B1064" s="59"/>
    </row>
    <row r="1065" spans="1:2" x14ac:dyDescent="0.25">
      <c r="A1065" s="61"/>
      <c r="B1065" s="59"/>
    </row>
    <row r="1066" spans="1:2" x14ac:dyDescent="0.25">
      <c r="A1066" s="61"/>
      <c r="B1066" s="59"/>
    </row>
    <row r="1067" spans="1:2" x14ac:dyDescent="0.25">
      <c r="A1067" s="61"/>
      <c r="B1067" s="59"/>
    </row>
    <row r="1068" spans="1:2" x14ac:dyDescent="0.25">
      <c r="A1068" s="61"/>
      <c r="B1068" s="59"/>
    </row>
    <row r="1069" spans="1:2" x14ac:dyDescent="0.25">
      <c r="A1069" s="61"/>
      <c r="B1069" s="59"/>
    </row>
    <row r="1070" spans="1:2" x14ac:dyDescent="0.25">
      <c r="A1070" s="61"/>
      <c r="B1070" s="59"/>
    </row>
    <row r="1071" spans="1:2" x14ac:dyDescent="0.25">
      <c r="A1071" s="61"/>
      <c r="B1071" s="59"/>
    </row>
    <row r="1072" spans="1:2" x14ac:dyDescent="0.25">
      <c r="A1072" s="61"/>
      <c r="B1072" s="59"/>
    </row>
    <row r="1073" spans="1:2" x14ac:dyDescent="0.25">
      <c r="A1073" s="61"/>
      <c r="B1073" s="59"/>
    </row>
    <row r="1074" spans="1:2" x14ac:dyDescent="0.25">
      <c r="A1074" s="61"/>
      <c r="B1074" s="59"/>
    </row>
    <row r="1075" spans="1:2" x14ac:dyDescent="0.25">
      <c r="A1075" s="61"/>
      <c r="B1075" s="59"/>
    </row>
    <row r="1076" spans="1:2" x14ac:dyDescent="0.25">
      <c r="A1076" s="61"/>
      <c r="B1076" s="59"/>
    </row>
    <row r="1077" spans="1:2" x14ac:dyDescent="0.25">
      <c r="A1077" s="61"/>
      <c r="B1077" s="59"/>
    </row>
    <row r="1078" spans="1:2" x14ac:dyDescent="0.25">
      <c r="A1078" s="61"/>
      <c r="B1078" s="59"/>
    </row>
    <row r="1079" spans="1:2" x14ac:dyDescent="0.25">
      <c r="A1079" s="61"/>
      <c r="B1079" s="59"/>
    </row>
    <row r="1080" spans="1:2" x14ac:dyDescent="0.25">
      <c r="A1080" s="61"/>
      <c r="B1080" s="59"/>
    </row>
    <row r="1081" spans="1:2" x14ac:dyDescent="0.25">
      <c r="A1081" s="61"/>
      <c r="B1081" s="59"/>
    </row>
    <row r="1082" spans="1:2" x14ac:dyDescent="0.25">
      <c r="A1082" s="61"/>
      <c r="B1082" s="59"/>
    </row>
    <row r="1083" spans="1:2" x14ac:dyDescent="0.25">
      <c r="A1083" s="61"/>
      <c r="B1083" s="59"/>
    </row>
    <row r="1084" spans="1:2" x14ac:dyDescent="0.25">
      <c r="A1084" s="61"/>
      <c r="B1084" s="59"/>
    </row>
    <row r="1085" spans="1:2" x14ac:dyDescent="0.25">
      <c r="A1085" s="61"/>
      <c r="B1085" s="59"/>
    </row>
    <row r="1086" spans="1:2" x14ac:dyDescent="0.25">
      <c r="A1086" s="61"/>
      <c r="B1086" s="59"/>
    </row>
    <row r="1087" spans="1:2" x14ac:dyDescent="0.25">
      <c r="A1087" s="61"/>
      <c r="B1087" s="59"/>
    </row>
    <row r="1088" spans="1:2" x14ac:dyDescent="0.25">
      <c r="A1088" s="61"/>
      <c r="B1088" s="59"/>
    </row>
    <row r="1089" spans="1:2" x14ac:dyDescent="0.25">
      <c r="A1089" s="61"/>
      <c r="B1089" s="59"/>
    </row>
    <row r="1090" spans="1:2" x14ac:dyDescent="0.25">
      <c r="A1090" s="61"/>
      <c r="B1090" s="59"/>
    </row>
    <row r="1091" spans="1:2" x14ac:dyDescent="0.25">
      <c r="A1091" s="61"/>
      <c r="B1091" s="59"/>
    </row>
    <row r="1092" spans="1:2" x14ac:dyDescent="0.25">
      <c r="A1092" s="61"/>
      <c r="B1092" s="59"/>
    </row>
    <row r="1093" spans="1:2" x14ac:dyDescent="0.25">
      <c r="A1093" s="61"/>
      <c r="B1093" s="59"/>
    </row>
    <row r="1094" spans="1:2" x14ac:dyDescent="0.25">
      <c r="A1094" s="61"/>
      <c r="B1094" s="59"/>
    </row>
    <row r="1095" spans="1:2" x14ac:dyDescent="0.25">
      <c r="A1095" s="61"/>
      <c r="B1095" s="59"/>
    </row>
    <row r="1096" spans="1:2" x14ac:dyDescent="0.25">
      <c r="A1096" s="61"/>
      <c r="B1096" s="59"/>
    </row>
    <row r="1097" spans="1:2" x14ac:dyDescent="0.25">
      <c r="A1097" s="61"/>
      <c r="B1097" s="59"/>
    </row>
    <row r="1098" spans="1:2" x14ac:dyDescent="0.25">
      <c r="A1098" s="61"/>
      <c r="B1098" s="59"/>
    </row>
    <row r="1099" spans="1:2" x14ac:dyDescent="0.25">
      <c r="A1099" s="61"/>
      <c r="B1099" s="59"/>
    </row>
    <row r="1100" spans="1:2" x14ac:dyDescent="0.25">
      <c r="A1100" s="61"/>
      <c r="B1100" s="59"/>
    </row>
    <row r="1101" spans="1:2" x14ac:dyDescent="0.25">
      <c r="A1101" s="61"/>
      <c r="B1101" s="59"/>
    </row>
    <row r="1102" spans="1:2" x14ac:dyDescent="0.25">
      <c r="A1102" s="61"/>
      <c r="B1102" s="59"/>
    </row>
    <row r="1103" spans="1:2" x14ac:dyDescent="0.25">
      <c r="A1103" s="61"/>
      <c r="B1103" s="59"/>
    </row>
    <row r="1104" spans="1:2" x14ac:dyDescent="0.25">
      <c r="A1104" s="61"/>
      <c r="B1104" s="59"/>
    </row>
    <row r="1105" spans="1:2" x14ac:dyDescent="0.25">
      <c r="A1105" s="61"/>
      <c r="B1105" s="59"/>
    </row>
    <row r="1106" spans="1:2" x14ac:dyDescent="0.25">
      <c r="A1106" s="61"/>
      <c r="B1106" s="59"/>
    </row>
    <row r="1107" spans="1:2" x14ac:dyDescent="0.25">
      <c r="A1107" s="61"/>
      <c r="B1107" s="59"/>
    </row>
    <row r="1108" spans="1:2" x14ac:dyDescent="0.25">
      <c r="A1108" s="61"/>
      <c r="B1108" s="59"/>
    </row>
    <row r="1109" spans="1:2" x14ac:dyDescent="0.25">
      <c r="A1109" s="61"/>
      <c r="B1109" s="59"/>
    </row>
    <row r="1110" spans="1:2" x14ac:dyDescent="0.25">
      <c r="A1110" s="61"/>
      <c r="B1110" s="59"/>
    </row>
    <row r="1111" spans="1:2" x14ac:dyDescent="0.25">
      <c r="A1111" s="61"/>
      <c r="B1111" s="59"/>
    </row>
    <row r="1112" spans="1:2" x14ac:dyDescent="0.25">
      <c r="A1112" s="61"/>
      <c r="B1112" s="59"/>
    </row>
    <row r="1113" spans="1:2" x14ac:dyDescent="0.25">
      <c r="A1113" s="61"/>
      <c r="B1113" s="59"/>
    </row>
    <row r="1114" spans="1:2" x14ac:dyDescent="0.25">
      <c r="A1114" s="61"/>
      <c r="B1114" s="59"/>
    </row>
    <row r="1115" spans="1:2" x14ac:dyDescent="0.25">
      <c r="A1115" s="61"/>
      <c r="B1115" s="59"/>
    </row>
    <row r="1116" spans="1:2" x14ac:dyDescent="0.25">
      <c r="A1116" s="61"/>
      <c r="B1116" s="59"/>
    </row>
    <row r="1117" spans="1:2" x14ac:dyDescent="0.25">
      <c r="A1117" s="61"/>
      <c r="B1117" s="59"/>
    </row>
    <row r="1118" spans="1:2" x14ac:dyDescent="0.25">
      <c r="A1118" s="61"/>
      <c r="B1118" s="59"/>
    </row>
    <row r="1119" spans="1:2" x14ac:dyDescent="0.25">
      <c r="A1119" s="61"/>
      <c r="B1119" s="59"/>
    </row>
    <row r="1120" spans="1:2" x14ac:dyDescent="0.25">
      <c r="A1120" s="61"/>
      <c r="B1120" s="59"/>
    </row>
    <row r="1121" spans="1:2" x14ac:dyDescent="0.25">
      <c r="A1121" s="61"/>
      <c r="B1121" s="59"/>
    </row>
    <row r="1122" spans="1:2" x14ac:dyDescent="0.25">
      <c r="A1122" s="61"/>
      <c r="B1122" s="59"/>
    </row>
    <row r="1123" spans="1:2" x14ac:dyDescent="0.25">
      <c r="A1123" s="61"/>
      <c r="B1123" s="59"/>
    </row>
    <row r="1124" spans="1:2" x14ac:dyDescent="0.25">
      <c r="A1124" s="61"/>
      <c r="B1124" s="59"/>
    </row>
    <row r="1125" spans="1:2" x14ac:dyDescent="0.25">
      <c r="A1125" s="61"/>
      <c r="B1125" s="59"/>
    </row>
    <row r="1126" spans="1:2" x14ac:dyDescent="0.25">
      <c r="A1126" s="61"/>
      <c r="B1126" s="59"/>
    </row>
    <row r="1127" spans="1:2" x14ac:dyDescent="0.25">
      <c r="A1127" s="61"/>
      <c r="B1127" s="59"/>
    </row>
    <row r="1128" spans="1:2" x14ac:dyDescent="0.25">
      <c r="A1128" s="61"/>
      <c r="B1128" s="59"/>
    </row>
    <row r="1129" spans="1:2" x14ac:dyDescent="0.25">
      <c r="A1129" s="61"/>
      <c r="B1129" s="59"/>
    </row>
    <row r="1130" spans="1:2" x14ac:dyDescent="0.25">
      <c r="A1130" s="61"/>
      <c r="B1130" s="59"/>
    </row>
    <row r="1131" spans="1:2" x14ac:dyDescent="0.25">
      <c r="A1131" s="61"/>
      <c r="B1131" s="59"/>
    </row>
    <row r="1132" spans="1:2" x14ac:dyDescent="0.25">
      <c r="A1132" s="61"/>
      <c r="B1132" s="59"/>
    </row>
    <row r="1133" spans="1:2" x14ac:dyDescent="0.25">
      <c r="A1133" s="61"/>
      <c r="B1133" s="59"/>
    </row>
    <row r="1134" spans="1:2" x14ac:dyDescent="0.25">
      <c r="A1134" s="61"/>
      <c r="B1134" s="59"/>
    </row>
    <row r="1135" spans="1:2" x14ac:dyDescent="0.25">
      <c r="A1135" s="61"/>
      <c r="B1135" s="59"/>
    </row>
    <row r="1136" spans="1:2" x14ac:dyDescent="0.25">
      <c r="A1136" s="61"/>
      <c r="B1136" s="59"/>
    </row>
    <row r="1137" spans="1:2" x14ac:dyDescent="0.25">
      <c r="A1137" s="61"/>
      <c r="B1137" s="59"/>
    </row>
    <row r="1138" spans="1:2" x14ac:dyDescent="0.25">
      <c r="A1138" s="61"/>
      <c r="B1138" s="59"/>
    </row>
    <row r="1139" spans="1:2" x14ac:dyDescent="0.25">
      <c r="A1139" s="61"/>
      <c r="B1139" s="59"/>
    </row>
    <row r="1140" spans="1:2" x14ac:dyDescent="0.25">
      <c r="A1140" s="61"/>
      <c r="B1140" s="59"/>
    </row>
    <row r="1141" spans="1:2" x14ac:dyDescent="0.25">
      <c r="A1141" s="61"/>
      <c r="B1141" s="59"/>
    </row>
    <row r="1142" spans="1:2" x14ac:dyDescent="0.25">
      <c r="A1142" s="61"/>
      <c r="B1142" s="59"/>
    </row>
    <row r="1143" spans="1:2" x14ac:dyDescent="0.25">
      <c r="A1143" s="61"/>
      <c r="B1143" s="59"/>
    </row>
    <row r="1144" spans="1:2" x14ac:dyDescent="0.25">
      <c r="A1144" s="61"/>
      <c r="B1144" s="59"/>
    </row>
    <row r="1145" spans="1:2" x14ac:dyDescent="0.25">
      <c r="A1145" s="61"/>
      <c r="B1145" s="59"/>
    </row>
    <row r="1146" spans="1:2" x14ac:dyDescent="0.25">
      <c r="A1146" s="61"/>
      <c r="B1146" s="59"/>
    </row>
    <row r="1147" spans="1:2" x14ac:dyDescent="0.25">
      <c r="A1147" s="61"/>
      <c r="B1147" s="59"/>
    </row>
    <row r="1148" spans="1:2" x14ac:dyDescent="0.25">
      <c r="A1148" s="61"/>
      <c r="B1148" s="59"/>
    </row>
    <row r="1149" spans="1:2" x14ac:dyDescent="0.25">
      <c r="A1149" s="61"/>
      <c r="B1149" s="59"/>
    </row>
    <row r="1150" spans="1:2" x14ac:dyDescent="0.25">
      <c r="A1150" s="61"/>
      <c r="B1150" s="59"/>
    </row>
    <row r="1151" spans="1:2" x14ac:dyDescent="0.25">
      <c r="A1151" s="61"/>
      <c r="B1151" s="59"/>
    </row>
    <row r="1152" spans="1:2" x14ac:dyDescent="0.25">
      <c r="A1152" s="61"/>
      <c r="B1152" s="59"/>
    </row>
    <row r="1153" spans="1:2" x14ac:dyDescent="0.25">
      <c r="A1153" s="61"/>
      <c r="B1153" s="59"/>
    </row>
    <row r="1154" spans="1:2" x14ac:dyDescent="0.25">
      <c r="A1154" s="61"/>
      <c r="B1154" s="59"/>
    </row>
    <row r="1155" spans="1:2" x14ac:dyDescent="0.25">
      <c r="A1155" s="61"/>
      <c r="B1155" s="59"/>
    </row>
    <row r="1156" spans="1:2" x14ac:dyDescent="0.25">
      <c r="A1156" s="61"/>
      <c r="B1156" s="59"/>
    </row>
    <row r="1157" spans="1:2" x14ac:dyDescent="0.25">
      <c r="A1157" s="61"/>
      <c r="B1157" s="59"/>
    </row>
    <row r="1158" spans="1:2" x14ac:dyDescent="0.25">
      <c r="A1158" s="61"/>
      <c r="B1158" s="59"/>
    </row>
    <row r="1159" spans="1:2" x14ac:dyDescent="0.25">
      <c r="A1159" s="61"/>
      <c r="B1159" s="59"/>
    </row>
    <row r="1160" spans="1:2" x14ac:dyDescent="0.25">
      <c r="A1160" s="61"/>
      <c r="B1160" s="59"/>
    </row>
    <row r="1161" spans="1:2" x14ac:dyDescent="0.25">
      <c r="A1161" s="61"/>
      <c r="B1161" s="59"/>
    </row>
    <row r="1162" spans="1:2" x14ac:dyDescent="0.25">
      <c r="A1162" s="61"/>
      <c r="B1162" s="59"/>
    </row>
    <row r="1163" spans="1:2" x14ac:dyDescent="0.25">
      <c r="A1163" s="61"/>
      <c r="B1163" s="59"/>
    </row>
    <row r="1164" spans="1:2" x14ac:dyDescent="0.25">
      <c r="A1164" s="61"/>
      <c r="B1164" s="59"/>
    </row>
    <row r="1165" spans="1:2" x14ac:dyDescent="0.25">
      <c r="A1165" s="61"/>
      <c r="B1165" s="59"/>
    </row>
    <row r="1166" spans="1:2" x14ac:dyDescent="0.25">
      <c r="A1166" s="61"/>
      <c r="B1166" s="59"/>
    </row>
    <row r="1167" spans="1:2" x14ac:dyDescent="0.25">
      <c r="A1167" s="61"/>
      <c r="B1167" s="59"/>
    </row>
    <row r="1168" spans="1:2" x14ac:dyDescent="0.25">
      <c r="A1168" s="61"/>
      <c r="B1168" s="59"/>
    </row>
    <row r="1169" spans="1:2" x14ac:dyDescent="0.25">
      <c r="A1169" s="61"/>
      <c r="B1169" s="59"/>
    </row>
    <row r="1170" spans="1:2" x14ac:dyDescent="0.25">
      <c r="A1170" s="61"/>
      <c r="B1170" s="59"/>
    </row>
    <row r="1171" spans="1:2" x14ac:dyDescent="0.25">
      <c r="A1171" s="61"/>
      <c r="B1171" s="59"/>
    </row>
    <row r="1172" spans="1:2" x14ac:dyDescent="0.25">
      <c r="A1172" s="61"/>
      <c r="B1172" s="59"/>
    </row>
    <row r="1173" spans="1:2" x14ac:dyDescent="0.25">
      <c r="A1173" s="61"/>
      <c r="B1173" s="59"/>
    </row>
    <row r="1174" spans="1:2" x14ac:dyDescent="0.25">
      <c r="A1174" s="61"/>
      <c r="B1174" s="59"/>
    </row>
    <row r="1175" spans="1:2" x14ac:dyDescent="0.25">
      <c r="A1175" s="61"/>
      <c r="B1175" s="59"/>
    </row>
    <row r="1176" spans="1:2" x14ac:dyDescent="0.25">
      <c r="A1176" s="61"/>
      <c r="B1176" s="59"/>
    </row>
    <row r="1177" spans="1:2" x14ac:dyDescent="0.25">
      <c r="A1177" s="61"/>
      <c r="B1177" s="59"/>
    </row>
    <row r="1178" spans="1:2" x14ac:dyDescent="0.25">
      <c r="A1178" s="61"/>
      <c r="B1178" s="59"/>
    </row>
    <row r="1179" spans="1:2" x14ac:dyDescent="0.25">
      <c r="A1179" s="61"/>
      <c r="B1179" s="59"/>
    </row>
    <row r="1180" spans="1:2" x14ac:dyDescent="0.25">
      <c r="A1180" s="61"/>
      <c r="B1180" s="59"/>
    </row>
    <row r="1181" spans="1:2" x14ac:dyDescent="0.25">
      <c r="A1181" s="61"/>
      <c r="B1181" s="59"/>
    </row>
    <row r="1182" spans="1:2" x14ac:dyDescent="0.25">
      <c r="A1182" s="61"/>
      <c r="B1182" s="59"/>
    </row>
    <row r="1183" spans="1:2" x14ac:dyDescent="0.25">
      <c r="A1183" s="61"/>
      <c r="B1183" s="59"/>
    </row>
    <row r="1184" spans="1:2" x14ac:dyDescent="0.25">
      <c r="A1184" s="61"/>
      <c r="B1184" s="59"/>
    </row>
    <row r="1185" spans="1:2" x14ac:dyDescent="0.25">
      <c r="A1185" s="61"/>
      <c r="B1185" s="59"/>
    </row>
    <row r="1186" spans="1:2" x14ac:dyDescent="0.25">
      <c r="A1186" s="61"/>
      <c r="B1186" s="59"/>
    </row>
    <row r="1187" spans="1:2" x14ac:dyDescent="0.25">
      <c r="A1187" s="61"/>
      <c r="B1187" s="59"/>
    </row>
    <row r="1188" spans="1:2" x14ac:dyDescent="0.25">
      <c r="A1188" s="61"/>
      <c r="B1188" s="59"/>
    </row>
    <row r="1189" spans="1:2" x14ac:dyDescent="0.25">
      <c r="A1189" s="61"/>
      <c r="B1189" s="59"/>
    </row>
    <row r="1190" spans="1:2" x14ac:dyDescent="0.25">
      <c r="A1190" s="61"/>
      <c r="B1190" s="59"/>
    </row>
    <row r="1191" spans="1:2" x14ac:dyDescent="0.25">
      <c r="A1191" s="61"/>
      <c r="B1191" s="59"/>
    </row>
    <row r="1192" spans="1:2" x14ac:dyDescent="0.25">
      <c r="A1192" s="61"/>
      <c r="B1192" s="59"/>
    </row>
    <row r="1193" spans="1:2" x14ac:dyDescent="0.25">
      <c r="A1193" s="61"/>
      <c r="B1193" s="59"/>
    </row>
    <row r="1194" spans="1:2" x14ac:dyDescent="0.25">
      <c r="A1194" s="61"/>
      <c r="B1194" s="59"/>
    </row>
    <row r="1195" spans="1:2" x14ac:dyDescent="0.25">
      <c r="A1195" s="61"/>
      <c r="B1195" s="59"/>
    </row>
    <row r="1196" spans="1:2" x14ac:dyDescent="0.25">
      <c r="A1196" s="61"/>
      <c r="B1196" s="59"/>
    </row>
    <row r="1197" spans="1:2" x14ac:dyDescent="0.25">
      <c r="A1197" s="61"/>
      <c r="B1197" s="59"/>
    </row>
    <row r="1198" spans="1:2" x14ac:dyDescent="0.25">
      <c r="A1198" s="61"/>
      <c r="B1198" s="59"/>
    </row>
    <row r="1199" spans="1:2" x14ac:dyDescent="0.25">
      <c r="A1199" s="61"/>
      <c r="B1199" s="59"/>
    </row>
    <row r="1200" spans="1:2" x14ac:dyDescent="0.25">
      <c r="A1200" s="61"/>
      <c r="B1200" s="59"/>
    </row>
    <row r="1201" spans="1:2" x14ac:dyDescent="0.25">
      <c r="A1201" s="61"/>
      <c r="B1201" s="59"/>
    </row>
    <row r="1202" spans="1:2" x14ac:dyDescent="0.25">
      <c r="A1202" s="61"/>
      <c r="B1202" s="59"/>
    </row>
    <row r="1203" spans="1:2" x14ac:dyDescent="0.25">
      <c r="A1203" s="61"/>
      <c r="B1203" s="59"/>
    </row>
    <row r="1204" spans="1:2" x14ac:dyDescent="0.25">
      <c r="A1204" s="61"/>
      <c r="B1204" s="59"/>
    </row>
    <row r="1205" spans="1:2" x14ac:dyDescent="0.25">
      <c r="A1205" s="61"/>
      <c r="B1205" s="59"/>
    </row>
    <row r="1206" spans="1:2" x14ac:dyDescent="0.25">
      <c r="A1206" s="61"/>
      <c r="B1206" s="59"/>
    </row>
    <row r="1207" spans="1:2" x14ac:dyDescent="0.25">
      <c r="A1207" s="61"/>
      <c r="B1207" s="59"/>
    </row>
    <row r="1208" spans="1:2" x14ac:dyDescent="0.25">
      <c r="A1208" s="61"/>
      <c r="B1208" s="59"/>
    </row>
    <row r="1209" spans="1:2" x14ac:dyDescent="0.25">
      <c r="A1209" s="61"/>
      <c r="B1209" s="59"/>
    </row>
    <row r="1210" spans="1:2" x14ac:dyDescent="0.25">
      <c r="A1210" s="61"/>
      <c r="B1210" s="59"/>
    </row>
    <row r="1211" spans="1:2" x14ac:dyDescent="0.25">
      <c r="A1211" s="61"/>
      <c r="B1211" s="59"/>
    </row>
    <row r="1212" spans="1:2" x14ac:dyDescent="0.25">
      <c r="A1212" s="61"/>
      <c r="B1212" s="59"/>
    </row>
    <row r="1213" spans="1:2" x14ac:dyDescent="0.25">
      <c r="A1213" s="61"/>
      <c r="B1213" s="59"/>
    </row>
    <row r="1214" spans="1:2" x14ac:dyDescent="0.25">
      <c r="A1214" s="61"/>
      <c r="B1214" s="59"/>
    </row>
    <row r="1215" spans="1:2" x14ac:dyDescent="0.25">
      <c r="A1215" s="61"/>
      <c r="B1215" s="59"/>
    </row>
    <row r="1216" spans="1:2" x14ac:dyDescent="0.25">
      <c r="A1216" s="61"/>
      <c r="B1216" s="59"/>
    </row>
    <row r="1217" spans="1:2" x14ac:dyDescent="0.25">
      <c r="A1217" s="61"/>
      <c r="B1217" s="59"/>
    </row>
    <row r="1218" spans="1:2" x14ac:dyDescent="0.25">
      <c r="A1218" s="61"/>
      <c r="B1218" s="59"/>
    </row>
    <row r="1219" spans="1:2" x14ac:dyDescent="0.25">
      <c r="A1219" s="61"/>
      <c r="B1219" s="59"/>
    </row>
    <row r="1220" spans="1:2" x14ac:dyDescent="0.25">
      <c r="A1220" s="61"/>
      <c r="B1220" s="59"/>
    </row>
    <row r="1221" spans="1:2" x14ac:dyDescent="0.25">
      <c r="A1221" s="61"/>
      <c r="B1221" s="59"/>
    </row>
    <row r="1222" spans="1:2" x14ac:dyDescent="0.25">
      <c r="A1222" s="61"/>
      <c r="B1222" s="59"/>
    </row>
    <row r="1223" spans="1:2" x14ac:dyDescent="0.25">
      <c r="A1223" s="61"/>
      <c r="B1223" s="59"/>
    </row>
    <row r="1224" spans="1:2" x14ac:dyDescent="0.25">
      <c r="A1224" s="61"/>
      <c r="B1224" s="59"/>
    </row>
    <row r="1225" spans="1:2" x14ac:dyDescent="0.25">
      <c r="A1225" s="61"/>
      <c r="B1225" s="59"/>
    </row>
    <row r="1226" spans="1:2" x14ac:dyDescent="0.25">
      <c r="A1226" s="61"/>
      <c r="B1226" s="59"/>
    </row>
    <row r="1227" spans="1:2" x14ac:dyDescent="0.25">
      <c r="A1227" s="61"/>
      <c r="B1227" s="59"/>
    </row>
    <row r="1228" spans="1:2" x14ac:dyDescent="0.25">
      <c r="A1228" s="61"/>
      <c r="B1228" s="59"/>
    </row>
    <row r="1229" spans="1:2" x14ac:dyDescent="0.25">
      <c r="A1229" s="61"/>
      <c r="B1229" s="59"/>
    </row>
    <row r="1230" spans="1:2" x14ac:dyDescent="0.25">
      <c r="A1230" s="61"/>
      <c r="B1230" s="59"/>
    </row>
    <row r="1231" spans="1:2" x14ac:dyDescent="0.25">
      <c r="A1231" s="61"/>
      <c r="B1231" s="59"/>
    </row>
    <row r="1232" spans="1:2" x14ac:dyDescent="0.25">
      <c r="A1232" s="61"/>
      <c r="B1232" s="59"/>
    </row>
    <row r="1233" spans="1:2" x14ac:dyDescent="0.25">
      <c r="A1233" s="61"/>
      <c r="B1233" s="59"/>
    </row>
    <row r="1234" spans="1:2" x14ac:dyDescent="0.25">
      <c r="A1234" s="61"/>
      <c r="B1234" s="59"/>
    </row>
    <row r="1235" spans="1:2" x14ac:dyDescent="0.25">
      <c r="A1235" s="61"/>
      <c r="B1235" s="59"/>
    </row>
    <row r="1236" spans="1:2" x14ac:dyDescent="0.25">
      <c r="A1236" s="61"/>
      <c r="B1236" s="59"/>
    </row>
    <row r="1237" spans="1:2" x14ac:dyDescent="0.25">
      <c r="A1237" s="61"/>
      <c r="B1237" s="59"/>
    </row>
    <row r="1238" spans="1:2" x14ac:dyDescent="0.25">
      <c r="A1238" s="61"/>
      <c r="B1238" s="59"/>
    </row>
    <row r="1239" spans="1:2" x14ac:dyDescent="0.25">
      <c r="A1239" s="61"/>
      <c r="B1239" s="59"/>
    </row>
    <row r="1240" spans="1:2" x14ac:dyDescent="0.25">
      <c r="A1240" s="61"/>
      <c r="B1240" s="59"/>
    </row>
    <row r="1241" spans="1:2" x14ac:dyDescent="0.25">
      <c r="A1241" s="61"/>
      <c r="B1241" s="59"/>
    </row>
    <row r="1242" spans="1:2" x14ac:dyDescent="0.25">
      <c r="A1242" s="61"/>
      <c r="B1242" s="59"/>
    </row>
    <row r="1243" spans="1:2" x14ac:dyDescent="0.25">
      <c r="A1243" s="61"/>
      <c r="B1243" s="59"/>
    </row>
    <row r="1244" spans="1:2" x14ac:dyDescent="0.25">
      <c r="A1244" s="61"/>
      <c r="B1244" s="59"/>
    </row>
    <row r="1245" spans="1:2" x14ac:dyDescent="0.25">
      <c r="A1245" s="61"/>
      <c r="B1245" s="59"/>
    </row>
    <row r="1246" spans="1:2" x14ac:dyDescent="0.25">
      <c r="A1246" s="61"/>
      <c r="B1246" s="59"/>
    </row>
    <row r="1247" spans="1:2" x14ac:dyDescent="0.25">
      <c r="A1247" s="61"/>
      <c r="B1247" s="59"/>
    </row>
    <row r="1248" spans="1:2" x14ac:dyDescent="0.25">
      <c r="A1248" s="61"/>
      <c r="B1248" s="59"/>
    </row>
    <row r="1249" spans="1:2" x14ac:dyDescent="0.25">
      <c r="A1249" s="61"/>
      <c r="B1249" s="59"/>
    </row>
    <row r="1250" spans="1:2" x14ac:dyDescent="0.25">
      <c r="A1250" s="61"/>
      <c r="B1250" s="59"/>
    </row>
    <row r="1251" spans="1:2" x14ac:dyDescent="0.25">
      <c r="A1251" s="61"/>
      <c r="B1251" s="59"/>
    </row>
    <row r="1252" spans="1:2" x14ac:dyDescent="0.25">
      <c r="A1252" s="61"/>
      <c r="B1252" s="59"/>
    </row>
    <row r="1253" spans="1:2" x14ac:dyDescent="0.25">
      <c r="A1253" s="61"/>
      <c r="B1253" s="59"/>
    </row>
    <row r="1254" spans="1:2" x14ac:dyDescent="0.25">
      <c r="A1254" s="61"/>
      <c r="B1254" s="59"/>
    </row>
    <row r="1255" spans="1:2" x14ac:dyDescent="0.25">
      <c r="A1255" s="61"/>
      <c r="B1255" s="59"/>
    </row>
    <row r="1256" spans="1:2" x14ac:dyDescent="0.25">
      <c r="A1256" s="61"/>
      <c r="B1256" s="59"/>
    </row>
    <row r="1257" spans="1:2" x14ac:dyDescent="0.25">
      <c r="A1257" s="61"/>
      <c r="B1257" s="59"/>
    </row>
    <row r="1258" spans="1:2" x14ac:dyDescent="0.25">
      <c r="A1258" s="61"/>
      <c r="B1258" s="59"/>
    </row>
    <row r="1259" spans="1:2" x14ac:dyDescent="0.25">
      <c r="A1259" s="61"/>
      <c r="B1259" s="59"/>
    </row>
    <row r="1260" spans="1:2" x14ac:dyDescent="0.25">
      <c r="A1260" s="61"/>
      <c r="B1260" s="59"/>
    </row>
    <row r="1261" spans="1:2" x14ac:dyDescent="0.25">
      <c r="A1261" s="61"/>
      <c r="B1261" s="59"/>
    </row>
    <row r="1262" spans="1:2" x14ac:dyDescent="0.25">
      <c r="A1262" s="61"/>
      <c r="B1262" s="59"/>
    </row>
    <row r="1263" spans="1:2" x14ac:dyDescent="0.25">
      <c r="A1263" s="61"/>
      <c r="B1263" s="59"/>
    </row>
    <row r="1264" spans="1:2" x14ac:dyDescent="0.25">
      <c r="A1264" s="61"/>
      <c r="B1264" s="59"/>
    </row>
    <row r="1265" spans="1:2" x14ac:dyDescent="0.25">
      <c r="A1265" s="61"/>
      <c r="B1265" s="59"/>
    </row>
    <row r="1266" spans="1:2" x14ac:dyDescent="0.25">
      <c r="A1266" s="61"/>
      <c r="B1266" s="59"/>
    </row>
    <row r="1267" spans="1:2" x14ac:dyDescent="0.25">
      <c r="A1267" s="61"/>
      <c r="B1267" s="59"/>
    </row>
    <row r="1268" spans="1:2" x14ac:dyDescent="0.25">
      <c r="A1268" s="61"/>
      <c r="B1268" s="59"/>
    </row>
    <row r="1269" spans="1:2" x14ac:dyDescent="0.25">
      <c r="A1269" s="61"/>
      <c r="B1269" s="59"/>
    </row>
    <row r="1270" spans="1:2" x14ac:dyDescent="0.25">
      <c r="A1270" s="61"/>
      <c r="B1270" s="59"/>
    </row>
    <row r="1271" spans="1:2" x14ac:dyDescent="0.25">
      <c r="A1271" s="61"/>
      <c r="B1271" s="59"/>
    </row>
    <row r="1272" spans="1:2" x14ac:dyDescent="0.25">
      <c r="A1272" s="61"/>
      <c r="B1272" s="59"/>
    </row>
    <row r="1273" spans="1:2" x14ac:dyDescent="0.25">
      <c r="A1273" s="61"/>
      <c r="B1273" s="59"/>
    </row>
    <row r="1274" spans="1:2" x14ac:dyDescent="0.25">
      <c r="A1274" s="61"/>
      <c r="B1274" s="59"/>
    </row>
    <row r="1275" spans="1:2" x14ac:dyDescent="0.25">
      <c r="A1275" s="61"/>
      <c r="B1275" s="59"/>
    </row>
    <row r="1276" spans="1:2" x14ac:dyDescent="0.25">
      <c r="A1276" s="61"/>
      <c r="B1276" s="59"/>
    </row>
    <row r="1277" spans="1:2" x14ac:dyDescent="0.25">
      <c r="A1277" s="61"/>
      <c r="B1277" s="59"/>
    </row>
    <row r="1278" spans="1:2" x14ac:dyDescent="0.25">
      <c r="A1278" s="61"/>
      <c r="B1278" s="59"/>
    </row>
    <row r="1279" spans="1:2" x14ac:dyDescent="0.25">
      <c r="A1279" s="61"/>
      <c r="B1279" s="59"/>
    </row>
    <row r="1280" spans="1:2" x14ac:dyDescent="0.25">
      <c r="A1280" s="61"/>
      <c r="B1280" s="59"/>
    </row>
    <row r="1281" spans="1:2" x14ac:dyDescent="0.25">
      <c r="A1281" s="61"/>
      <c r="B1281" s="59"/>
    </row>
    <row r="1282" spans="1:2" x14ac:dyDescent="0.25">
      <c r="A1282" s="61"/>
      <c r="B1282" s="59"/>
    </row>
    <row r="1283" spans="1:2" x14ac:dyDescent="0.25">
      <c r="A1283" s="61"/>
      <c r="B1283" s="59"/>
    </row>
    <row r="1284" spans="1:2" x14ac:dyDescent="0.25">
      <c r="A1284" s="61"/>
      <c r="B1284" s="59"/>
    </row>
    <row r="1285" spans="1:2" x14ac:dyDescent="0.25">
      <c r="A1285" s="61"/>
      <c r="B1285" s="59"/>
    </row>
    <row r="1286" spans="1:2" x14ac:dyDescent="0.25">
      <c r="A1286" s="61"/>
      <c r="B1286" s="59"/>
    </row>
    <row r="1287" spans="1:2" x14ac:dyDescent="0.25">
      <c r="A1287" s="61"/>
      <c r="B1287" s="59"/>
    </row>
    <row r="1288" spans="1:2" x14ac:dyDescent="0.25">
      <c r="A1288" s="61"/>
      <c r="B1288" s="59"/>
    </row>
    <row r="1289" spans="1:2" x14ac:dyDescent="0.25">
      <c r="A1289" s="61"/>
      <c r="B1289" s="59"/>
    </row>
    <row r="1290" spans="1:2" x14ac:dyDescent="0.25">
      <c r="A1290" s="61"/>
      <c r="B1290" s="59"/>
    </row>
    <row r="1291" spans="1:2" x14ac:dyDescent="0.25">
      <c r="A1291" s="61"/>
      <c r="B1291" s="59"/>
    </row>
    <row r="1292" spans="1:2" x14ac:dyDescent="0.25">
      <c r="A1292" s="61"/>
      <c r="B1292" s="59"/>
    </row>
    <row r="1293" spans="1:2" x14ac:dyDescent="0.25">
      <c r="A1293" s="61"/>
      <c r="B1293" s="59"/>
    </row>
    <row r="1294" spans="1:2" x14ac:dyDescent="0.25">
      <c r="A1294" s="61"/>
      <c r="B1294" s="59"/>
    </row>
    <row r="1295" spans="1:2" x14ac:dyDescent="0.25">
      <c r="A1295" s="61"/>
      <c r="B1295" s="59"/>
    </row>
    <row r="1296" spans="1:2" x14ac:dyDescent="0.25">
      <c r="A1296" s="61"/>
      <c r="B1296" s="59"/>
    </row>
    <row r="1297" spans="1:2" x14ac:dyDescent="0.25">
      <c r="A1297" s="61"/>
      <c r="B1297" s="59"/>
    </row>
    <row r="1298" spans="1:2" x14ac:dyDescent="0.25">
      <c r="A1298" s="61"/>
      <c r="B1298" s="59"/>
    </row>
    <row r="1299" spans="1:2" x14ac:dyDescent="0.25">
      <c r="A1299" s="61"/>
      <c r="B1299" s="59"/>
    </row>
    <row r="1300" spans="1:2" x14ac:dyDescent="0.25">
      <c r="A1300" s="61"/>
      <c r="B1300" s="59"/>
    </row>
    <row r="1301" spans="1:2" x14ac:dyDescent="0.25">
      <c r="A1301" s="61"/>
      <c r="B1301" s="59"/>
    </row>
    <row r="1302" spans="1:2" x14ac:dyDescent="0.25">
      <c r="A1302" s="61"/>
      <c r="B1302" s="59"/>
    </row>
    <row r="1303" spans="1:2" x14ac:dyDescent="0.25">
      <c r="A1303" s="61"/>
      <c r="B1303" s="59"/>
    </row>
    <row r="1304" spans="1:2" x14ac:dyDescent="0.25">
      <c r="A1304" s="61"/>
      <c r="B1304" s="59"/>
    </row>
    <row r="1305" spans="1:2" x14ac:dyDescent="0.25">
      <c r="A1305" s="61"/>
      <c r="B1305" s="59"/>
    </row>
    <row r="1306" spans="1:2" x14ac:dyDescent="0.25">
      <c r="A1306" s="61"/>
      <c r="B1306" s="59"/>
    </row>
    <row r="1307" spans="1:2" x14ac:dyDescent="0.25">
      <c r="A1307" s="61"/>
      <c r="B1307" s="59"/>
    </row>
    <row r="1308" spans="1:2" x14ac:dyDescent="0.25">
      <c r="A1308" s="61"/>
      <c r="B1308" s="59"/>
    </row>
    <row r="1309" spans="1:2" x14ac:dyDescent="0.25">
      <c r="A1309" s="61"/>
      <c r="B1309" s="59"/>
    </row>
    <row r="1310" spans="1:2" x14ac:dyDescent="0.25">
      <c r="A1310" s="61"/>
      <c r="B1310" s="59"/>
    </row>
    <row r="1311" spans="1:2" x14ac:dyDescent="0.25">
      <c r="A1311" s="61"/>
      <c r="B1311" s="59"/>
    </row>
    <row r="1312" spans="1:2" x14ac:dyDescent="0.25">
      <c r="A1312" s="61"/>
      <c r="B1312" s="59"/>
    </row>
    <row r="1313" spans="1:2" x14ac:dyDescent="0.25">
      <c r="A1313" s="61"/>
      <c r="B1313" s="59"/>
    </row>
    <row r="1314" spans="1:2" x14ac:dyDescent="0.25">
      <c r="A1314" s="61"/>
      <c r="B1314" s="59"/>
    </row>
    <row r="1315" spans="1:2" x14ac:dyDescent="0.25">
      <c r="A1315" s="61"/>
      <c r="B1315" s="59"/>
    </row>
    <row r="1316" spans="1:2" x14ac:dyDescent="0.25">
      <c r="A1316" s="61"/>
      <c r="B1316" s="59"/>
    </row>
    <row r="1317" spans="1:2" x14ac:dyDescent="0.25">
      <c r="A1317" s="61"/>
      <c r="B1317" s="59"/>
    </row>
    <row r="1318" spans="1:2" x14ac:dyDescent="0.25">
      <c r="A1318" s="61"/>
      <c r="B1318" s="59"/>
    </row>
    <row r="1319" spans="1:2" x14ac:dyDescent="0.25">
      <c r="A1319" s="61"/>
      <c r="B1319" s="59"/>
    </row>
    <row r="1320" spans="1:2" x14ac:dyDescent="0.25">
      <c r="A1320" s="61"/>
      <c r="B1320" s="59"/>
    </row>
    <row r="1321" spans="1:2" x14ac:dyDescent="0.25">
      <c r="A1321" s="61"/>
      <c r="B1321" s="59"/>
    </row>
    <row r="1322" spans="1:2" x14ac:dyDescent="0.25">
      <c r="A1322" s="61"/>
      <c r="B1322" s="59"/>
    </row>
    <row r="1323" spans="1:2" x14ac:dyDescent="0.25">
      <c r="A1323" s="61"/>
      <c r="B1323" s="59"/>
    </row>
    <row r="1324" spans="1:2" x14ac:dyDescent="0.25">
      <c r="A1324" s="61"/>
      <c r="B1324" s="59"/>
    </row>
    <row r="1325" spans="1:2" x14ac:dyDescent="0.25">
      <c r="A1325" s="61"/>
      <c r="B1325" s="59"/>
    </row>
    <row r="1326" spans="1:2" x14ac:dyDescent="0.25">
      <c r="A1326" s="61"/>
      <c r="B1326" s="59"/>
    </row>
    <row r="1327" spans="1:2" x14ac:dyDescent="0.25">
      <c r="A1327" s="61"/>
      <c r="B1327" s="59"/>
    </row>
    <row r="1328" spans="1:2" x14ac:dyDescent="0.25">
      <c r="A1328" s="61"/>
      <c r="B1328" s="59"/>
    </row>
    <row r="1329" spans="1:2" x14ac:dyDescent="0.25">
      <c r="A1329" s="61"/>
      <c r="B1329" s="59"/>
    </row>
    <row r="1330" spans="1:2" x14ac:dyDescent="0.25">
      <c r="A1330" s="61"/>
      <c r="B1330" s="59"/>
    </row>
    <row r="1331" spans="1:2" x14ac:dyDescent="0.25">
      <c r="A1331" s="61"/>
      <c r="B1331" s="59"/>
    </row>
    <row r="1332" spans="1:2" x14ac:dyDescent="0.25">
      <c r="A1332" s="61"/>
      <c r="B1332" s="59"/>
    </row>
    <row r="1333" spans="1:2" x14ac:dyDescent="0.25">
      <c r="A1333" s="61"/>
      <c r="B1333" s="59"/>
    </row>
    <row r="1334" spans="1:2" x14ac:dyDescent="0.25">
      <c r="A1334" s="61"/>
      <c r="B1334" s="59"/>
    </row>
    <row r="1335" spans="1:2" x14ac:dyDescent="0.25">
      <c r="A1335" s="61"/>
      <c r="B1335" s="59"/>
    </row>
    <row r="1336" spans="1:2" x14ac:dyDescent="0.25">
      <c r="A1336" s="61"/>
      <c r="B1336" s="59"/>
    </row>
    <row r="1337" spans="1:2" x14ac:dyDescent="0.25">
      <c r="A1337" s="61"/>
      <c r="B1337" s="59"/>
    </row>
    <row r="1338" spans="1:2" x14ac:dyDescent="0.25">
      <c r="A1338" s="61"/>
      <c r="B1338" s="59"/>
    </row>
    <row r="1339" spans="1:2" x14ac:dyDescent="0.25">
      <c r="A1339" s="61"/>
      <c r="B1339" s="59"/>
    </row>
    <row r="1340" spans="1:2" x14ac:dyDescent="0.25">
      <c r="A1340" s="61"/>
      <c r="B1340" s="59"/>
    </row>
    <row r="1341" spans="1:2" x14ac:dyDescent="0.25">
      <c r="A1341" s="61"/>
      <c r="B1341" s="59"/>
    </row>
    <row r="1342" spans="1:2" x14ac:dyDescent="0.25">
      <c r="A1342" s="61"/>
      <c r="B1342" s="59"/>
    </row>
    <row r="1343" spans="1:2" x14ac:dyDescent="0.25">
      <c r="A1343" s="61"/>
      <c r="B1343" s="59"/>
    </row>
    <row r="1344" spans="1:2" x14ac:dyDescent="0.25">
      <c r="A1344" s="61"/>
      <c r="B1344" s="59"/>
    </row>
    <row r="1345" spans="1:2" x14ac:dyDescent="0.25">
      <c r="A1345" s="61"/>
      <c r="B1345" s="59"/>
    </row>
    <row r="1346" spans="1:2" x14ac:dyDescent="0.25">
      <c r="A1346" s="61"/>
      <c r="B1346" s="59"/>
    </row>
    <row r="1347" spans="1:2" x14ac:dyDescent="0.25">
      <c r="A1347" s="61"/>
      <c r="B1347" s="59"/>
    </row>
    <row r="1348" spans="1:2" x14ac:dyDescent="0.25">
      <c r="A1348" s="61"/>
      <c r="B1348" s="59"/>
    </row>
    <row r="1349" spans="1:2" x14ac:dyDescent="0.25">
      <c r="A1349" s="61"/>
      <c r="B1349" s="59"/>
    </row>
    <row r="1350" spans="1:2" x14ac:dyDescent="0.25">
      <c r="A1350" s="61"/>
      <c r="B1350" s="59"/>
    </row>
    <row r="1351" spans="1:2" x14ac:dyDescent="0.25">
      <c r="A1351" s="61"/>
      <c r="B1351" s="59"/>
    </row>
    <row r="1352" spans="1:2" x14ac:dyDescent="0.25">
      <c r="A1352" s="61"/>
      <c r="B1352" s="59"/>
    </row>
    <row r="1353" spans="1:2" x14ac:dyDescent="0.25">
      <c r="A1353" s="61"/>
      <c r="B1353" s="59"/>
    </row>
    <row r="1354" spans="1:2" x14ac:dyDescent="0.25">
      <c r="A1354" s="61"/>
      <c r="B1354" s="59"/>
    </row>
    <row r="1355" spans="1:2" x14ac:dyDescent="0.25">
      <c r="A1355" s="61"/>
      <c r="B1355" s="59"/>
    </row>
    <row r="1356" spans="1:2" x14ac:dyDescent="0.25">
      <c r="A1356" s="61"/>
      <c r="B1356" s="59"/>
    </row>
    <row r="1357" spans="1:2" x14ac:dyDescent="0.25">
      <c r="A1357" s="61"/>
      <c r="B1357" s="59"/>
    </row>
    <row r="1358" spans="1:2" x14ac:dyDescent="0.25">
      <c r="A1358" s="61"/>
      <c r="B1358" s="59"/>
    </row>
    <row r="1359" spans="1:2" x14ac:dyDescent="0.25">
      <c r="A1359" s="61"/>
      <c r="B1359" s="59"/>
    </row>
    <row r="1360" spans="1:2" x14ac:dyDescent="0.25">
      <c r="A1360" s="61"/>
      <c r="B1360" s="59"/>
    </row>
    <row r="1361" spans="1:2" x14ac:dyDescent="0.25">
      <c r="A1361" s="61"/>
      <c r="B1361" s="59"/>
    </row>
    <row r="1362" spans="1:2" x14ac:dyDescent="0.25">
      <c r="A1362" s="61"/>
      <c r="B1362" s="59"/>
    </row>
    <row r="1363" spans="1:2" x14ac:dyDescent="0.25">
      <c r="A1363" s="61"/>
      <c r="B1363" s="59"/>
    </row>
    <row r="1364" spans="1:2" x14ac:dyDescent="0.25">
      <c r="A1364" s="61"/>
      <c r="B1364" s="59"/>
    </row>
    <row r="1365" spans="1:2" x14ac:dyDescent="0.25">
      <c r="A1365" s="61"/>
      <c r="B1365" s="59"/>
    </row>
    <row r="1366" spans="1:2" x14ac:dyDescent="0.25">
      <c r="A1366" s="61"/>
      <c r="B1366" s="59"/>
    </row>
    <row r="1367" spans="1:2" x14ac:dyDescent="0.25">
      <c r="A1367" s="61"/>
      <c r="B1367" s="59"/>
    </row>
    <row r="1368" spans="1:2" x14ac:dyDescent="0.25">
      <c r="A1368" s="61"/>
      <c r="B1368" s="59"/>
    </row>
    <row r="1369" spans="1:2" x14ac:dyDescent="0.25">
      <c r="A1369" s="61"/>
      <c r="B1369" s="59"/>
    </row>
    <row r="1370" spans="1:2" x14ac:dyDescent="0.25">
      <c r="A1370" s="61"/>
      <c r="B1370" s="59"/>
    </row>
    <row r="1371" spans="1:2" x14ac:dyDescent="0.25">
      <c r="A1371" s="61"/>
      <c r="B1371" s="59"/>
    </row>
    <row r="1372" spans="1:2" x14ac:dyDescent="0.25">
      <c r="A1372" s="61"/>
      <c r="B1372" s="59"/>
    </row>
    <row r="1373" spans="1:2" x14ac:dyDescent="0.25">
      <c r="A1373" s="61"/>
      <c r="B1373" s="59"/>
    </row>
    <row r="1374" spans="1:2" x14ac:dyDescent="0.25">
      <c r="A1374" s="61"/>
      <c r="B1374" s="59"/>
    </row>
    <row r="1375" spans="1:2" x14ac:dyDescent="0.25">
      <c r="A1375" s="61"/>
      <c r="B1375" s="59"/>
    </row>
    <row r="1376" spans="1:2" x14ac:dyDescent="0.25">
      <c r="A1376" s="61"/>
      <c r="B1376" s="59"/>
    </row>
    <row r="1377" spans="1:2" x14ac:dyDescent="0.25">
      <c r="A1377" s="61"/>
      <c r="B1377" s="59"/>
    </row>
    <row r="1378" spans="1:2" x14ac:dyDescent="0.25">
      <c r="A1378" s="61"/>
      <c r="B1378" s="59"/>
    </row>
    <row r="1379" spans="1:2" x14ac:dyDescent="0.25">
      <c r="A1379" s="61"/>
      <c r="B1379" s="59"/>
    </row>
    <row r="1380" spans="1:2" x14ac:dyDescent="0.25">
      <c r="A1380" s="61"/>
      <c r="B1380" s="59"/>
    </row>
    <row r="1381" spans="1:2" x14ac:dyDescent="0.25">
      <c r="A1381" s="61"/>
      <c r="B1381" s="59"/>
    </row>
    <row r="1382" spans="1:2" x14ac:dyDescent="0.25">
      <c r="A1382" s="61"/>
      <c r="B1382" s="59"/>
    </row>
    <row r="1383" spans="1:2" x14ac:dyDescent="0.25">
      <c r="A1383" s="61"/>
      <c r="B1383" s="59"/>
    </row>
    <row r="1384" spans="1:2" x14ac:dyDescent="0.25">
      <c r="A1384" s="61"/>
      <c r="B1384" s="59"/>
    </row>
    <row r="1385" spans="1:2" x14ac:dyDescent="0.25">
      <c r="A1385" s="61"/>
      <c r="B1385" s="59"/>
    </row>
    <row r="1386" spans="1:2" x14ac:dyDescent="0.25">
      <c r="A1386" s="61"/>
      <c r="B1386" s="59"/>
    </row>
    <row r="1387" spans="1:2" x14ac:dyDescent="0.25">
      <c r="A1387" s="61"/>
      <c r="B1387" s="59"/>
    </row>
    <row r="1388" spans="1:2" x14ac:dyDescent="0.25">
      <c r="A1388" s="61"/>
      <c r="B1388" s="59"/>
    </row>
    <row r="1389" spans="1:2" x14ac:dyDescent="0.25">
      <c r="A1389" s="61"/>
      <c r="B1389" s="59"/>
    </row>
    <row r="1390" spans="1:2" x14ac:dyDescent="0.25">
      <c r="A1390" s="61"/>
      <c r="B1390" s="59"/>
    </row>
    <row r="1391" spans="1:2" x14ac:dyDescent="0.25">
      <c r="A1391" s="61"/>
      <c r="B1391" s="59"/>
    </row>
    <row r="1392" spans="1:2" x14ac:dyDescent="0.25">
      <c r="A1392" s="61"/>
      <c r="B1392" s="59"/>
    </row>
    <row r="1393" spans="1:2" x14ac:dyDescent="0.25">
      <c r="A1393" s="61"/>
      <c r="B1393" s="59"/>
    </row>
    <row r="1394" spans="1:2" x14ac:dyDescent="0.25">
      <c r="A1394" s="61"/>
      <c r="B1394" s="59"/>
    </row>
    <row r="1395" spans="1:2" x14ac:dyDescent="0.25">
      <c r="A1395" s="61"/>
      <c r="B1395" s="59"/>
    </row>
    <row r="1396" spans="1:2" x14ac:dyDescent="0.25">
      <c r="A1396" s="61"/>
      <c r="B1396" s="59"/>
    </row>
    <row r="1397" spans="1:2" x14ac:dyDescent="0.25">
      <c r="A1397" s="61"/>
      <c r="B1397" s="59"/>
    </row>
    <row r="1398" spans="1:2" x14ac:dyDescent="0.25">
      <c r="A1398" s="61"/>
      <c r="B1398" s="59"/>
    </row>
    <row r="1399" spans="1:2" x14ac:dyDescent="0.25">
      <c r="A1399" s="61"/>
      <c r="B1399" s="59"/>
    </row>
    <row r="1400" spans="1:2" x14ac:dyDescent="0.25">
      <c r="A1400" s="61"/>
      <c r="B1400" s="59"/>
    </row>
    <row r="1401" spans="1:2" x14ac:dyDescent="0.25">
      <c r="A1401" s="61"/>
      <c r="B1401" s="59"/>
    </row>
    <row r="1402" spans="1:2" x14ac:dyDescent="0.25">
      <c r="A1402" s="61"/>
      <c r="B1402" s="59"/>
    </row>
    <row r="1403" spans="1:2" x14ac:dyDescent="0.25">
      <c r="A1403" s="61"/>
      <c r="B1403" s="59"/>
    </row>
    <row r="1404" spans="1:2" x14ac:dyDescent="0.25">
      <c r="A1404" s="61"/>
      <c r="B1404" s="59"/>
    </row>
    <row r="1405" spans="1:2" x14ac:dyDescent="0.25">
      <c r="A1405" s="61"/>
      <c r="B1405" s="59"/>
    </row>
    <row r="1406" spans="1:2" x14ac:dyDescent="0.25">
      <c r="A1406" s="61"/>
      <c r="B1406" s="59"/>
    </row>
    <row r="1407" spans="1:2" x14ac:dyDescent="0.25">
      <c r="A1407" s="61"/>
      <c r="B1407" s="59"/>
    </row>
    <row r="1408" spans="1:2" x14ac:dyDescent="0.25">
      <c r="A1408" s="61"/>
      <c r="B1408" s="59"/>
    </row>
    <row r="1409" spans="1:2" x14ac:dyDescent="0.25">
      <c r="A1409" s="61"/>
      <c r="B1409" s="59"/>
    </row>
    <row r="1410" spans="1:2" x14ac:dyDescent="0.25">
      <c r="A1410" s="61"/>
      <c r="B1410" s="59"/>
    </row>
    <row r="1411" spans="1:2" x14ac:dyDescent="0.25">
      <c r="A1411" s="61"/>
      <c r="B1411" s="59"/>
    </row>
    <row r="1412" spans="1:2" x14ac:dyDescent="0.25">
      <c r="A1412" s="61"/>
      <c r="B1412" s="59"/>
    </row>
    <row r="1413" spans="1:2" x14ac:dyDescent="0.25">
      <c r="A1413" s="61"/>
      <c r="B1413" s="59"/>
    </row>
    <row r="1414" spans="1:2" x14ac:dyDescent="0.25">
      <c r="A1414" s="61"/>
      <c r="B1414" s="59"/>
    </row>
    <row r="1415" spans="1:2" x14ac:dyDescent="0.25">
      <c r="A1415" s="61"/>
      <c r="B1415" s="59"/>
    </row>
    <row r="1416" spans="1:2" x14ac:dyDescent="0.25">
      <c r="A1416" s="61"/>
      <c r="B1416" s="59"/>
    </row>
    <row r="1417" spans="1:2" x14ac:dyDescent="0.25">
      <c r="A1417" s="61"/>
      <c r="B1417" s="59"/>
    </row>
    <row r="1418" spans="1:2" x14ac:dyDescent="0.25">
      <c r="A1418" s="61"/>
      <c r="B1418" s="59"/>
    </row>
    <row r="1419" spans="1:2" x14ac:dyDescent="0.25">
      <c r="A1419" s="61"/>
      <c r="B1419" s="59"/>
    </row>
    <row r="1420" spans="1:2" x14ac:dyDescent="0.25">
      <c r="A1420" s="61"/>
      <c r="B1420" s="59"/>
    </row>
    <row r="1421" spans="1:2" x14ac:dyDescent="0.25">
      <c r="A1421" s="61"/>
      <c r="B1421" s="59"/>
    </row>
    <row r="1422" spans="1:2" x14ac:dyDescent="0.25">
      <c r="A1422" s="61"/>
      <c r="B1422" s="59"/>
    </row>
    <row r="1423" spans="1:2" x14ac:dyDescent="0.25">
      <c r="A1423" s="61"/>
      <c r="B1423" s="59"/>
    </row>
    <row r="1424" spans="1:2" x14ac:dyDescent="0.25">
      <c r="A1424" s="61"/>
      <c r="B1424" s="59"/>
    </row>
    <row r="1425" spans="1:2" x14ac:dyDescent="0.25">
      <c r="A1425" s="61"/>
      <c r="B1425" s="59"/>
    </row>
    <row r="1426" spans="1:2" x14ac:dyDescent="0.25">
      <c r="A1426" s="61"/>
      <c r="B1426" s="59"/>
    </row>
    <row r="1427" spans="1:2" x14ac:dyDescent="0.25">
      <c r="A1427" s="61"/>
      <c r="B1427" s="59"/>
    </row>
    <row r="1428" spans="1:2" x14ac:dyDescent="0.25">
      <c r="A1428" s="61"/>
      <c r="B1428" s="59"/>
    </row>
    <row r="1429" spans="1:2" x14ac:dyDescent="0.25">
      <c r="A1429" s="61"/>
      <c r="B1429" s="59"/>
    </row>
    <row r="1430" spans="1:2" x14ac:dyDescent="0.25">
      <c r="A1430" s="61"/>
      <c r="B1430" s="59"/>
    </row>
    <row r="1431" spans="1:2" x14ac:dyDescent="0.25">
      <c r="A1431" s="61"/>
      <c r="B1431" s="59"/>
    </row>
    <row r="1432" spans="1:2" x14ac:dyDescent="0.25">
      <c r="A1432" s="61"/>
      <c r="B1432" s="59"/>
    </row>
    <row r="1433" spans="1:2" x14ac:dyDescent="0.25">
      <c r="A1433" s="61"/>
      <c r="B1433" s="59"/>
    </row>
    <row r="1434" spans="1:2" x14ac:dyDescent="0.25">
      <c r="A1434" s="61"/>
      <c r="B1434" s="59"/>
    </row>
    <row r="1435" spans="1:2" x14ac:dyDescent="0.25">
      <c r="A1435" s="61"/>
      <c r="B1435" s="59"/>
    </row>
    <row r="1436" spans="1:2" x14ac:dyDescent="0.25">
      <c r="A1436" s="61"/>
      <c r="B1436" s="59"/>
    </row>
    <row r="1437" spans="1:2" x14ac:dyDescent="0.25">
      <c r="A1437" s="61"/>
      <c r="B1437" s="59"/>
    </row>
    <row r="1438" spans="1:2" x14ac:dyDescent="0.25">
      <c r="A1438" s="61"/>
      <c r="B1438" s="59"/>
    </row>
    <row r="1439" spans="1:2" x14ac:dyDescent="0.25">
      <c r="A1439" s="61"/>
      <c r="B1439" s="59"/>
    </row>
    <row r="1440" spans="1:2" x14ac:dyDescent="0.25">
      <c r="A1440" s="61"/>
      <c r="B1440" s="59"/>
    </row>
    <row r="1441" spans="1:2" x14ac:dyDescent="0.25">
      <c r="A1441" s="61"/>
      <c r="B1441" s="59"/>
    </row>
    <row r="1442" spans="1:2" x14ac:dyDescent="0.25">
      <c r="A1442" s="61"/>
      <c r="B1442" s="59"/>
    </row>
    <row r="1443" spans="1:2" x14ac:dyDescent="0.25">
      <c r="A1443" s="61"/>
      <c r="B1443" s="59"/>
    </row>
    <row r="1444" spans="1:2" x14ac:dyDescent="0.25">
      <c r="A1444" s="61"/>
      <c r="B1444" s="59"/>
    </row>
    <row r="1445" spans="1:2" x14ac:dyDescent="0.25">
      <c r="A1445" s="61"/>
      <c r="B1445" s="59"/>
    </row>
    <row r="1446" spans="1:2" x14ac:dyDescent="0.25">
      <c r="A1446" s="61"/>
      <c r="B1446" s="59"/>
    </row>
    <row r="1447" spans="1:2" x14ac:dyDescent="0.25">
      <c r="A1447" s="61"/>
      <c r="B1447" s="59"/>
    </row>
    <row r="1448" spans="1:2" x14ac:dyDescent="0.25">
      <c r="A1448" s="61"/>
      <c r="B1448" s="59"/>
    </row>
    <row r="1449" spans="1:2" x14ac:dyDescent="0.25">
      <c r="A1449" s="61"/>
      <c r="B1449" s="59"/>
    </row>
    <row r="1450" spans="1:2" x14ac:dyDescent="0.25">
      <c r="A1450" s="61"/>
      <c r="B1450" s="59"/>
    </row>
    <row r="1451" spans="1:2" x14ac:dyDescent="0.25">
      <c r="A1451" s="61"/>
      <c r="B1451" s="59"/>
    </row>
    <row r="1452" spans="1:2" x14ac:dyDescent="0.25">
      <c r="A1452" s="61"/>
      <c r="B1452" s="59"/>
    </row>
    <row r="1453" spans="1:2" x14ac:dyDescent="0.25">
      <c r="A1453" s="61"/>
      <c r="B1453" s="59"/>
    </row>
    <row r="1454" spans="1:2" x14ac:dyDescent="0.25">
      <c r="A1454" s="61"/>
      <c r="B1454" s="59"/>
    </row>
    <row r="1455" spans="1:2" x14ac:dyDescent="0.25">
      <c r="A1455" s="61"/>
      <c r="B1455" s="59"/>
    </row>
    <row r="1456" spans="1:2" x14ac:dyDescent="0.25">
      <c r="A1456" s="61"/>
      <c r="B1456" s="59"/>
    </row>
    <row r="1457" spans="1:2" x14ac:dyDescent="0.25">
      <c r="A1457" s="61"/>
      <c r="B1457" s="59"/>
    </row>
    <row r="1458" spans="1:2" x14ac:dyDescent="0.25">
      <c r="A1458" s="61"/>
      <c r="B1458" s="59"/>
    </row>
    <row r="1459" spans="1:2" x14ac:dyDescent="0.25">
      <c r="A1459" s="61"/>
      <c r="B1459" s="59"/>
    </row>
    <row r="1460" spans="1:2" x14ac:dyDescent="0.25">
      <c r="A1460" s="61"/>
      <c r="B1460" s="59"/>
    </row>
    <row r="1461" spans="1:2" x14ac:dyDescent="0.25">
      <c r="A1461" s="61"/>
      <c r="B1461" s="59"/>
    </row>
    <row r="1462" spans="1:2" x14ac:dyDescent="0.25">
      <c r="A1462" s="61"/>
      <c r="B1462" s="59"/>
    </row>
    <row r="1463" spans="1:2" x14ac:dyDescent="0.25">
      <c r="A1463" s="61"/>
      <c r="B1463" s="59"/>
    </row>
    <row r="1464" spans="1:2" x14ac:dyDescent="0.25">
      <c r="A1464" s="61"/>
      <c r="B1464" s="59"/>
    </row>
    <row r="1465" spans="1:2" x14ac:dyDescent="0.25">
      <c r="A1465" s="61"/>
      <c r="B1465" s="59"/>
    </row>
    <row r="1466" spans="1:2" x14ac:dyDescent="0.25">
      <c r="A1466" s="61"/>
      <c r="B1466" s="59"/>
    </row>
    <row r="1467" spans="1:2" x14ac:dyDescent="0.25">
      <c r="A1467" s="61"/>
      <c r="B1467" s="59"/>
    </row>
    <row r="1468" spans="1:2" x14ac:dyDescent="0.25">
      <c r="A1468" s="61"/>
      <c r="B1468" s="59"/>
    </row>
    <row r="1469" spans="1:2" x14ac:dyDescent="0.25">
      <c r="A1469" s="61"/>
      <c r="B1469" s="59"/>
    </row>
    <row r="1470" spans="1:2" x14ac:dyDescent="0.25">
      <c r="A1470" s="61"/>
      <c r="B1470" s="59"/>
    </row>
    <row r="1471" spans="1:2" x14ac:dyDescent="0.25">
      <c r="A1471" s="61"/>
      <c r="B1471" s="59"/>
    </row>
    <row r="1472" spans="1:2" x14ac:dyDescent="0.25">
      <c r="A1472" s="61"/>
      <c r="B1472" s="59"/>
    </row>
    <row r="1473" spans="1:2" x14ac:dyDescent="0.25">
      <c r="A1473" s="61"/>
      <c r="B1473" s="59"/>
    </row>
    <row r="1474" spans="1:2" x14ac:dyDescent="0.25">
      <c r="A1474" s="61"/>
      <c r="B1474" s="59"/>
    </row>
    <row r="1475" spans="1:2" x14ac:dyDescent="0.25">
      <c r="A1475" s="61"/>
      <c r="B1475" s="59"/>
    </row>
    <row r="1476" spans="1:2" x14ac:dyDescent="0.25">
      <c r="A1476" s="61"/>
      <c r="B1476" s="59"/>
    </row>
    <row r="1477" spans="1:2" x14ac:dyDescent="0.25">
      <c r="A1477" s="61"/>
      <c r="B1477" s="59"/>
    </row>
    <row r="1478" spans="1:2" x14ac:dyDescent="0.25">
      <c r="A1478" s="61"/>
      <c r="B1478" s="59"/>
    </row>
    <row r="1479" spans="1:2" x14ac:dyDescent="0.25">
      <c r="A1479" s="61"/>
      <c r="B1479" s="59"/>
    </row>
    <row r="1480" spans="1:2" x14ac:dyDescent="0.25">
      <c r="A1480" s="61"/>
      <c r="B1480" s="59"/>
    </row>
    <row r="1481" spans="1:2" x14ac:dyDescent="0.25">
      <c r="A1481" s="61"/>
      <c r="B1481" s="59"/>
    </row>
    <row r="1482" spans="1:2" x14ac:dyDescent="0.25">
      <c r="A1482" s="61"/>
      <c r="B1482" s="59"/>
    </row>
    <row r="1483" spans="1:2" x14ac:dyDescent="0.25">
      <c r="A1483" s="61"/>
      <c r="B1483" s="59"/>
    </row>
    <row r="1484" spans="1:2" x14ac:dyDescent="0.25">
      <c r="A1484" s="61"/>
      <c r="B1484" s="59"/>
    </row>
    <row r="1485" spans="1:2" x14ac:dyDescent="0.25">
      <c r="A1485" s="61"/>
      <c r="B1485" s="59"/>
    </row>
    <row r="1486" spans="1:2" x14ac:dyDescent="0.25">
      <c r="A1486" s="61"/>
      <c r="B1486" s="59"/>
    </row>
    <row r="1487" spans="1:2" x14ac:dyDescent="0.25">
      <c r="A1487" s="61"/>
      <c r="B1487" s="59"/>
    </row>
    <row r="1488" spans="1:2" x14ac:dyDescent="0.25">
      <c r="A1488" s="61"/>
      <c r="B1488" s="59"/>
    </row>
    <row r="1489" spans="1:2" x14ac:dyDescent="0.25">
      <c r="A1489" s="61"/>
      <c r="B1489" s="59"/>
    </row>
    <row r="1490" spans="1:2" x14ac:dyDescent="0.25">
      <c r="A1490" s="61"/>
      <c r="B1490" s="59"/>
    </row>
    <row r="1491" spans="1:2" x14ac:dyDescent="0.25">
      <c r="A1491" s="61"/>
      <c r="B1491" s="59"/>
    </row>
    <row r="1492" spans="1:2" x14ac:dyDescent="0.25">
      <c r="A1492" s="61"/>
      <c r="B1492" s="59"/>
    </row>
    <row r="1493" spans="1:2" x14ac:dyDescent="0.25">
      <c r="A1493" s="61"/>
      <c r="B1493" s="59"/>
    </row>
    <row r="1494" spans="1:2" x14ac:dyDescent="0.25">
      <c r="A1494" s="61"/>
      <c r="B1494" s="59"/>
    </row>
    <row r="1495" spans="1:2" x14ac:dyDescent="0.25">
      <c r="A1495" s="61"/>
      <c r="B1495" s="59"/>
    </row>
    <row r="1496" spans="1:2" x14ac:dyDescent="0.25">
      <c r="A1496" s="61"/>
      <c r="B1496" s="59"/>
    </row>
    <row r="1497" spans="1:2" x14ac:dyDescent="0.25">
      <c r="A1497" s="61"/>
      <c r="B1497" s="59"/>
    </row>
    <row r="1498" spans="1:2" x14ac:dyDescent="0.25">
      <c r="A1498" s="61"/>
      <c r="B1498" s="59"/>
    </row>
    <row r="1499" spans="1:2" x14ac:dyDescent="0.25">
      <c r="A1499" s="61"/>
      <c r="B1499" s="59"/>
    </row>
    <row r="1500" spans="1:2" x14ac:dyDescent="0.25">
      <c r="A1500" s="61"/>
      <c r="B1500" s="59"/>
    </row>
    <row r="1501" spans="1:2" x14ac:dyDescent="0.25">
      <c r="A1501" s="61"/>
      <c r="B1501" s="59"/>
    </row>
    <row r="1502" spans="1:2" x14ac:dyDescent="0.25">
      <c r="A1502" s="61"/>
      <c r="B1502" s="59"/>
    </row>
    <row r="1503" spans="1:2" x14ac:dyDescent="0.25">
      <c r="A1503" s="61"/>
      <c r="B1503" s="59"/>
    </row>
    <row r="1504" spans="1:2" x14ac:dyDescent="0.25">
      <c r="A1504" s="61"/>
      <c r="B1504" s="59"/>
    </row>
    <row r="1505" spans="1:2" x14ac:dyDescent="0.25">
      <c r="A1505" s="61"/>
      <c r="B1505" s="59"/>
    </row>
    <row r="1506" spans="1:2" x14ac:dyDescent="0.25">
      <c r="A1506" s="61"/>
      <c r="B1506" s="59"/>
    </row>
    <row r="1507" spans="1:2" x14ac:dyDescent="0.25">
      <c r="A1507" s="61"/>
      <c r="B1507" s="59"/>
    </row>
    <row r="1508" spans="1:2" x14ac:dyDescent="0.25">
      <c r="A1508" s="61"/>
      <c r="B1508" s="59"/>
    </row>
    <row r="1509" spans="1:2" x14ac:dyDescent="0.25">
      <c r="A1509" s="61"/>
      <c r="B1509" s="59"/>
    </row>
    <row r="1510" spans="1:2" x14ac:dyDescent="0.25">
      <c r="A1510" s="61"/>
      <c r="B1510" s="59"/>
    </row>
    <row r="1511" spans="1:2" x14ac:dyDescent="0.25">
      <c r="A1511" s="61"/>
      <c r="B1511" s="59"/>
    </row>
    <row r="1512" spans="1:2" x14ac:dyDescent="0.25">
      <c r="A1512" s="61"/>
      <c r="B1512" s="59"/>
    </row>
    <row r="1513" spans="1:2" x14ac:dyDescent="0.25">
      <c r="A1513" s="61"/>
      <c r="B1513" s="59"/>
    </row>
    <row r="1514" spans="1:2" x14ac:dyDescent="0.25">
      <c r="A1514" s="61"/>
      <c r="B1514" s="59"/>
    </row>
    <row r="1515" spans="1:2" x14ac:dyDescent="0.25">
      <c r="A1515" s="61"/>
      <c r="B1515" s="59"/>
    </row>
    <row r="1516" spans="1:2" x14ac:dyDescent="0.25">
      <c r="A1516" s="61"/>
      <c r="B1516" s="59"/>
    </row>
    <row r="1517" spans="1:2" x14ac:dyDescent="0.25">
      <c r="A1517" s="61"/>
      <c r="B1517" s="59"/>
    </row>
    <row r="1518" spans="1:2" x14ac:dyDescent="0.25">
      <c r="A1518" s="61"/>
      <c r="B1518" s="59"/>
    </row>
    <row r="1519" spans="1:2" x14ac:dyDescent="0.25">
      <c r="A1519" s="61"/>
      <c r="B1519" s="59"/>
    </row>
    <row r="1520" spans="1:2" x14ac:dyDescent="0.25">
      <c r="A1520" s="61"/>
      <c r="B1520" s="59"/>
    </row>
    <row r="1521" spans="1:2" x14ac:dyDescent="0.25">
      <c r="A1521" s="61"/>
      <c r="B1521" s="59"/>
    </row>
    <row r="1522" spans="1:2" x14ac:dyDescent="0.25">
      <c r="A1522" s="61"/>
      <c r="B1522" s="59"/>
    </row>
    <row r="1523" spans="1:2" x14ac:dyDescent="0.25">
      <c r="A1523" s="61"/>
      <c r="B1523" s="59"/>
    </row>
    <row r="1524" spans="1:2" x14ac:dyDescent="0.25">
      <c r="A1524" s="61"/>
      <c r="B1524" s="59"/>
    </row>
    <row r="1525" spans="1:2" x14ac:dyDescent="0.25">
      <c r="A1525" s="61"/>
      <c r="B1525" s="59"/>
    </row>
    <row r="1526" spans="1:2" x14ac:dyDescent="0.25">
      <c r="A1526" s="61"/>
      <c r="B1526" s="59"/>
    </row>
    <row r="1527" spans="1:2" x14ac:dyDescent="0.25">
      <c r="A1527" s="61"/>
      <c r="B1527" s="59"/>
    </row>
    <row r="1528" spans="1:2" x14ac:dyDescent="0.25">
      <c r="A1528" s="61"/>
      <c r="B1528" s="59"/>
    </row>
    <row r="1529" spans="1:2" x14ac:dyDescent="0.25">
      <c r="A1529" s="61"/>
      <c r="B1529" s="59"/>
    </row>
    <row r="1530" spans="1:2" x14ac:dyDescent="0.25">
      <c r="A1530" s="61"/>
      <c r="B1530" s="59"/>
    </row>
    <row r="1531" spans="1:2" x14ac:dyDescent="0.25">
      <c r="A1531" s="61"/>
      <c r="B1531" s="59"/>
    </row>
    <row r="1532" spans="1:2" x14ac:dyDescent="0.25">
      <c r="A1532" s="61"/>
      <c r="B1532" s="59"/>
    </row>
    <row r="1533" spans="1:2" x14ac:dyDescent="0.25">
      <c r="A1533" s="61"/>
      <c r="B1533" s="59"/>
    </row>
    <row r="1534" spans="1:2" x14ac:dyDescent="0.25">
      <c r="A1534" s="61"/>
      <c r="B1534" s="59"/>
    </row>
    <row r="1535" spans="1:2" x14ac:dyDescent="0.25">
      <c r="A1535" s="61"/>
      <c r="B1535" s="59"/>
    </row>
    <row r="1536" spans="1:2" x14ac:dyDescent="0.25">
      <c r="A1536" s="61"/>
      <c r="B1536" s="59"/>
    </row>
    <row r="1537" spans="1:2" x14ac:dyDescent="0.25">
      <c r="A1537" s="61"/>
      <c r="B1537" s="59"/>
    </row>
    <row r="1538" spans="1:2" x14ac:dyDescent="0.25">
      <c r="A1538" s="61"/>
      <c r="B1538" s="59"/>
    </row>
    <row r="1539" spans="1:2" x14ac:dyDescent="0.25">
      <c r="A1539" s="61"/>
      <c r="B1539" s="59"/>
    </row>
    <row r="1540" spans="1:2" x14ac:dyDescent="0.25">
      <c r="A1540" s="61"/>
      <c r="B1540" s="59"/>
    </row>
    <row r="1541" spans="1:2" x14ac:dyDescent="0.25">
      <c r="A1541" s="61"/>
      <c r="B1541" s="59"/>
    </row>
    <row r="1542" spans="1:2" x14ac:dyDescent="0.25">
      <c r="A1542" s="61"/>
      <c r="B1542" s="59"/>
    </row>
    <row r="1543" spans="1:2" x14ac:dyDescent="0.25">
      <c r="A1543" s="61"/>
      <c r="B1543" s="59"/>
    </row>
    <row r="1544" spans="1:2" x14ac:dyDescent="0.25">
      <c r="A1544" s="61"/>
      <c r="B1544" s="59"/>
    </row>
    <row r="1545" spans="1:2" x14ac:dyDescent="0.25">
      <c r="A1545" s="61"/>
      <c r="B1545" s="59"/>
    </row>
    <row r="1546" spans="1:2" x14ac:dyDescent="0.25">
      <c r="A1546" s="61"/>
      <c r="B1546" s="59"/>
    </row>
    <row r="1547" spans="1:2" x14ac:dyDescent="0.25">
      <c r="A1547" s="61"/>
      <c r="B1547" s="59"/>
    </row>
    <row r="1548" spans="1:2" x14ac:dyDescent="0.25">
      <c r="A1548" s="61"/>
      <c r="B1548" s="59"/>
    </row>
    <row r="1549" spans="1:2" x14ac:dyDescent="0.25">
      <c r="A1549" s="61"/>
      <c r="B1549" s="59"/>
    </row>
    <row r="1550" spans="1:2" x14ac:dyDescent="0.25">
      <c r="A1550" s="61"/>
      <c r="B1550" s="59"/>
    </row>
    <row r="1551" spans="1:2" x14ac:dyDescent="0.25">
      <c r="A1551" s="61"/>
      <c r="B1551" s="59"/>
    </row>
    <row r="1552" spans="1:2" x14ac:dyDescent="0.25">
      <c r="A1552" s="61"/>
      <c r="B1552" s="59"/>
    </row>
    <row r="1553" spans="1:2" x14ac:dyDescent="0.25">
      <c r="A1553" s="61"/>
      <c r="B1553" s="59"/>
    </row>
    <row r="1554" spans="1:2" x14ac:dyDescent="0.25">
      <c r="A1554" s="61"/>
      <c r="B1554" s="59"/>
    </row>
    <row r="1555" spans="1:2" x14ac:dyDescent="0.25">
      <c r="A1555" s="61"/>
      <c r="B1555" s="59"/>
    </row>
    <row r="1556" spans="1:2" x14ac:dyDescent="0.25">
      <c r="A1556" s="61"/>
      <c r="B1556" s="59"/>
    </row>
    <row r="1557" spans="1:2" x14ac:dyDescent="0.25">
      <c r="A1557" s="61"/>
      <c r="B1557" s="59"/>
    </row>
    <row r="1558" spans="1:2" x14ac:dyDescent="0.25">
      <c r="A1558" s="61"/>
      <c r="B1558" s="59"/>
    </row>
    <row r="1559" spans="1:2" x14ac:dyDescent="0.25">
      <c r="A1559" s="61"/>
      <c r="B1559" s="59"/>
    </row>
    <row r="1560" spans="1:2" x14ac:dyDescent="0.25">
      <c r="A1560" s="61"/>
      <c r="B1560" s="59"/>
    </row>
    <row r="1561" spans="1:2" x14ac:dyDescent="0.25">
      <c r="A1561" s="61"/>
      <c r="B1561" s="59"/>
    </row>
    <row r="1562" spans="1:2" x14ac:dyDescent="0.25">
      <c r="A1562" s="61"/>
      <c r="B1562" s="59"/>
    </row>
    <row r="1563" spans="1:2" x14ac:dyDescent="0.25">
      <c r="A1563" s="61"/>
      <c r="B1563" s="59"/>
    </row>
    <row r="1564" spans="1:2" x14ac:dyDescent="0.25">
      <c r="A1564" s="61"/>
      <c r="B1564" s="59"/>
    </row>
    <row r="1565" spans="1:2" x14ac:dyDescent="0.25">
      <c r="A1565" s="61"/>
      <c r="B1565" s="59"/>
    </row>
    <row r="1566" spans="1:2" x14ac:dyDescent="0.25">
      <c r="A1566" s="61"/>
      <c r="B1566" s="59"/>
    </row>
    <row r="1567" spans="1:2" x14ac:dyDescent="0.25">
      <c r="A1567" s="61"/>
      <c r="B1567" s="59"/>
    </row>
    <row r="1568" spans="1:2" x14ac:dyDescent="0.25">
      <c r="A1568" s="61"/>
      <c r="B1568" s="59"/>
    </row>
    <row r="1569" spans="1:2" x14ac:dyDescent="0.25">
      <c r="A1569" s="61"/>
      <c r="B1569" s="59"/>
    </row>
    <row r="1570" spans="1:2" x14ac:dyDescent="0.25">
      <c r="A1570" s="61"/>
      <c r="B1570" s="59"/>
    </row>
    <row r="1571" spans="1:2" x14ac:dyDescent="0.25">
      <c r="A1571" s="61"/>
      <c r="B1571" s="59"/>
    </row>
    <row r="1572" spans="1:2" x14ac:dyDescent="0.25">
      <c r="A1572" s="61"/>
      <c r="B1572" s="59"/>
    </row>
    <row r="1573" spans="1:2" x14ac:dyDescent="0.25">
      <c r="A1573" s="61"/>
      <c r="B1573" s="59"/>
    </row>
    <row r="1574" spans="1:2" x14ac:dyDescent="0.25">
      <c r="A1574" s="61"/>
      <c r="B1574" s="59"/>
    </row>
    <row r="1575" spans="1:2" x14ac:dyDescent="0.25">
      <c r="A1575" s="61"/>
      <c r="B1575" s="59"/>
    </row>
    <row r="1576" spans="1:2" x14ac:dyDescent="0.25">
      <c r="A1576" s="61"/>
      <c r="B1576" s="59"/>
    </row>
    <row r="1577" spans="1:2" x14ac:dyDescent="0.25">
      <c r="A1577" s="61"/>
      <c r="B1577" s="59"/>
    </row>
    <row r="1578" spans="1:2" x14ac:dyDescent="0.25">
      <c r="A1578" s="61"/>
      <c r="B1578" s="59"/>
    </row>
    <row r="1579" spans="1:2" x14ac:dyDescent="0.25">
      <c r="A1579" s="61"/>
      <c r="B1579" s="59"/>
    </row>
    <row r="1580" spans="1:2" x14ac:dyDescent="0.25">
      <c r="A1580" s="61"/>
      <c r="B1580" s="59"/>
    </row>
    <row r="1581" spans="1:2" x14ac:dyDescent="0.25">
      <c r="A1581" s="61"/>
      <c r="B1581" s="59"/>
    </row>
    <row r="1582" spans="1:2" x14ac:dyDescent="0.25">
      <c r="A1582" s="61"/>
      <c r="B1582" s="59"/>
    </row>
    <row r="1583" spans="1:2" x14ac:dyDescent="0.25">
      <c r="A1583" s="61"/>
      <c r="B1583" s="59"/>
    </row>
    <row r="1584" spans="1:2" x14ac:dyDescent="0.25">
      <c r="A1584" s="61"/>
      <c r="B1584" s="59"/>
    </row>
    <row r="1585" spans="1:2" x14ac:dyDescent="0.25">
      <c r="A1585" s="61"/>
      <c r="B1585" s="59"/>
    </row>
    <row r="1586" spans="1:2" x14ac:dyDescent="0.25">
      <c r="A1586" s="61"/>
      <c r="B1586" s="59"/>
    </row>
    <row r="1587" spans="1:2" x14ac:dyDescent="0.25">
      <c r="A1587" s="61"/>
      <c r="B1587" s="59"/>
    </row>
    <row r="1588" spans="1:2" x14ac:dyDescent="0.25">
      <c r="A1588" s="61"/>
      <c r="B1588" s="59"/>
    </row>
    <row r="1589" spans="1:2" x14ac:dyDescent="0.25">
      <c r="A1589" s="61"/>
      <c r="B1589" s="59"/>
    </row>
    <row r="1590" spans="1:2" x14ac:dyDescent="0.25">
      <c r="A1590" s="61"/>
      <c r="B1590" s="59"/>
    </row>
    <row r="1591" spans="1:2" x14ac:dyDescent="0.25">
      <c r="A1591" s="61"/>
      <c r="B1591" s="59"/>
    </row>
    <row r="1592" spans="1:2" x14ac:dyDescent="0.25">
      <c r="A1592" s="61"/>
      <c r="B1592" s="59"/>
    </row>
    <row r="1593" spans="1:2" x14ac:dyDescent="0.25">
      <c r="A1593" s="61"/>
      <c r="B1593" s="59"/>
    </row>
    <row r="1594" spans="1:2" x14ac:dyDescent="0.25">
      <c r="A1594" s="61"/>
      <c r="B1594" s="59"/>
    </row>
    <row r="1595" spans="1:2" x14ac:dyDescent="0.25">
      <c r="A1595" s="61"/>
      <c r="B1595" s="59"/>
    </row>
    <row r="1596" spans="1:2" x14ac:dyDescent="0.25">
      <c r="A1596" s="61"/>
      <c r="B1596" s="59"/>
    </row>
    <row r="1597" spans="1:2" x14ac:dyDescent="0.25">
      <c r="A1597" s="61"/>
      <c r="B1597" s="59"/>
    </row>
    <row r="1598" spans="1:2" x14ac:dyDescent="0.25">
      <c r="A1598" s="61"/>
      <c r="B1598" s="59"/>
    </row>
    <row r="1599" spans="1:2" x14ac:dyDescent="0.25">
      <c r="A1599" s="61"/>
      <c r="B1599" s="59"/>
    </row>
    <row r="1600" spans="1:2" x14ac:dyDescent="0.25">
      <c r="A1600" s="61"/>
      <c r="B1600" s="59"/>
    </row>
    <row r="1601" spans="1:2" x14ac:dyDescent="0.25">
      <c r="A1601" s="61"/>
      <c r="B1601" s="59"/>
    </row>
    <row r="1602" spans="1:2" x14ac:dyDescent="0.25">
      <c r="A1602" s="61"/>
      <c r="B1602" s="59"/>
    </row>
    <row r="1603" spans="1:2" x14ac:dyDescent="0.25">
      <c r="A1603" s="61"/>
      <c r="B1603" s="59"/>
    </row>
    <row r="1604" spans="1:2" x14ac:dyDescent="0.25">
      <c r="A1604" s="61"/>
      <c r="B1604" s="59"/>
    </row>
    <row r="1605" spans="1:2" x14ac:dyDescent="0.25">
      <c r="A1605" s="61"/>
      <c r="B1605" s="59"/>
    </row>
    <row r="1606" spans="1:2" x14ac:dyDescent="0.25">
      <c r="A1606" s="61"/>
      <c r="B1606" s="59"/>
    </row>
    <row r="1607" spans="1:2" x14ac:dyDescent="0.25">
      <c r="A1607" s="61"/>
      <c r="B1607" s="59"/>
    </row>
    <row r="1608" spans="1:2" x14ac:dyDescent="0.25">
      <c r="A1608" s="61"/>
      <c r="B1608" s="59"/>
    </row>
    <row r="1609" spans="1:2" x14ac:dyDescent="0.25">
      <c r="A1609" s="61"/>
      <c r="B1609" s="59"/>
    </row>
    <row r="1610" spans="1:2" x14ac:dyDescent="0.25">
      <c r="A1610" s="61"/>
      <c r="B1610" s="59"/>
    </row>
    <row r="1611" spans="1:2" x14ac:dyDescent="0.25">
      <c r="A1611" s="61"/>
      <c r="B1611" s="59"/>
    </row>
    <row r="1612" spans="1:2" x14ac:dyDescent="0.25">
      <c r="A1612" s="61"/>
      <c r="B1612" s="59"/>
    </row>
    <row r="1613" spans="1:2" x14ac:dyDescent="0.25">
      <c r="A1613" s="61"/>
      <c r="B1613" s="59"/>
    </row>
    <row r="1614" spans="1:2" x14ac:dyDescent="0.25">
      <c r="A1614" s="61"/>
      <c r="B1614" s="59"/>
    </row>
    <row r="1615" spans="1:2" x14ac:dyDescent="0.25">
      <c r="A1615" s="61"/>
      <c r="B1615" s="59"/>
    </row>
    <row r="1616" spans="1:2" x14ac:dyDescent="0.25">
      <c r="A1616" s="61"/>
      <c r="B1616" s="59"/>
    </row>
    <row r="1617" spans="1:2" x14ac:dyDescent="0.25">
      <c r="A1617" s="61"/>
      <c r="B1617" s="59"/>
    </row>
    <row r="1618" spans="1:2" x14ac:dyDescent="0.25">
      <c r="A1618" s="61"/>
      <c r="B1618" s="59"/>
    </row>
    <row r="1619" spans="1:2" x14ac:dyDescent="0.25">
      <c r="A1619" s="61"/>
      <c r="B1619" s="59"/>
    </row>
    <row r="1620" spans="1:2" x14ac:dyDescent="0.25">
      <c r="A1620" s="61"/>
      <c r="B1620" s="59"/>
    </row>
    <row r="1621" spans="1:2" x14ac:dyDescent="0.25">
      <c r="A1621" s="61"/>
      <c r="B1621" s="59"/>
    </row>
    <row r="1622" spans="1:2" x14ac:dyDescent="0.25">
      <c r="A1622" s="61"/>
      <c r="B1622" s="59"/>
    </row>
    <row r="1623" spans="1:2" x14ac:dyDescent="0.25">
      <c r="A1623" s="61"/>
      <c r="B1623" s="59"/>
    </row>
    <row r="1624" spans="1:2" x14ac:dyDescent="0.25">
      <c r="A1624" s="61"/>
      <c r="B1624" s="59"/>
    </row>
    <row r="1625" spans="1:2" x14ac:dyDescent="0.25">
      <c r="A1625" s="61"/>
      <c r="B1625" s="59"/>
    </row>
    <row r="1626" spans="1:2" x14ac:dyDescent="0.25">
      <c r="A1626" s="61"/>
      <c r="B1626" s="59"/>
    </row>
    <row r="1627" spans="1:2" x14ac:dyDescent="0.25">
      <c r="A1627" s="61"/>
      <c r="B1627" s="59"/>
    </row>
    <row r="1628" spans="1:2" x14ac:dyDescent="0.25">
      <c r="A1628" s="61"/>
      <c r="B1628" s="59"/>
    </row>
    <row r="1629" spans="1:2" x14ac:dyDescent="0.25">
      <c r="A1629" s="61"/>
      <c r="B1629" s="59"/>
    </row>
    <row r="1630" spans="1:2" x14ac:dyDescent="0.25">
      <c r="A1630" s="61"/>
      <c r="B1630" s="59"/>
    </row>
    <row r="1631" spans="1:2" x14ac:dyDescent="0.25">
      <c r="A1631" s="61"/>
      <c r="B1631" s="59"/>
    </row>
    <row r="1632" spans="1:2" x14ac:dyDescent="0.25">
      <c r="A1632" s="61"/>
      <c r="B1632" s="59"/>
    </row>
    <row r="1633" spans="1:2" x14ac:dyDescent="0.25">
      <c r="A1633" s="61"/>
      <c r="B1633" s="59"/>
    </row>
    <row r="1634" spans="1:2" x14ac:dyDescent="0.25">
      <c r="A1634" s="61"/>
      <c r="B1634" s="59"/>
    </row>
    <row r="1635" spans="1:2" x14ac:dyDescent="0.25">
      <c r="A1635" s="61"/>
      <c r="B1635" s="59"/>
    </row>
    <row r="1636" spans="1:2" x14ac:dyDescent="0.25">
      <c r="A1636" s="61"/>
      <c r="B1636" s="59"/>
    </row>
    <row r="1637" spans="1:2" x14ac:dyDescent="0.25">
      <c r="A1637" s="61"/>
      <c r="B1637" s="59"/>
    </row>
    <row r="1638" spans="1:2" x14ac:dyDescent="0.25">
      <c r="A1638" s="61"/>
      <c r="B1638" s="59"/>
    </row>
    <row r="1639" spans="1:2" x14ac:dyDescent="0.25">
      <c r="A1639" s="61"/>
      <c r="B1639" s="59"/>
    </row>
    <row r="1640" spans="1:2" x14ac:dyDescent="0.25">
      <c r="A1640" s="61"/>
      <c r="B1640" s="59"/>
    </row>
    <row r="1641" spans="1:2" x14ac:dyDescent="0.25">
      <c r="A1641" s="61"/>
      <c r="B1641" s="59"/>
    </row>
    <row r="1642" spans="1:2" x14ac:dyDescent="0.25">
      <c r="A1642" s="61"/>
      <c r="B1642" s="59"/>
    </row>
    <row r="1643" spans="1:2" x14ac:dyDescent="0.25">
      <c r="A1643" s="61"/>
      <c r="B1643" s="59"/>
    </row>
    <row r="1644" spans="1:2" x14ac:dyDescent="0.25">
      <c r="A1644" s="61"/>
      <c r="B1644" s="59"/>
    </row>
    <row r="1645" spans="1:2" x14ac:dyDescent="0.25">
      <c r="A1645" s="61"/>
      <c r="B1645" s="59"/>
    </row>
    <row r="1646" spans="1:2" x14ac:dyDescent="0.25">
      <c r="A1646" s="61"/>
      <c r="B1646" s="59"/>
    </row>
    <row r="1647" spans="1:2" x14ac:dyDescent="0.25">
      <c r="A1647" s="61"/>
      <c r="B1647" s="59"/>
    </row>
    <row r="1648" spans="1:2" x14ac:dyDescent="0.25">
      <c r="A1648" s="61"/>
      <c r="B1648" s="59"/>
    </row>
    <row r="1649" spans="1:2" x14ac:dyDescent="0.25">
      <c r="A1649" s="61"/>
      <c r="B1649" s="59"/>
    </row>
    <row r="1650" spans="1:2" x14ac:dyDescent="0.25">
      <c r="A1650" s="61"/>
      <c r="B1650" s="59"/>
    </row>
    <row r="1651" spans="1:2" x14ac:dyDescent="0.25">
      <c r="A1651" s="61"/>
      <c r="B1651" s="59"/>
    </row>
    <row r="1652" spans="1:2" x14ac:dyDescent="0.25">
      <c r="A1652" s="61"/>
      <c r="B1652" s="59"/>
    </row>
    <row r="1653" spans="1:2" x14ac:dyDescent="0.25">
      <c r="A1653" s="61"/>
      <c r="B1653" s="59"/>
    </row>
    <row r="1654" spans="1:2" x14ac:dyDescent="0.25">
      <c r="A1654" s="61"/>
      <c r="B1654" s="59"/>
    </row>
    <row r="1655" spans="1:2" x14ac:dyDescent="0.25">
      <c r="A1655" s="61"/>
      <c r="B1655" s="59"/>
    </row>
    <row r="1656" spans="1:2" x14ac:dyDescent="0.25">
      <c r="A1656" s="61"/>
      <c r="B1656" s="59"/>
    </row>
    <row r="1657" spans="1:2" x14ac:dyDescent="0.25">
      <c r="A1657" s="61"/>
      <c r="B1657" s="59"/>
    </row>
    <row r="1658" spans="1:2" x14ac:dyDescent="0.25">
      <c r="A1658" s="61"/>
      <c r="B1658" s="59"/>
    </row>
    <row r="1659" spans="1:2" x14ac:dyDescent="0.25">
      <c r="A1659" s="61"/>
      <c r="B1659" s="59"/>
    </row>
    <row r="1660" spans="1:2" x14ac:dyDescent="0.25">
      <c r="A1660" s="61"/>
      <c r="B1660" s="59"/>
    </row>
    <row r="1661" spans="1:2" x14ac:dyDescent="0.25">
      <c r="A1661" s="61"/>
      <c r="B1661" s="59"/>
    </row>
    <row r="1662" spans="1:2" x14ac:dyDescent="0.25">
      <c r="A1662" s="61"/>
      <c r="B1662" s="59"/>
    </row>
    <row r="1663" spans="1:2" x14ac:dyDescent="0.25">
      <c r="A1663" s="61"/>
      <c r="B1663" s="59"/>
    </row>
    <row r="1664" spans="1:2" x14ac:dyDescent="0.25">
      <c r="A1664" s="61"/>
      <c r="B1664" s="59"/>
    </row>
    <row r="1665" spans="1:2" x14ac:dyDescent="0.25">
      <c r="A1665" s="61"/>
      <c r="B1665" s="59"/>
    </row>
    <row r="1666" spans="1:2" x14ac:dyDescent="0.25">
      <c r="A1666" s="61"/>
      <c r="B1666" s="59"/>
    </row>
    <row r="1667" spans="1:2" x14ac:dyDescent="0.25">
      <c r="A1667" s="61"/>
      <c r="B1667" s="59"/>
    </row>
    <row r="1668" spans="1:2" x14ac:dyDescent="0.25">
      <c r="A1668" s="61"/>
      <c r="B1668" s="59"/>
    </row>
    <row r="1669" spans="1:2" x14ac:dyDescent="0.25">
      <c r="A1669" s="61"/>
      <c r="B1669" s="59"/>
    </row>
    <row r="1670" spans="1:2" x14ac:dyDescent="0.25">
      <c r="A1670" s="61"/>
      <c r="B1670" s="59"/>
    </row>
    <row r="1671" spans="1:2" x14ac:dyDescent="0.25">
      <c r="A1671" s="61"/>
      <c r="B1671" s="59"/>
    </row>
    <row r="1672" spans="1:2" x14ac:dyDescent="0.25">
      <c r="A1672" s="61"/>
      <c r="B1672" s="59"/>
    </row>
    <row r="1673" spans="1:2" x14ac:dyDescent="0.25">
      <c r="A1673" s="61"/>
      <c r="B1673" s="59"/>
    </row>
    <row r="1674" spans="1:2" x14ac:dyDescent="0.25">
      <c r="A1674" s="61"/>
      <c r="B1674" s="59"/>
    </row>
    <row r="1675" spans="1:2" x14ac:dyDescent="0.25">
      <c r="A1675" s="61"/>
      <c r="B1675" s="59"/>
    </row>
    <row r="1676" spans="1:2" x14ac:dyDescent="0.25">
      <c r="A1676" s="61"/>
      <c r="B1676" s="59"/>
    </row>
    <row r="1677" spans="1:2" x14ac:dyDescent="0.25">
      <c r="A1677" s="61"/>
      <c r="B1677" s="59"/>
    </row>
    <row r="1678" spans="1:2" x14ac:dyDescent="0.25">
      <c r="A1678" s="61"/>
      <c r="B1678" s="59"/>
    </row>
    <row r="1679" spans="1:2" x14ac:dyDescent="0.25">
      <c r="A1679" s="61"/>
      <c r="B1679" s="59"/>
    </row>
    <row r="1680" spans="1:2" x14ac:dyDescent="0.25">
      <c r="A1680" s="61"/>
      <c r="B1680" s="59"/>
    </row>
    <row r="1681" spans="1:2" x14ac:dyDescent="0.25">
      <c r="A1681" s="61"/>
      <c r="B1681" s="59"/>
    </row>
    <row r="1682" spans="1:2" x14ac:dyDescent="0.25">
      <c r="A1682" s="61"/>
      <c r="B1682" s="59"/>
    </row>
    <row r="1683" spans="1:2" x14ac:dyDescent="0.25">
      <c r="A1683" s="61"/>
      <c r="B1683" s="59"/>
    </row>
    <row r="1684" spans="1:2" x14ac:dyDescent="0.25">
      <c r="A1684" s="61"/>
      <c r="B1684" s="59"/>
    </row>
    <row r="1685" spans="1:2" x14ac:dyDescent="0.25">
      <c r="A1685" s="61"/>
      <c r="B1685" s="59"/>
    </row>
    <row r="1686" spans="1:2" x14ac:dyDescent="0.25">
      <c r="A1686" s="61"/>
      <c r="B1686" s="59"/>
    </row>
    <row r="1687" spans="1:2" x14ac:dyDescent="0.25">
      <c r="A1687" s="61"/>
      <c r="B1687" s="59"/>
    </row>
    <row r="1688" spans="1:2" x14ac:dyDescent="0.25">
      <c r="A1688" s="61"/>
      <c r="B1688" s="59"/>
    </row>
    <row r="1689" spans="1:2" x14ac:dyDescent="0.25">
      <c r="A1689" s="61"/>
      <c r="B1689" s="59"/>
    </row>
    <row r="1690" spans="1:2" x14ac:dyDescent="0.25">
      <c r="A1690" s="61"/>
      <c r="B1690" s="59"/>
    </row>
    <row r="1691" spans="1:2" x14ac:dyDescent="0.25">
      <c r="A1691" s="61"/>
      <c r="B1691" s="59"/>
    </row>
    <row r="1692" spans="1:2" x14ac:dyDescent="0.25">
      <c r="A1692" s="61"/>
      <c r="B1692" s="59"/>
    </row>
    <row r="1693" spans="1:2" x14ac:dyDescent="0.25">
      <c r="A1693" s="61"/>
      <c r="B1693" s="59"/>
    </row>
    <row r="1694" spans="1:2" x14ac:dyDescent="0.25">
      <c r="A1694" s="61"/>
      <c r="B1694" s="59"/>
    </row>
    <row r="1695" spans="1:2" x14ac:dyDescent="0.25">
      <c r="A1695" s="61"/>
      <c r="B1695" s="59"/>
    </row>
    <row r="1696" spans="1:2" x14ac:dyDescent="0.25">
      <c r="A1696" s="61"/>
      <c r="B1696" s="59"/>
    </row>
    <row r="1697" spans="1:2" x14ac:dyDescent="0.25">
      <c r="A1697" s="61"/>
      <c r="B1697" s="59"/>
    </row>
    <row r="1698" spans="1:2" x14ac:dyDescent="0.25">
      <c r="A1698" s="61"/>
      <c r="B1698" s="59"/>
    </row>
    <row r="1699" spans="1:2" x14ac:dyDescent="0.25">
      <c r="A1699" s="61"/>
      <c r="B1699" s="59"/>
    </row>
    <row r="1700" spans="1:2" x14ac:dyDescent="0.25">
      <c r="A1700" s="61"/>
      <c r="B1700" s="59"/>
    </row>
    <row r="1701" spans="1:2" x14ac:dyDescent="0.25">
      <c r="A1701" s="61"/>
      <c r="B1701" s="59"/>
    </row>
    <row r="1702" spans="1:2" x14ac:dyDescent="0.25">
      <c r="A1702" s="61"/>
      <c r="B1702" s="59"/>
    </row>
    <row r="1703" spans="1:2" x14ac:dyDescent="0.25">
      <c r="A1703" s="61"/>
      <c r="B1703" s="59"/>
    </row>
    <row r="1704" spans="1:2" x14ac:dyDescent="0.25">
      <c r="A1704" s="61"/>
      <c r="B1704" s="59"/>
    </row>
    <row r="1705" spans="1:2" x14ac:dyDescent="0.25">
      <c r="A1705" s="61"/>
      <c r="B1705" s="59"/>
    </row>
    <row r="1706" spans="1:2" x14ac:dyDescent="0.25">
      <c r="A1706" s="61"/>
      <c r="B1706" s="59"/>
    </row>
    <row r="1707" spans="1:2" x14ac:dyDescent="0.25">
      <c r="A1707" s="61"/>
      <c r="B1707" s="59"/>
    </row>
    <row r="1708" spans="1:2" x14ac:dyDescent="0.25">
      <c r="A1708" s="61"/>
      <c r="B1708" s="59"/>
    </row>
    <row r="1709" spans="1:2" x14ac:dyDescent="0.25">
      <c r="A1709" s="61"/>
      <c r="B1709" s="59"/>
    </row>
    <row r="1710" spans="1:2" x14ac:dyDescent="0.25">
      <c r="A1710" s="61"/>
      <c r="B1710" s="59"/>
    </row>
    <row r="1711" spans="1:2" x14ac:dyDescent="0.25">
      <c r="A1711" s="61"/>
      <c r="B1711" s="59"/>
    </row>
    <row r="1712" spans="1:2" x14ac:dyDescent="0.25">
      <c r="A1712" s="61"/>
      <c r="B1712" s="59"/>
    </row>
    <row r="1713" spans="1:2" x14ac:dyDescent="0.25">
      <c r="A1713" s="61"/>
      <c r="B1713" s="59"/>
    </row>
    <row r="1714" spans="1:2" x14ac:dyDescent="0.25">
      <c r="A1714" s="61"/>
      <c r="B1714" s="59"/>
    </row>
    <row r="1715" spans="1:2" x14ac:dyDescent="0.25">
      <c r="A1715" s="61"/>
      <c r="B1715" s="59"/>
    </row>
    <row r="1716" spans="1:2" x14ac:dyDescent="0.25">
      <c r="A1716" s="61"/>
      <c r="B1716" s="59"/>
    </row>
    <row r="1717" spans="1:2" x14ac:dyDescent="0.25">
      <c r="A1717" s="61"/>
      <c r="B1717" s="59"/>
    </row>
    <row r="1718" spans="1:2" x14ac:dyDescent="0.25">
      <c r="A1718" s="61"/>
      <c r="B1718" s="59"/>
    </row>
    <row r="1719" spans="1:2" x14ac:dyDescent="0.25">
      <c r="A1719" s="61"/>
      <c r="B1719" s="59"/>
    </row>
    <row r="1720" spans="1:2" x14ac:dyDescent="0.25">
      <c r="A1720" s="61"/>
      <c r="B1720" s="59"/>
    </row>
    <row r="1721" spans="1:2" x14ac:dyDescent="0.25">
      <c r="A1721" s="61"/>
      <c r="B1721" s="59"/>
    </row>
    <row r="1722" spans="1:2" x14ac:dyDescent="0.25">
      <c r="A1722" s="61"/>
      <c r="B1722" s="59"/>
    </row>
    <row r="1723" spans="1:2" x14ac:dyDescent="0.25">
      <c r="A1723" s="61"/>
      <c r="B1723" s="59"/>
    </row>
    <row r="1724" spans="1:2" x14ac:dyDescent="0.25">
      <c r="A1724" s="61"/>
      <c r="B1724" s="59"/>
    </row>
    <row r="1725" spans="1:2" x14ac:dyDescent="0.25">
      <c r="A1725" s="61"/>
      <c r="B1725" s="59"/>
    </row>
    <row r="1726" spans="1:2" x14ac:dyDescent="0.25">
      <c r="A1726" s="61"/>
      <c r="B1726" s="59"/>
    </row>
    <row r="1727" spans="1:2" x14ac:dyDescent="0.25">
      <c r="A1727" s="61"/>
      <c r="B1727" s="59"/>
    </row>
    <row r="1728" spans="1:2" x14ac:dyDescent="0.25">
      <c r="A1728" s="61"/>
      <c r="B1728" s="59"/>
    </row>
    <row r="1729" spans="1:2" x14ac:dyDescent="0.25">
      <c r="A1729" s="61"/>
      <c r="B1729" s="59"/>
    </row>
    <row r="1730" spans="1:2" x14ac:dyDescent="0.25">
      <c r="A1730" s="61"/>
      <c r="B1730" s="59"/>
    </row>
    <row r="1731" spans="1:2" x14ac:dyDescent="0.25">
      <c r="A1731" s="61"/>
      <c r="B1731" s="59"/>
    </row>
    <row r="1732" spans="1:2" x14ac:dyDescent="0.25">
      <c r="A1732" s="61"/>
      <c r="B1732" s="59"/>
    </row>
    <row r="1733" spans="1:2" x14ac:dyDescent="0.25">
      <c r="A1733" s="61"/>
      <c r="B1733" s="59"/>
    </row>
    <row r="1734" spans="1:2" x14ac:dyDescent="0.25">
      <c r="A1734" s="61"/>
      <c r="B1734" s="59"/>
    </row>
    <row r="1735" spans="1:2" x14ac:dyDescent="0.25">
      <c r="A1735" s="61"/>
      <c r="B1735" s="59"/>
    </row>
    <row r="1736" spans="1:2" x14ac:dyDescent="0.25">
      <c r="A1736" s="61"/>
      <c r="B1736" s="59"/>
    </row>
    <row r="1737" spans="1:2" x14ac:dyDescent="0.25">
      <c r="A1737" s="61"/>
      <c r="B1737" s="59"/>
    </row>
    <row r="1738" spans="1:2" x14ac:dyDescent="0.25">
      <c r="A1738" s="61"/>
      <c r="B1738" s="59"/>
    </row>
    <row r="1739" spans="1:2" x14ac:dyDescent="0.25">
      <c r="A1739" s="61"/>
      <c r="B1739" s="59"/>
    </row>
    <row r="1740" spans="1:2" x14ac:dyDescent="0.25">
      <c r="A1740" s="61"/>
      <c r="B1740" s="59"/>
    </row>
    <row r="1741" spans="1:2" x14ac:dyDescent="0.25">
      <c r="A1741" s="61"/>
      <c r="B1741" s="59"/>
    </row>
    <row r="1742" spans="1:2" x14ac:dyDescent="0.25">
      <c r="A1742" s="61"/>
      <c r="B1742" s="59"/>
    </row>
    <row r="1743" spans="1:2" x14ac:dyDescent="0.25">
      <c r="A1743" s="61"/>
      <c r="B1743" s="59"/>
    </row>
    <row r="1744" spans="1:2" x14ac:dyDescent="0.25">
      <c r="A1744" s="61"/>
      <c r="B1744" s="59"/>
    </row>
    <row r="1745" spans="1:2" x14ac:dyDescent="0.25">
      <c r="A1745" s="61"/>
      <c r="B1745" s="59"/>
    </row>
    <row r="1746" spans="1:2" x14ac:dyDescent="0.25">
      <c r="A1746" s="61"/>
      <c r="B1746" s="59"/>
    </row>
    <row r="1747" spans="1:2" x14ac:dyDescent="0.25">
      <c r="A1747" s="61"/>
      <c r="B1747" s="59"/>
    </row>
    <row r="1748" spans="1:2" x14ac:dyDescent="0.25">
      <c r="A1748" s="61"/>
      <c r="B1748" s="59"/>
    </row>
    <row r="1749" spans="1:2" x14ac:dyDescent="0.25">
      <c r="A1749" s="61"/>
      <c r="B1749" s="59"/>
    </row>
    <row r="1750" spans="1:2" x14ac:dyDescent="0.25">
      <c r="A1750" s="61"/>
      <c r="B1750" s="59"/>
    </row>
    <row r="1751" spans="1:2" x14ac:dyDescent="0.25">
      <c r="A1751" s="61"/>
      <c r="B1751" s="59"/>
    </row>
    <row r="1752" spans="1:2" x14ac:dyDescent="0.25">
      <c r="A1752" s="61"/>
      <c r="B1752" s="59"/>
    </row>
    <row r="1753" spans="1:2" x14ac:dyDescent="0.25">
      <c r="A1753" s="61"/>
      <c r="B1753" s="59"/>
    </row>
    <row r="1754" spans="1:2" x14ac:dyDescent="0.25">
      <c r="A1754" s="61"/>
      <c r="B1754" s="59"/>
    </row>
    <row r="1755" spans="1:2" x14ac:dyDescent="0.25">
      <c r="A1755" s="61"/>
      <c r="B1755" s="59"/>
    </row>
    <row r="1756" spans="1:2" x14ac:dyDescent="0.25">
      <c r="A1756" s="61"/>
      <c r="B1756" s="59"/>
    </row>
    <row r="1757" spans="1:2" x14ac:dyDescent="0.25">
      <c r="A1757" s="61"/>
      <c r="B1757" s="59"/>
    </row>
    <row r="1758" spans="1:2" x14ac:dyDescent="0.25">
      <c r="A1758" s="61"/>
      <c r="B1758" s="59"/>
    </row>
    <row r="1759" spans="1:2" x14ac:dyDescent="0.25">
      <c r="A1759" s="61"/>
      <c r="B1759" s="59"/>
    </row>
    <row r="1760" spans="1:2" x14ac:dyDescent="0.25">
      <c r="A1760" s="61"/>
      <c r="B1760" s="59"/>
    </row>
    <row r="1761" spans="1:2" x14ac:dyDescent="0.25">
      <c r="A1761" s="61"/>
      <c r="B1761" s="59"/>
    </row>
    <row r="1762" spans="1:2" x14ac:dyDescent="0.25">
      <c r="A1762" s="61"/>
      <c r="B1762" s="59"/>
    </row>
    <row r="1763" spans="1:2" x14ac:dyDescent="0.25">
      <c r="A1763" s="61"/>
      <c r="B1763" s="59"/>
    </row>
    <row r="1764" spans="1:2" x14ac:dyDescent="0.25">
      <c r="A1764" s="61"/>
      <c r="B1764" s="59"/>
    </row>
    <row r="1765" spans="1:2" x14ac:dyDescent="0.25">
      <c r="A1765" s="61"/>
      <c r="B1765" s="59"/>
    </row>
    <row r="1766" spans="1:2" x14ac:dyDescent="0.25">
      <c r="A1766" s="61"/>
      <c r="B1766" s="59"/>
    </row>
    <row r="1767" spans="1:2" x14ac:dyDescent="0.25">
      <c r="A1767" s="61"/>
      <c r="B1767" s="59"/>
    </row>
    <row r="1768" spans="1:2" x14ac:dyDescent="0.25">
      <c r="A1768" s="61"/>
      <c r="B1768" s="59"/>
    </row>
    <row r="1769" spans="1:2" x14ac:dyDescent="0.25">
      <c r="A1769" s="61"/>
      <c r="B1769" s="59"/>
    </row>
    <row r="1770" spans="1:2" x14ac:dyDescent="0.25">
      <c r="A1770" s="61"/>
      <c r="B1770" s="59"/>
    </row>
    <row r="1771" spans="1:2" x14ac:dyDescent="0.25">
      <c r="A1771" s="61"/>
      <c r="B1771" s="59"/>
    </row>
    <row r="1772" spans="1:2" x14ac:dyDescent="0.25">
      <c r="A1772" s="61"/>
      <c r="B1772" s="59"/>
    </row>
    <row r="1773" spans="1:2" x14ac:dyDescent="0.25">
      <c r="A1773" s="61"/>
      <c r="B1773" s="59"/>
    </row>
    <row r="1774" spans="1:2" x14ac:dyDescent="0.25">
      <c r="A1774" s="61"/>
      <c r="B1774" s="59"/>
    </row>
    <row r="1775" spans="1:2" x14ac:dyDescent="0.25">
      <c r="A1775" s="61"/>
      <c r="B1775" s="59"/>
    </row>
    <row r="1776" spans="1:2" x14ac:dyDescent="0.25">
      <c r="A1776" s="61"/>
      <c r="B1776" s="59"/>
    </row>
    <row r="1777" spans="1:2" x14ac:dyDescent="0.25">
      <c r="A1777" s="61"/>
      <c r="B1777" s="59"/>
    </row>
    <row r="1778" spans="1:2" x14ac:dyDescent="0.25">
      <c r="A1778" s="61"/>
      <c r="B1778" s="59"/>
    </row>
    <row r="1779" spans="1:2" x14ac:dyDescent="0.25">
      <c r="A1779" s="61"/>
      <c r="B1779" s="59"/>
    </row>
    <row r="1780" spans="1:2" x14ac:dyDescent="0.25">
      <c r="A1780" s="61"/>
      <c r="B1780" s="59"/>
    </row>
    <row r="1781" spans="1:2" x14ac:dyDescent="0.25">
      <c r="A1781" s="61"/>
      <c r="B1781" s="59"/>
    </row>
    <row r="1782" spans="1:2" x14ac:dyDescent="0.25">
      <c r="A1782" s="61"/>
      <c r="B1782" s="59"/>
    </row>
    <row r="1783" spans="1:2" x14ac:dyDescent="0.25">
      <c r="A1783" s="61"/>
      <c r="B1783" s="59"/>
    </row>
    <row r="1784" spans="1:2" x14ac:dyDescent="0.25">
      <c r="A1784" s="61"/>
      <c r="B1784" s="59"/>
    </row>
    <row r="1785" spans="1:2" x14ac:dyDescent="0.25">
      <c r="A1785" s="61"/>
      <c r="B1785" s="59"/>
    </row>
    <row r="1786" spans="1:2" x14ac:dyDescent="0.25">
      <c r="A1786" s="61"/>
      <c r="B1786" s="59"/>
    </row>
    <row r="1787" spans="1:2" x14ac:dyDescent="0.25">
      <c r="A1787" s="61"/>
      <c r="B1787" s="59"/>
    </row>
    <row r="1788" spans="1:2" x14ac:dyDescent="0.25">
      <c r="A1788" s="61"/>
      <c r="B1788" s="59"/>
    </row>
    <row r="1789" spans="1:2" x14ac:dyDescent="0.25">
      <c r="A1789" s="61"/>
      <c r="B1789" s="59"/>
    </row>
    <row r="1790" spans="1:2" x14ac:dyDescent="0.25">
      <c r="A1790" s="61"/>
      <c r="B1790" s="59"/>
    </row>
    <row r="1791" spans="1:2" x14ac:dyDescent="0.25">
      <c r="A1791" s="61"/>
      <c r="B1791" s="59"/>
    </row>
    <row r="1792" spans="1:2" x14ac:dyDescent="0.25">
      <c r="A1792" s="61"/>
      <c r="B1792" s="59"/>
    </row>
    <row r="1793" spans="1:2" x14ac:dyDescent="0.25">
      <c r="A1793" s="61"/>
      <c r="B1793" s="59"/>
    </row>
    <row r="1794" spans="1:2" x14ac:dyDescent="0.25">
      <c r="A1794" s="61"/>
      <c r="B1794" s="59"/>
    </row>
    <row r="1795" spans="1:2" x14ac:dyDescent="0.25">
      <c r="A1795" s="61"/>
      <c r="B1795" s="59"/>
    </row>
    <row r="1796" spans="1:2" x14ac:dyDescent="0.25">
      <c r="A1796" s="61"/>
      <c r="B1796" s="59"/>
    </row>
    <row r="1797" spans="1:2" x14ac:dyDescent="0.25">
      <c r="A1797" s="61"/>
      <c r="B1797" s="59"/>
    </row>
    <row r="1798" spans="1:2" x14ac:dyDescent="0.25">
      <c r="A1798" s="61"/>
      <c r="B1798" s="59"/>
    </row>
    <row r="1799" spans="1:2" x14ac:dyDescent="0.25">
      <c r="A1799" s="61"/>
      <c r="B1799" s="59"/>
    </row>
    <row r="1800" spans="1:2" x14ac:dyDescent="0.25">
      <c r="A1800" s="61"/>
      <c r="B1800" s="59"/>
    </row>
    <row r="1801" spans="1:2" x14ac:dyDescent="0.25">
      <c r="A1801" s="61"/>
      <c r="B1801" s="59"/>
    </row>
    <row r="1802" spans="1:2" x14ac:dyDescent="0.25">
      <c r="A1802" s="61"/>
      <c r="B1802" s="59"/>
    </row>
    <row r="1803" spans="1:2" x14ac:dyDescent="0.25">
      <c r="A1803" s="61"/>
      <c r="B1803" s="59"/>
    </row>
    <row r="1804" spans="1:2" x14ac:dyDescent="0.25">
      <c r="A1804" s="61"/>
      <c r="B1804" s="59"/>
    </row>
    <row r="1805" spans="1:2" x14ac:dyDescent="0.25">
      <c r="A1805" s="61"/>
      <c r="B1805" s="59"/>
    </row>
    <row r="1806" spans="1:2" x14ac:dyDescent="0.25">
      <c r="A1806" s="61"/>
      <c r="B1806" s="59"/>
    </row>
    <row r="1807" spans="1:2" x14ac:dyDescent="0.25">
      <c r="A1807" s="61"/>
      <c r="B1807" s="59"/>
    </row>
    <row r="1808" spans="1:2" x14ac:dyDescent="0.25">
      <c r="A1808" s="61"/>
      <c r="B1808" s="59"/>
    </row>
    <row r="1809" spans="1:2" x14ac:dyDescent="0.25">
      <c r="A1809" s="61"/>
      <c r="B1809" s="59"/>
    </row>
    <row r="1810" spans="1:2" x14ac:dyDescent="0.25">
      <c r="A1810" s="61"/>
      <c r="B1810" s="59"/>
    </row>
    <row r="1811" spans="1:2" x14ac:dyDescent="0.25">
      <c r="A1811" s="61"/>
      <c r="B1811" s="59"/>
    </row>
    <row r="1812" spans="1:2" x14ac:dyDescent="0.25">
      <c r="A1812" s="61"/>
      <c r="B1812" s="59"/>
    </row>
    <row r="1813" spans="1:2" x14ac:dyDescent="0.25">
      <c r="A1813" s="61"/>
      <c r="B1813" s="59"/>
    </row>
    <row r="1814" spans="1:2" x14ac:dyDescent="0.25">
      <c r="A1814" s="61"/>
      <c r="B1814" s="59"/>
    </row>
    <row r="1815" spans="1:2" x14ac:dyDescent="0.25">
      <c r="A1815" s="61"/>
      <c r="B1815" s="59"/>
    </row>
    <row r="1816" spans="1:2" x14ac:dyDescent="0.25">
      <c r="A1816" s="61"/>
      <c r="B1816" s="59"/>
    </row>
    <row r="1817" spans="1:2" x14ac:dyDescent="0.25">
      <c r="A1817" s="61"/>
      <c r="B1817" s="59"/>
    </row>
    <row r="1818" spans="1:2" x14ac:dyDescent="0.25">
      <c r="A1818" s="61"/>
      <c r="B1818" s="59"/>
    </row>
    <row r="1819" spans="1:2" x14ac:dyDescent="0.25">
      <c r="A1819" s="61"/>
      <c r="B1819" s="59"/>
    </row>
    <row r="1820" spans="1:2" x14ac:dyDescent="0.25">
      <c r="A1820" s="61"/>
      <c r="B1820" s="59"/>
    </row>
    <row r="1821" spans="1:2" x14ac:dyDescent="0.25">
      <c r="A1821" s="61"/>
      <c r="B1821" s="59"/>
    </row>
    <row r="1822" spans="1:2" x14ac:dyDescent="0.25">
      <c r="A1822" s="61"/>
      <c r="B1822" s="59"/>
    </row>
    <row r="1823" spans="1:2" x14ac:dyDescent="0.25">
      <c r="A1823" s="61"/>
      <c r="B1823" s="59"/>
    </row>
    <row r="1824" spans="1:2" x14ac:dyDescent="0.25">
      <c r="A1824" s="61"/>
      <c r="B1824" s="59"/>
    </row>
    <row r="1825" spans="1:2" x14ac:dyDescent="0.25">
      <c r="A1825" s="61"/>
      <c r="B1825" s="59"/>
    </row>
    <row r="1826" spans="1:2" x14ac:dyDescent="0.25">
      <c r="A1826" s="61"/>
      <c r="B1826" s="59"/>
    </row>
    <row r="1827" spans="1:2" x14ac:dyDescent="0.25">
      <c r="A1827" s="61"/>
      <c r="B1827" s="59"/>
    </row>
    <row r="1828" spans="1:2" x14ac:dyDescent="0.25">
      <c r="A1828" s="61"/>
      <c r="B1828" s="59"/>
    </row>
    <row r="1829" spans="1:2" x14ac:dyDescent="0.25">
      <c r="A1829" s="61"/>
      <c r="B1829" s="59"/>
    </row>
    <row r="1830" spans="1:2" x14ac:dyDescent="0.25">
      <c r="A1830" s="61"/>
      <c r="B1830" s="59"/>
    </row>
    <row r="1831" spans="1:2" x14ac:dyDescent="0.25">
      <c r="A1831" s="61"/>
      <c r="B1831" s="59"/>
    </row>
    <row r="1832" spans="1:2" x14ac:dyDescent="0.25">
      <c r="A1832" s="61"/>
      <c r="B1832" s="59"/>
    </row>
    <row r="1833" spans="1:2" x14ac:dyDescent="0.25">
      <c r="A1833" s="61"/>
      <c r="B1833" s="59"/>
    </row>
    <row r="1834" spans="1:2" x14ac:dyDescent="0.25">
      <c r="A1834" s="61"/>
      <c r="B1834" s="59"/>
    </row>
    <row r="1835" spans="1:2" x14ac:dyDescent="0.25">
      <c r="A1835" s="61"/>
      <c r="B1835" s="59"/>
    </row>
    <row r="1836" spans="1:2" x14ac:dyDescent="0.25">
      <c r="A1836" s="61"/>
      <c r="B1836" s="59"/>
    </row>
    <row r="1837" spans="1:2" x14ac:dyDescent="0.25">
      <c r="A1837" s="61"/>
      <c r="B1837" s="59"/>
    </row>
    <row r="1838" spans="1:2" x14ac:dyDescent="0.25">
      <c r="A1838" s="61"/>
      <c r="B1838" s="59"/>
    </row>
    <row r="1839" spans="1:2" x14ac:dyDescent="0.25">
      <c r="A1839" s="61"/>
      <c r="B1839" s="59"/>
    </row>
    <row r="1840" spans="1:2" x14ac:dyDescent="0.25">
      <c r="A1840" s="61"/>
      <c r="B1840" s="59"/>
    </row>
    <row r="1841" spans="1:2" x14ac:dyDescent="0.25">
      <c r="A1841" s="61"/>
      <c r="B1841" s="59"/>
    </row>
    <row r="1842" spans="1:2" x14ac:dyDescent="0.25">
      <c r="A1842" s="61"/>
      <c r="B1842" s="59"/>
    </row>
    <row r="1843" spans="1:2" x14ac:dyDescent="0.25">
      <c r="A1843" s="61"/>
      <c r="B1843" s="59"/>
    </row>
    <row r="1844" spans="1:2" x14ac:dyDescent="0.25">
      <c r="A1844" s="61"/>
      <c r="B1844" s="59"/>
    </row>
    <row r="1845" spans="1:2" x14ac:dyDescent="0.25">
      <c r="A1845" s="61"/>
      <c r="B1845" s="59"/>
    </row>
    <row r="1846" spans="1:2" x14ac:dyDescent="0.25">
      <c r="A1846" s="61"/>
      <c r="B1846" s="59"/>
    </row>
    <row r="1847" spans="1:2" x14ac:dyDescent="0.25">
      <c r="A1847" s="61"/>
      <c r="B1847" s="59"/>
    </row>
    <row r="1848" spans="1:2" x14ac:dyDescent="0.25">
      <c r="A1848" s="61"/>
      <c r="B1848" s="59"/>
    </row>
    <row r="1849" spans="1:2" x14ac:dyDescent="0.25">
      <c r="A1849" s="61"/>
      <c r="B1849" s="59"/>
    </row>
    <row r="1850" spans="1:2" x14ac:dyDescent="0.25">
      <c r="A1850" s="61"/>
      <c r="B1850" s="59"/>
    </row>
    <row r="1851" spans="1:2" x14ac:dyDescent="0.25">
      <c r="A1851" s="61"/>
      <c r="B1851" s="59"/>
    </row>
    <row r="1852" spans="1:2" x14ac:dyDescent="0.25">
      <c r="A1852" s="61"/>
      <c r="B1852" s="59"/>
    </row>
    <row r="1853" spans="1:2" x14ac:dyDescent="0.25">
      <c r="A1853" s="61"/>
      <c r="B1853" s="59"/>
    </row>
    <row r="1854" spans="1:2" x14ac:dyDescent="0.25">
      <c r="A1854" s="61"/>
      <c r="B1854" s="59"/>
    </row>
    <row r="1855" spans="1:2" x14ac:dyDescent="0.25">
      <c r="A1855" s="61"/>
      <c r="B1855" s="59"/>
    </row>
    <row r="1856" spans="1:2" x14ac:dyDescent="0.25">
      <c r="A1856" s="61"/>
      <c r="B1856" s="59"/>
    </row>
    <row r="1857" spans="1:2" x14ac:dyDescent="0.25">
      <c r="A1857" s="61"/>
      <c r="B1857" s="59"/>
    </row>
    <row r="1858" spans="1:2" x14ac:dyDescent="0.25">
      <c r="A1858" s="61"/>
      <c r="B1858" s="59"/>
    </row>
    <row r="1859" spans="1:2" x14ac:dyDescent="0.25">
      <c r="A1859" s="61"/>
      <c r="B1859" s="59"/>
    </row>
    <row r="1860" spans="1:2" x14ac:dyDescent="0.25">
      <c r="A1860" s="61"/>
      <c r="B1860" s="59"/>
    </row>
    <row r="1861" spans="1:2" x14ac:dyDescent="0.25">
      <c r="A1861" s="61"/>
      <c r="B1861" s="59"/>
    </row>
    <row r="1862" spans="1:2" x14ac:dyDescent="0.25">
      <c r="A1862" s="61"/>
      <c r="B1862" s="59"/>
    </row>
    <row r="1863" spans="1:2" x14ac:dyDescent="0.25">
      <c r="A1863" s="61"/>
      <c r="B1863" s="59"/>
    </row>
    <row r="1864" spans="1:2" x14ac:dyDescent="0.25">
      <c r="A1864" s="61"/>
      <c r="B1864" s="59"/>
    </row>
    <row r="1865" spans="1:2" x14ac:dyDescent="0.25">
      <c r="A1865" s="61"/>
      <c r="B1865" s="59"/>
    </row>
    <row r="1866" spans="1:2" x14ac:dyDescent="0.25">
      <c r="A1866" s="61"/>
      <c r="B1866" s="59"/>
    </row>
    <row r="1867" spans="1:2" x14ac:dyDescent="0.25">
      <c r="A1867" s="61"/>
      <c r="B1867" s="59"/>
    </row>
    <row r="1868" spans="1:2" x14ac:dyDescent="0.25">
      <c r="A1868" s="61"/>
      <c r="B1868" s="59"/>
    </row>
    <row r="1869" spans="1:2" x14ac:dyDescent="0.25">
      <c r="A1869" s="61"/>
      <c r="B1869" s="59"/>
    </row>
    <row r="1870" spans="1:2" x14ac:dyDescent="0.25">
      <c r="A1870" s="61"/>
      <c r="B1870" s="59"/>
    </row>
    <row r="1871" spans="1:2" x14ac:dyDescent="0.25">
      <c r="A1871" s="61"/>
      <c r="B1871" s="59"/>
    </row>
    <row r="1872" spans="1:2" x14ac:dyDescent="0.25">
      <c r="A1872" s="61"/>
      <c r="B1872" s="59"/>
    </row>
    <row r="1873" spans="1:2" x14ac:dyDescent="0.25">
      <c r="A1873" s="61"/>
      <c r="B1873" s="59"/>
    </row>
    <row r="1874" spans="1:2" x14ac:dyDescent="0.25">
      <c r="A1874" s="61"/>
      <c r="B1874" s="59"/>
    </row>
    <row r="1875" spans="1:2" x14ac:dyDescent="0.25">
      <c r="A1875" s="61"/>
      <c r="B1875" s="59"/>
    </row>
    <row r="1876" spans="1:2" x14ac:dyDescent="0.25">
      <c r="A1876" s="61"/>
      <c r="B1876" s="59"/>
    </row>
    <row r="1877" spans="1:2" x14ac:dyDescent="0.25">
      <c r="A1877" s="61"/>
      <c r="B1877" s="59"/>
    </row>
    <row r="1878" spans="1:2" x14ac:dyDescent="0.25">
      <c r="A1878" s="61"/>
      <c r="B1878" s="59"/>
    </row>
    <row r="1879" spans="1:2" x14ac:dyDescent="0.25">
      <c r="A1879" s="61"/>
      <c r="B1879" s="59"/>
    </row>
    <row r="1880" spans="1:2" x14ac:dyDescent="0.25">
      <c r="A1880" s="61"/>
      <c r="B1880" s="59"/>
    </row>
    <row r="1881" spans="1:2" x14ac:dyDescent="0.25">
      <c r="A1881" s="61"/>
      <c r="B1881" s="59"/>
    </row>
    <row r="1882" spans="1:2" x14ac:dyDescent="0.25">
      <c r="A1882" s="61"/>
      <c r="B1882" s="59"/>
    </row>
    <row r="1883" spans="1:2" x14ac:dyDescent="0.25">
      <c r="A1883" s="61"/>
      <c r="B1883" s="59"/>
    </row>
    <row r="1884" spans="1:2" x14ac:dyDescent="0.25">
      <c r="A1884" s="61"/>
      <c r="B1884" s="59"/>
    </row>
    <row r="1885" spans="1:2" x14ac:dyDescent="0.25">
      <c r="A1885" s="61"/>
      <c r="B1885" s="59"/>
    </row>
    <row r="1886" spans="1:2" x14ac:dyDescent="0.25">
      <c r="A1886" s="61"/>
      <c r="B1886" s="59"/>
    </row>
    <row r="1887" spans="1:2" x14ac:dyDescent="0.25">
      <c r="A1887" s="61"/>
      <c r="B1887" s="59"/>
    </row>
    <row r="1888" spans="1:2" x14ac:dyDescent="0.25">
      <c r="A1888" s="61"/>
      <c r="B1888" s="59"/>
    </row>
    <row r="1889" spans="1:2" x14ac:dyDescent="0.25">
      <c r="A1889" s="61"/>
      <c r="B1889" s="59"/>
    </row>
    <row r="1890" spans="1:2" x14ac:dyDescent="0.25">
      <c r="A1890" s="61"/>
      <c r="B1890" s="59"/>
    </row>
    <row r="1891" spans="1:2" x14ac:dyDescent="0.25">
      <c r="A1891" s="61"/>
      <c r="B1891" s="59"/>
    </row>
    <row r="1892" spans="1:2" x14ac:dyDescent="0.25">
      <c r="A1892" s="61"/>
      <c r="B1892" s="59"/>
    </row>
    <row r="1893" spans="1:2" x14ac:dyDescent="0.25">
      <c r="A1893" s="61"/>
      <c r="B1893" s="59"/>
    </row>
    <row r="1894" spans="1:2" x14ac:dyDescent="0.25">
      <c r="A1894" s="61"/>
      <c r="B1894" s="59"/>
    </row>
    <row r="1895" spans="1:2" x14ac:dyDescent="0.25">
      <c r="A1895" s="61"/>
      <c r="B1895" s="59"/>
    </row>
    <row r="1896" spans="1:2" x14ac:dyDescent="0.25">
      <c r="A1896" s="61"/>
      <c r="B1896" s="59"/>
    </row>
    <row r="1897" spans="1:2" x14ac:dyDescent="0.25">
      <c r="A1897" s="61"/>
      <c r="B1897" s="59"/>
    </row>
    <row r="1898" spans="1:2" x14ac:dyDescent="0.25">
      <c r="A1898" s="61"/>
      <c r="B1898" s="59"/>
    </row>
    <row r="1899" spans="1:2" x14ac:dyDescent="0.25">
      <c r="A1899" s="61"/>
      <c r="B1899" s="59"/>
    </row>
    <row r="1900" spans="1:2" x14ac:dyDescent="0.25">
      <c r="A1900" s="61"/>
      <c r="B1900" s="59"/>
    </row>
    <row r="1901" spans="1:2" x14ac:dyDescent="0.25">
      <c r="A1901" s="61"/>
      <c r="B1901" s="59"/>
    </row>
    <row r="1902" spans="1:2" x14ac:dyDescent="0.25">
      <c r="A1902" s="61"/>
      <c r="B1902" s="59"/>
    </row>
    <row r="1903" spans="1:2" x14ac:dyDescent="0.25">
      <c r="A1903" s="61"/>
      <c r="B1903" s="59"/>
    </row>
    <row r="1904" spans="1:2" x14ac:dyDescent="0.25">
      <c r="A1904" s="61"/>
      <c r="B1904" s="59"/>
    </row>
    <row r="1905" spans="1:2" x14ac:dyDescent="0.25">
      <c r="A1905" s="61"/>
      <c r="B1905" s="59"/>
    </row>
    <row r="1906" spans="1:2" x14ac:dyDescent="0.25">
      <c r="A1906" s="61"/>
      <c r="B1906" s="59"/>
    </row>
    <row r="1907" spans="1:2" x14ac:dyDescent="0.25">
      <c r="A1907" s="61"/>
      <c r="B1907" s="59"/>
    </row>
    <row r="1908" spans="1:2" x14ac:dyDescent="0.25">
      <c r="A1908" s="61"/>
      <c r="B1908" s="59"/>
    </row>
    <row r="1909" spans="1:2" x14ac:dyDescent="0.25">
      <c r="A1909" s="61"/>
      <c r="B1909" s="59"/>
    </row>
    <row r="1910" spans="1:2" x14ac:dyDescent="0.25">
      <c r="A1910" s="61"/>
      <c r="B1910" s="59"/>
    </row>
    <row r="1911" spans="1:2" x14ac:dyDescent="0.25">
      <c r="A1911" s="61"/>
      <c r="B1911" s="59"/>
    </row>
    <row r="1912" spans="1:2" x14ac:dyDescent="0.25">
      <c r="A1912" s="61"/>
      <c r="B1912" s="59"/>
    </row>
    <row r="1913" spans="1:2" x14ac:dyDescent="0.25">
      <c r="A1913" s="61"/>
      <c r="B1913" s="59"/>
    </row>
    <row r="1914" spans="1:2" x14ac:dyDescent="0.25">
      <c r="A1914" s="61"/>
      <c r="B1914" s="59"/>
    </row>
    <row r="1915" spans="1:2" x14ac:dyDescent="0.25">
      <c r="A1915" s="61"/>
      <c r="B1915" s="59"/>
    </row>
    <row r="1916" spans="1:2" x14ac:dyDescent="0.25">
      <c r="A1916" s="61"/>
      <c r="B1916" s="59"/>
    </row>
    <row r="1917" spans="1:2" x14ac:dyDescent="0.25">
      <c r="A1917" s="61"/>
      <c r="B1917" s="59"/>
    </row>
    <row r="1918" spans="1:2" x14ac:dyDescent="0.25">
      <c r="A1918" s="61"/>
      <c r="B1918" s="59"/>
    </row>
    <row r="1919" spans="1:2" x14ac:dyDescent="0.25">
      <c r="A1919" s="61"/>
      <c r="B1919" s="59"/>
    </row>
    <row r="1920" spans="1:2" x14ac:dyDescent="0.25">
      <c r="A1920" s="61"/>
      <c r="B1920" s="59"/>
    </row>
    <row r="1921" spans="1:2" x14ac:dyDescent="0.25">
      <c r="A1921" s="61"/>
      <c r="B1921" s="59"/>
    </row>
    <row r="1922" spans="1:2" x14ac:dyDescent="0.25">
      <c r="A1922" s="61"/>
      <c r="B1922" s="59"/>
    </row>
    <row r="1923" spans="1:2" x14ac:dyDescent="0.25">
      <c r="A1923" s="61"/>
      <c r="B1923" s="59"/>
    </row>
    <row r="1924" spans="1:2" x14ac:dyDescent="0.25">
      <c r="A1924" s="61"/>
      <c r="B1924" s="59"/>
    </row>
    <row r="1925" spans="1:2" x14ac:dyDescent="0.25">
      <c r="A1925" s="61"/>
      <c r="B1925" s="59"/>
    </row>
    <row r="1926" spans="1:2" x14ac:dyDescent="0.25">
      <c r="A1926" s="61"/>
      <c r="B1926" s="59"/>
    </row>
    <row r="1927" spans="1:2" x14ac:dyDescent="0.25">
      <c r="A1927" s="61"/>
      <c r="B1927" s="59"/>
    </row>
    <row r="1928" spans="1:2" x14ac:dyDescent="0.25">
      <c r="A1928" s="61"/>
      <c r="B1928" s="59"/>
    </row>
    <row r="1929" spans="1:2" x14ac:dyDescent="0.25">
      <c r="A1929" s="61"/>
      <c r="B1929" s="59"/>
    </row>
    <row r="1930" spans="1:2" x14ac:dyDescent="0.25">
      <c r="A1930" s="61"/>
      <c r="B1930" s="59"/>
    </row>
    <row r="1931" spans="1:2" x14ac:dyDescent="0.25">
      <c r="A1931" s="61"/>
      <c r="B1931" s="59"/>
    </row>
    <row r="1932" spans="1:2" x14ac:dyDescent="0.25">
      <c r="A1932" s="61"/>
      <c r="B1932" s="59"/>
    </row>
    <row r="1933" spans="1:2" x14ac:dyDescent="0.25">
      <c r="A1933" s="61"/>
      <c r="B1933" s="59"/>
    </row>
    <row r="1934" spans="1:2" x14ac:dyDescent="0.25">
      <c r="A1934" s="61"/>
      <c r="B1934" s="59"/>
    </row>
    <row r="1935" spans="1:2" x14ac:dyDescent="0.25">
      <c r="A1935" s="61"/>
      <c r="B1935" s="59"/>
    </row>
    <row r="1936" spans="1:2" x14ac:dyDescent="0.25">
      <c r="A1936" s="61"/>
      <c r="B1936" s="59"/>
    </row>
    <row r="1937" spans="1:2" x14ac:dyDescent="0.25">
      <c r="A1937" s="61"/>
      <c r="B1937" s="59"/>
    </row>
    <row r="1938" spans="1:2" x14ac:dyDescent="0.25">
      <c r="A1938" s="61"/>
      <c r="B1938" s="59"/>
    </row>
    <row r="1939" spans="1:2" x14ac:dyDescent="0.25">
      <c r="A1939" s="61"/>
      <c r="B1939" s="59"/>
    </row>
    <row r="1940" spans="1:2" x14ac:dyDescent="0.25">
      <c r="A1940" s="61"/>
      <c r="B1940" s="59"/>
    </row>
    <row r="1941" spans="1:2" x14ac:dyDescent="0.25">
      <c r="A1941" s="61"/>
      <c r="B1941" s="59"/>
    </row>
    <row r="1942" spans="1:2" x14ac:dyDescent="0.25">
      <c r="A1942" s="61"/>
      <c r="B1942" s="59"/>
    </row>
    <row r="1943" spans="1:2" x14ac:dyDescent="0.25">
      <c r="A1943" s="61"/>
      <c r="B1943" s="59"/>
    </row>
    <row r="1944" spans="1:2" x14ac:dyDescent="0.25">
      <c r="A1944" s="61"/>
      <c r="B1944" s="59"/>
    </row>
    <row r="1945" spans="1:2" x14ac:dyDescent="0.25">
      <c r="A1945" s="61"/>
      <c r="B1945" s="59"/>
    </row>
    <row r="1946" spans="1:2" x14ac:dyDescent="0.25">
      <c r="A1946" s="61"/>
      <c r="B1946" s="59"/>
    </row>
    <row r="1947" spans="1:2" x14ac:dyDescent="0.25">
      <c r="A1947" s="61"/>
      <c r="B1947" s="59"/>
    </row>
    <row r="1948" spans="1:2" x14ac:dyDescent="0.25">
      <c r="A1948" s="61"/>
      <c r="B1948" s="59"/>
    </row>
    <row r="1949" spans="1:2" x14ac:dyDescent="0.25">
      <c r="A1949" s="61"/>
      <c r="B1949" s="59"/>
    </row>
    <row r="1950" spans="1:2" x14ac:dyDescent="0.25">
      <c r="A1950" s="61"/>
      <c r="B1950" s="59"/>
    </row>
    <row r="1951" spans="1:2" x14ac:dyDescent="0.25">
      <c r="A1951" s="61"/>
      <c r="B1951" s="59"/>
    </row>
    <row r="1952" spans="1:2" x14ac:dyDescent="0.25">
      <c r="A1952" s="61"/>
      <c r="B1952" s="59"/>
    </row>
    <row r="1953" spans="1:2" x14ac:dyDescent="0.25">
      <c r="A1953" s="61"/>
      <c r="B1953" s="59"/>
    </row>
    <row r="1954" spans="1:2" x14ac:dyDescent="0.25">
      <c r="A1954" s="61"/>
      <c r="B1954" s="59"/>
    </row>
    <row r="1955" spans="1:2" x14ac:dyDescent="0.25">
      <c r="A1955" s="61"/>
      <c r="B1955" s="59"/>
    </row>
    <row r="1956" spans="1:2" x14ac:dyDescent="0.25">
      <c r="A1956" s="61"/>
      <c r="B1956" s="59"/>
    </row>
    <row r="1957" spans="1:2" x14ac:dyDescent="0.25">
      <c r="A1957" s="61"/>
      <c r="B1957" s="59"/>
    </row>
    <row r="1958" spans="1:2" x14ac:dyDescent="0.25">
      <c r="A1958" s="61"/>
      <c r="B1958" s="59"/>
    </row>
    <row r="1959" spans="1:2" x14ac:dyDescent="0.25">
      <c r="A1959" s="61"/>
      <c r="B1959" s="59"/>
    </row>
    <row r="1960" spans="1:2" x14ac:dyDescent="0.25">
      <c r="A1960" s="61"/>
      <c r="B1960" s="59"/>
    </row>
    <row r="1961" spans="1:2" x14ac:dyDescent="0.25">
      <c r="A1961" s="61"/>
      <c r="B1961" s="59"/>
    </row>
    <row r="1962" spans="1:2" x14ac:dyDescent="0.25">
      <c r="A1962" s="61"/>
      <c r="B1962" s="59"/>
    </row>
    <row r="1963" spans="1:2" x14ac:dyDescent="0.25">
      <c r="A1963" s="61"/>
      <c r="B1963" s="59"/>
    </row>
    <row r="1964" spans="1:2" x14ac:dyDescent="0.25">
      <c r="A1964" s="61"/>
      <c r="B1964" s="59"/>
    </row>
    <row r="1965" spans="1:2" x14ac:dyDescent="0.25">
      <c r="A1965" s="61"/>
      <c r="B1965" s="59"/>
    </row>
    <row r="1966" spans="1:2" x14ac:dyDescent="0.25">
      <c r="A1966" s="61"/>
      <c r="B1966" s="59"/>
    </row>
    <row r="1967" spans="1:2" x14ac:dyDescent="0.25">
      <c r="A1967" s="61"/>
      <c r="B1967" s="59"/>
    </row>
    <row r="1968" spans="1:2" x14ac:dyDescent="0.25">
      <c r="A1968" s="61"/>
      <c r="B1968" s="59"/>
    </row>
    <row r="1969" spans="1:2" x14ac:dyDescent="0.25">
      <c r="A1969" s="61"/>
      <c r="B1969" s="59"/>
    </row>
    <row r="1970" spans="1:2" x14ac:dyDescent="0.25">
      <c r="A1970" s="61"/>
      <c r="B1970" s="59"/>
    </row>
    <row r="1971" spans="1:2" x14ac:dyDescent="0.25">
      <c r="A1971" s="61"/>
      <c r="B1971" s="59"/>
    </row>
    <row r="1972" spans="1:2" x14ac:dyDescent="0.25">
      <c r="A1972" s="61"/>
      <c r="B1972" s="59"/>
    </row>
    <row r="1973" spans="1:2" x14ac:dyDescent="0.25">
      <c r="A1973" s="61"/>
      <c r="B1973" s="59"/>
    </row>
    <row r="1974" spans="1:2" x14ac:dyDescent="0.25">
      <c r="A1974" s="61"/>
      <c r="B1974" s="59"/>
    </row>
    <row r="1975" spans="1:2" x14ac:dyDescent="0.25">
      <c r="A1975" s="61"/>
      <c r="B1975" s="59"/>
    </row>
    <row r="1976" spans="1:2" x14ac:dyDescent="0.25">
      <c r="A1976" s="61"/>
      <c r="B1976" s="59"/>
    </row>
    <row r="1977" spans="1:2" x14ac:dyDescent="0.25">
      <c r="A1977" s="61"/>
      <c r="B1977" s="59"/>
    </row>
    <row r="1978" spans="1:2" x14ac:dyDescent="0.25">
      <c r="A1978" s="61"/>
      <c r="B1978" s="59"/>
    </row>
    <row r="1979" spans="1:2" x14ac:dyDescent="0.25">
      <c r="A1979" s="61"/>
      <c r="B1979" s="59"/>
    </row>
    <row r="1980" spans="1:2" x14ac:dyDescent="0.25">
      <c r="A1980" s="61"/>
      <c r="B1980" s="59"/>
    </row>
    <row r="1981" spans="1:2" x14ac:dyDescent="0.25">
      <c r="A1981" s="61"/>
      <c r="B1981" s="59"/>
    </row>
    <row r="1982" spans="1:2" x14ac:dyDescent="0.25">
      <c r="A1982" s="61"/>
      <c r="B1982" s="59"/>
    </row>
    <row r="1983" spans="1:2" x14ac:dyDescent="0.25">
      <c r="A1983" s="61"/>
      <c r="B1983" s="59"/>
    </row>
    <row r="1984" spans="1:2" x14ac:dyDescent="0.25">
      <c r="A1984" s="61"/>
      <c r="B1984" s="59"/>
    </row>
    <row r="1985" spans="1:2" x14ac:dyDescent="0.25">
      <c r="A1985" s="61"/>
      <c r="B1985" s="59"/>
    </row>
    <row r="1986" spans="1:2" x14ac:dyDescent="0.25">
      <c r="A1986" s="61"/>
      <c r="B1986" s="59"/>
    </row>
    <row r="1987" spans="1:2" x14ac:dyDescent="0.25">
      <c r="A1987" s="61"/>
      <c r="B1987" s="59"/>
    </row>
    <row r="1988" spans="1:2" x14ac:dyDescent="0.25">
      <c r="A1988" s="61"/>
      <c r="B1988" s="59"/>
    </row>
    <row r="1989" spans="1:2" x14ac:dyDescent="0.25">
      <c r="A1989" s="61"/>
      <c r="B1989" s="59"/>
    </row>
    <row r="1990" spans="1:2" x14ac:dyDescent="0.25">
      <c r="A1990" s="61"/>
      <c r="B1990" s="59"/>
    </row>
    <row r="1991" spans="1:2" x14ac:dyDescent="0.25">
      <c r="A1991" s="61"/>
      <c r="B1991" s="59"/>
    </row>
    <row r="1992" spans="1:2" x14ac:dyDescent="0.25">
      <c r="A1992" s="61"/>
      <c r="B1992" s="59"/>
    </row>
    <row r="1993" spans="1:2" x14ac:dyDescent="0.25">
      <c r="A1993" s="61"/>
      <c r="B1993" s="59"/>
    </row>
    <row r="1994" spans="1:2" x14ac:dyDescent="0.25">
      <c r="A1994" s="61"/>
      <c r="B1994" s="59"/>
    </row>
    <row r="1995" spans="1:2" x14ac:dyDescent="0.25">
      <c r="A1995" s="61"/>
      <c r="B1995" s="59"/>
    </row>
    <row r="1996" spans="1:2" x14ac:dyDescent="0.25">
      <c r="A1996" s="61"/>
      <c r="B1996" s="59"/>
    </row>
    <row r="1997" spans="1:2" x14ac:dyDescent="0.25">
      <c r="A1997" s="61"/>
      <c r="B1997" s="59"/>
    </row>
    <row r="1998" spans="1:2" x14ac:dyDescent="0.25">
      <c r="A1998" s="61"/>
      <c r="B1998" s="59"/>
    </row>
    <row r="1999" spans="1:2" x14ac:dyDescent="0.25">
      <c r="A1999" s="61"/>
      <c r="B1999" s="59"/>
    </row>
    <row r="2000" spans="1:2" x14ac:dyDescent="0.25">
      <c r="A2000" s="61"/>
      <c r="B2000" s="59"/>
    </row>
    <row r="2001" spans="1:2" x14ac:dyDescent="0.25">
      <c r="A2001" s="61"/>
      <c r="B2001" s="59"/>
    </row>
    <row r="2002" spans="1:2" x14ac:dyDescent="0.25">
      <c r="A2002" s="61"/>
      <c r="B2002" s="59"/>
    </row>
    <row r="2003" spans="1:2" x14ac:dyDescent="0.25">
      <c r="A2003" s="61"/>
      <c r="B2003" s="59"/>
    </row>
    <row r="2004" spans="1:2" x14ac:dyDescent="0.25">
      <c r="A2004" s="61"/>
      <c r="B2004" s="59"/>
    </row>
    <row r="2005" spans="1:2" x14ac:dyDescent="0.25">
      <c r="A2005" s="61"/>
      <c r="B2005" s="59"/>
    </row>
    <row r="2006" spans="1:2" x14ac:dyDescent="0.25">
      <c r="A2006" s="61"/>
      <c r="B2006" s="59"/>
    </row>
    <row r="2007" spans="1:2" x14ac:dyDescent="0.25">
      <c r="A2007" s="61"/>
      <c r="B2007" s="59"/>
    </row>
    <row r="2008" spans="1:2" x14ac:dyDescent="0.25">
      <c r="A2008" s="61"/>
      <c r="B2008" s="59"/>
    </row>
    <row r="2009" spans="1:2" x14ac:dyDescent="0.25">
      <c r="A2009" s="61"/>
      <c r="B2009" s="59"/>
    </row>
    <row r="2010" spans="1:2" x14ac:dyDescent="0.25">
      <c r="A2010" s="61"/>
      <c r="B2010" s="59"/>
    </row>
    <row r="2011" spans="1:2" x14ac:dyDescent="0.25">
      <c r="A2011" s="61"/>
      <c r="B2011" s="59"/>
    </row>
    <row r="2012" spans="1:2" x14ac:dyDescent="0.25">
      <c r="A2012" s="61"/>
      <c r="B2012" s="59"/>
    </row>
    <row r="2013" spans="1:2" x14ac:dyDescent="0.25">
      <c r="A2013" s="61"/>
      <c r="B2013" s="59"/>
    </row>
    <row r="2014" spans="1:2" x14ac:dyDescent="0.25">
      <c r="A2014" s="61"/>
      <c r="B2014" s="59"/>
    </row>
    <row r="2015" spans="1:2" x14ac:dyDescent="0.25">
      <c r="A2015" s="61"/>
      <c r="B2015" s="59"/>
    </row>
    <row r="2016" spans="1:2" x14ac:dyDescent="0.25">
      <c r="A2016" s="61"/>
      <c r="B2016" s="59"/>
    </row>
    <row r="2017" spans="1:2" x14ac:dyDescent="0.25">
      <c r="A2017" s="61"/>
      <c r="B2017" s="59"/>
    </row>
    <row r="2018" spans="1:2" x14ac:dyDescent="0.25">
      <c r="A2018" s="61"/>
      <c r="B2018" s="59"/>
    </row>
    <row r="2019" spans="1:2" x14ac:dyDescent="0.25">
      <c r="A2019" s="61"/>
      <c r="B2019" s="59"/>
    </row>
    <row r="2020" spans="1:2" x14ac:dyDescent="0.25">
      <c r="A2020" s="61"/>
      <c r="B2020" s="59"/>
    </row>
    <row r="2021" spans="1:2" x14ac:dyDescent="0.25">
      <c r="A2021" s="61"/>
      <c r="B2021" s="59"/>
    </row>
    <row r="2022" spans="1:2" x14ac:dyDescent="0.25">
      <c r="A2022" s="61"/>
      <c r="B2022" s="59"/>
    </row>
    <row r="2023" spans="1:2" x14ac:dyDescent="0.25">
      <c r="A2023" s="61"/>
      <c r="B2023" s="59"/>
    </row>
    <row r="2024" spans="1:2" x14ac:dyDescent="0.25">
      <c r="A2024" s="61"/>
      <c r="B2024" s="59"/>
    </row>
    <row r="2025" spans="1:2" x14ac:dyDescent="0.25">
      <c r="A2025" s="61"/>
      <c r="B2025" s="59"/>
    </row>
    <row r="2026" spans="1:2" x14ac:dyDescent="0.25">
      <c r="A2026" s="61"/>
      <c r="B2026" s="59"/>
    </row>
    <row r="2027" spans="1:2" x14ac:dyDescent="0.25">
      <c r="A2027" s="61"/>
      <c r="B2027" s="59"/>
    </row>
    <row r="2028" spans="1:2" x14ac:dyDescent="0.25">
      <c r="A2028" s="61"/>
      <c r="B2028" s="59"/>
    </row>
    <row r="2029" spans="1:2" x14ac:dyDescent="0.25">
      <c r="A2029" s="61"/>
      <c r="B2029" s="59"/>
    </row>
    <row r="2030" spans="1:2" x14ac:dyDescent="0.25">
      <c r="A2030" s="61"/>
      <c r="B2030" s="59"/>
    </row>
    <row r="2031" spans="1:2" x14ac:dyDescent="0.25">
      <c r="A2031" s="61"/>
      <c r="B2031" s="59"/>
    </row>
    <row r="2032" spans="1:2" x14ac:dyDescent="0.25">
      <c r="A2032" s="61"/>
      <c r="B2032" s="59"/>
    </row>
    <row r="2033" spans="1:2" x14ac:dyDescent="0.25">
      <c r="A2033" s="61"/>
      <c r="B2033" s="59"/>
    </row>
    <row r="2034" spans="1:2" x14ac:dyDescent="0.25">
      <c r="A2034" s="61"/>
      <c r="B2034" s="59"/>
    </row>
    <row r="2035" spans="1:2" x14ac:dyDescent="0.25">
      <c r="A2035" s="61"/>
      <c r="B2035" s="59"/>
    </row>
    <row r="2036" spans="1:2" x14ac:dyDescent="0.25">
      <c r="A2036" s="61"/>
      <c r="B2036" s="59"/>
    </row>
    <row r="2037" spans="1:2" x14ac:dyDescent="0.25">
      <c r="A2037" s="61"/>
      <c r="B2037" s="59"/>
    </row>
    <row r="2038" spans="1:2" x14ac:dyDescent="0.25">
      <c r="A2038" s="61"/>
      <c r="B2038" s="59"/>
    </row>
    <row r="2039" spans="1:2" x14ac:dyDescent="0.25">
      <c r="A2039" s="61"/>
      <c r="B2039" s="59"/>
    </row>
    <row r="2040" spans="1:2" x14ac:dyDescent="0.25">
      <c r="A2040" s="61"/>
      <c r="B2040" s="59"/>
    </row>
    <row r="2041" spans="1:2" x14ac:dyDescent="0.25">
      <c r="A2041" s="61"/>
      <c r="B2041" s="59"/>
    </row>
    <row r="2042" spans="1:2" x14ac:dyDescent="0.25">
      <c r="A2042" s="61"/>
      <c r="B2042" s="59"/>
    </row>
    <row r="2043" spans="1:2" x14ac:dyDescent="0.25">
      <c r="A2043" s="61"/>
      <c r="B2043" s="59"/>
    </row>
    <row r="2044" spans="1:2" x14ac:dyDescent="0.25">
      <c r="A2044" s="61"/>
      <c r="B2044" s="59"/>
    </row>
    <row r="2045" spans="1:2" x14ac:dyDescent="0.25">
      <c r="A2045" s="61"/>
      <c r="B2045" s="59"/>
    </row>
    <row r="2046" spans="1:2" x14ac:dyDescent="0.25">
      <c r="A2046" s="61"/>
      <c r="B2046" s="59"/>
    </row>
    <row r="2047" spans="1:2" x14ac:dyDescent="0.25">
      <c r="A2047" s="61"/>
      <c r="B2047" s="59"/>
    </row>
    <row r="2048" spans="1:2" x14ac:dyDescent="0.25">
      <c r="A2048" s="61"/>
      <c r="B2048" s="59"/>
    </row>
    <row r="2049" spans="1:2" x14ac:dyDescent="0.25">
      <c r="A2049" s="61"/>
      <c r="B2049" s="59"/>
    </row>
    <row r="2050" spans="1:2" x14ac:dyDescent="0.25">
      <c r="A2050" s="61"/>
      <c r="B2050" s="59"/>
    </row>
    <row r="2051" spans="1:2" x14ac:dyDescent="0.25">
      <c r="A2051" s="61"/>
      <c r="B2051" s="59"/>
    </row>
    <row r="2052" spans="1:2" x14ac:dyDescent="0.25">
      <c r="A2052" s="61"/>
      <c r="B2052" s="59"/>
    </row>
    <row r="2053" spans="1:2" x14ac:dyDescent="0.25">
      <c r="A2053" s="61"/>
      <c r="B2053" s="59"/>
    </row>
    <row r="2054" spans="1:2" x14ac:dyDescent="0.25">
      <c r="A2054" s="61"/>
      <c r="B2054" s="59"/>
    </row>
    <row r="2055" spans="1:2" x14ac:dyDescent="0.25">
      <c r="A2055" s="61"/>
      <c r="B2055" s="59"/>
    </row>
    <row r="2056" spans="1:2" x14ac:dyDescent="0.25">
      <c r="A2056" s="61"/>
      <c r="B2056" s="59"/>
    </row>
    <row r="2057" spans="1:2" x14ac:dyDescent="0.25">
      <c r="A2057" s="61"/>
      <c r="B2057" s="59"/>
    </row>
    <row r="2058" spans="1:2" x14ac:dyDescent="0.25">
      <c r="A2058" s="61"/>
      <c r="B2058" s="59"/>
    </row>
    <row r="2059" spans="1:2" x14ac:dyDescent="0.25">
      <c r="A2059" s="61"/>
      <c r="B2059" s="59"/>
    </row>
    <row r="2060" spans="1:2" x14ac:dyDescent="0.25">
      <c r="A2060" s="61"/>
      <c r="B2060" s="59"/>
    </row>
    <row r="2061" spans="1:2" x14ac:dyDescent="0.25">
      <c r="A2061" s="61"/>
      <c r="B2061" s="59"/>
    </row>
    <row r="2062" spans="1:2" x14ac:dyDescent="0.25">
      <c r="A2062" s="61"/>
      <c r="B2062" s="59"/>
    </row>
    <row r="2063" spans="1:2" x14ac:dyDescent="0.25">
      <c r="A2063" s="61"/>
      <c r="B2063" s="59"/>
    </row>
    <row r="2064" spans="1:2" x14ac:dyDescent="0.25">
      <c r="A2064" s="61"/>
      <c r="B2064" s="59"/>
    </row>
    <row r="2065" spans="1:2" x14ac:dyDescent="0.25">
      <c r="A2065" s="61"/>
      <c r="B2065" s="59"/>
    </row>
    <row r="2066" spans="1:2" x14ac:dyDescent="0.25">
      <c r="A2066" s="61"/>
      <c r="B2066" s="59"/>
    </row>
    <row r="2067" spans="1:2" x14ac:dyDescent="0.25">
      <c r="A2067" s="61"/>
      <c r="B2067" s="59"/>
    </row>
    <row r="2068" spans="1:2" x14ac:dyDescent="0.25">
      <c r="A2068" s="61"/>
      <c r="B2068" s="59"/>
    </row>
    <row r="2069" spans="1:2" x14ac:dyDescent="0.25">
      <c r="A2069" s="61"/>
      <c r="B2069" s="59"/>
    </row>
    <row r="2070" spans="1:2" x14ac:dyDescent="0.25">
      <c r="A2070" s="61"/>
      <c r="B2070" s="59"/>
    </row>
    <row r="2071" spans="1:2" x14ac:dyDescent="0.25">
      <c r="A2071" s="61"/>
      <c r="B2071" s="59"/>
    </row>
    <row r="2072" spans="1:2" x14ac:dyDescent="0.25">
      <c r="A2072" s="61"/>
      <c r="B2072" s="59"/>
    </row>
    <row r="2073" spans="1:2" x14ac:dyDescent="0.25">
      <c r="A2073" s="61"/>
      <c r="B2073" s="59"/>
    </row>
    <row r="2074" spans="1:2" x14ac:dyDescent="0.25">
      <c r="A2074" s="61"/>
      <c r="B2074" s="59"/>
    </row>
    <row r="2075" spans="1:2" x14ac:dyDescent="0.25">
      <c r="A2075" s="61"/>
      <c r="B2075" s="59"/>
    </row>
    <row r="2076" spans="1:2" x14ac:dyDescent="0.25">
      <c r="A2076" s="61"/>
      <c r="B2076" s="59"/>
    </row>
    <row r="2077" spans="1:2" x14ac:dyDescent="0.25">
      <c r="A2077" s="61"/>
      <c r="B2077" s="59"/>
    </row>
    <row r="2078" spans="1:2" x14ac:dyDescent="0.25">
      <c r="A2078" s="61"/>
      <c r="B2078" s="59"/>
    </row>
    <row r="2079" spans="1:2" x14ac:dyDescent="0.25">
      <c r="A2079" s="61"/>
      <c r="B2079" s="59"/>
    </row>
    <row r="2080" spans="1:2" x14ac:dyDescent="0.25">
      <c r="A2080" s="61"/>
      <c r="B2080" s="59"/>
    </row>
    <row r="2081" spans="1:2" x14ac:dyDescent="0.25">
      <c r="A2081" s="61"/>
      <c r="B2081" s="59"/>
    </row>
    <row r="2082" spans="1:2" x14ac:dyDescent="0.25">
      <c r="A2082" s="61"/>
      <c r="B2082" s="59"/>
    </row>
    <row r="2083" spans="1:2" x14ac:dyDescent="0.25">
      <c r="A2083" s="61"/>
      <c r="B2083" s="59"/>
    </row>
    <row r="2084" spans="1:2" x14ac:dyDescent="0.25">
      <c r="A2084" s="61"/>
      <c r="B2084" s="59"/>
    </row>
    <row r="2085" spans="1:2" x14ac:dyDescent="0.25">
      <c r="A2085" s="61"/>
      <c r="B2085" s="59"/>
    </row>
    <row r="2086" spans="1:2" x14ac:dyDescent="0.25">
      <c r="A2086" s="61"/>
      <c r="B2086" s="59"/>
    </row>
    <row r="2087" spans="1:2" x14ac:dyDescent="0.25">
      <c r="A2087" s="61"/>
      <c r="B2087" s="59"/>
    </row>
    <row r="2088" spans="1:2" x14ac:dyDescent="0.25">
      <c r="A2088" s="61"/>
      <c r="B2088" s="59"/>
    </row>
    <row r="2089" spans="1:2" x14ac:dyDescent="0.25">
      <c r="A2089" s="61"/>
      <c r="B2089" s="59"/>
    </row>
    <row r="2090" spans="1:2" x14ac:dyDescent="0.25">
      <c r="A2090" s="61"/>
      <c r="B2090" s="59"/>
    </row>
    <row r="2091" spans="1:2" x14ac:dyDescent="0.25">
      <c r="A2091" s="61"/>
      <c r="B2091" s="59"/>
    </row>
    <row r="2092" spans="1:2" x14ac:dyDescent="0.25">
      <c r="A2092" s="61"/>
      <c r="B2092" s="59"/>
    </row>
    <row r="2093" spans="1:2" x14ac:dyDescent="0.25">
      <c r="A2093" s="61"/>
      <c r="B2093" s="59"/>
    </row>
    <row r="2094" spans="1:2" x14ac:dyDescent="0.25">
      <c r="A2094" s="61"/>
      <c r="B2094" s="59"/>
    </row>
    <row r="2095" spans="1:2" x14ac:dyDescent="0.25">
      <c r="A2095" s="61"/>
      <c r="B2095" s="59"/>
    </row>
    <row r="2096" spans="1:2" x14ac:dyDescent="0.25">
      <c r="A2096" s="61"/>
      <c r="B2096" s="59"/>
    </row>
    <row r="2097" spans="1:2" x14ac:dyDescent="0.25">
      <c r="A2097" s="61"/>
      <c r="B2097" s="59"/>
    </row>
    <row r="2098" spans="1:2" x14ac:dyDescent="0.25">
      <c r="A2098" s="61"/>
      <c r="B2098" s="59"/>
    </row>
    <row r="2099" spans="1:2" x14ac:dyDescent="0.25">
      <c r="A2099" s="61"/>
      <c r="B2099" s="59"/>
    </row>
    <row r="2100" spans="1:2" x14ac:dyDescent="0.25">
      <c r="A2100" s="61"/>
      <c r="B2100" s="59"/>
    </row>
    <row r="2101" spans="1:2" x14ac:dyDescent="0.25">
      <c r="A2101" s="61"/>
      <c r="B2101" s="59"/>
    </row>
    <row r="2102" spans="1:2" x14ac:dyDescent="0.25">
      <c r="A2102" s="61"/>
      <c r="B2102" s="59"/>
    </row>
    <row r="2103" spans="1:2" x14ac:dyDescent="0.25">
      <c r="A2103" s="61"/>
      <c r="B2103" s="59"/>
    </row>
    <row r="2104" spans="1:2" x14ac:dyDescent="0.25">
      <c r="A2104" s="61"/>
      <c r="B2104" s="59"/>
    </row>
    <row r="2105" spans="1:2" x14ac:dyDescent="0.25">
      <c r="A2105" s="61"/>
      <c r="B2105" s="59"/>
    </row>
    <row r="2106" spans="1:2" x14ac:dyDescent="0.25">
      <c r="A2106" s="61"/>
      <c r="B2106" s="59"/>
    </row>
    <row r="2107" spans="1:2" x14ac:dyDescent="0.25">
      <c r="A2107" s="61"/>
      <c r="B2107" s="59"/>
    </row>
    <row r="2108" spans="1:2" x14ac:dyDescent="0.25">
      <c r="A2108" s="61"/>
      <c r="B2108" s="59"/>
    </row>
    <row r="2109" spans="1:2" x14ac:dyDescent="0.25">
      <c r="A2109" s="61"/>
      <c r="B2109" s="59"/>
    </row>
    <row r="2110" spans="1:2" x14ac:dyDescent="0.25">
      <c r="A2110" s="61"/>
      <c r="B2110" s="59"/>
    </row>
    <row r="2111" spans="1:2" x14ac:dyDescent="0.25">
      <c r="A2111" s="61"/>
      <c r="B2111" s="59"/>
    </row>
    <row r="2112" spans="1:2" x14ac:dyDescent="0.25">
      <c r="A2112" s="61"/>
      <c r="B2112" s="59"/>
    </row>
    <row r="2113" spans="1:2" x14ac:dyDescent="0.25">
      <c r="A2113" s="61"/>
      <c r="B2113" s="59"/>
    </row>
    <row r="2114" spans="1:2" x14ac:dyDescent="0.25">
      <c r="A2114" s="61"/>
      <c r="B2114" s="59"/>
    </row>
    <row r="2115" spans="1:2" x14ac:dyDescent="0.25">
      <c r="A2115" s="61"/>
      <c r="B2115" s="59"/>
    </row>
    <row r="2116" spans="1:2" x14ac:dyDescent="0.25">
      <c r="A2116" s="61"/>
      <c r="B2116" s="59"/>
    </row>
    <row r="2117" spans="1:2" x14ac:dyDescent="0.25">
      <c r="A2117" s="61"/>
      <c r="B2117" s="59"/>
    </row>
    <row r="2118" spans="1:2" x14ac:dyDescent="0.25">
      <c r="A2118" s="61"/>
      <c r="B2118" s="59"/>
    </row>
    <row r="2119" spans="1:2" x14ac:dyDescent="0.25">
      <c r="A2119" s="61"/>
      <c r="B2119" s="59"/>
    </row>
    <row r="2120" spans="1:2" x14ac:dyDescent="0.25">
      <c r="A2120" s="61"/>
      <c r="B2120" s="59"/>
    </row>
    <row r="2121" spans="1:2" x14ac:dyDescent="0.25">
      <c r="A2121" s="61"/>
      <c r="B2121" s="59"/>
    </row>
    <row r="2122" spans="1:2" x14ac:dyDescent="0.25">
      <c r="A2122" s="61"/>
      <c r="B2122" s="59"/>
    </row>
    <row r="2123" spans="1:2" x14ac:dyDescent="0.25">
      <c r="A2123" s="61"/>
      <c r="B2123" s="59"/>
    </row>
    <row r="2124" spans="1:2" x14ac:dyDescent="0.25">
      <c r="A2124" s="61"/>
      <c r="B2124" s="59"/>
    </row>
    <row r="2125" spans="1:2" x14ac:dyDescent="0.25">
      <c r="A2125" s="61"/>
      <c r="B2125" s="59"/>
    </row>
    <row r="2126" spans="1:2" x14ac:dyDescent="0.25">
      <c r="A2126" s="61"/>
      <c r="B2126" s="59"/>
    </row>
    <row r="2127" spans="1:2" x14ac:dyDescent="0.25">
      <c r="A2127" s="61"/>
      <c r="B2127" s="59"/>
    </row>
    <row r="2128" spans="1:2" x14ac:dyDescent="0.25">
      <c r="A2128" s="61"/>
      <c r="B2128" s="59"/>
    </row>
    <row r="2129" spans="1:2" x14ac:dyDescent="0.25">
      <c r="A2129" s="61"/>
      <c r="B2129" s="59"/>
    </row>
    <row r="2130" spans="1:2" x14ac:dyDescent="0.25">
      <c r="A2130" s="61"/>
      <c r="B2130" s="59"/>
    </row>
    <row r="2131" spans="1:2" x14ac:dyDescent="0.25">
      <c r="A2131" s="61"/>
      <c r="B2131" s="59"/>
    </row>
    <row r="2132" spans="1:2" x14ac:dyDescent="0.25">
      <c r="A2132" s="61"/>
      <c r="B2132" s="59"/>
    </row>
    <row r="2133" spans="1:2" x14ac:dyDescent="0.25">
      <c r="A2133" s="61"/>
      <c r="B2133" s="59"/>
    </row>
    <row r="2134" spans="1:2" x14ac:dyDescent="0.25">
      <c r="A2134" s="61"/>
      <c r="B2134" s="59"/>
    </row>
    <row r="2135" spans="1:2" x14ac:dyDescent="0.25">
      <c r="A2135" s="61"/>
      <c r="B2135" s="59"/>
    </row>
    <row r="2136" spans="1:2" x14ac:dyDescent="0.25">
      <c r="A2136" s="61"/>
      <c r="B2136" s="59"/>
    </row>
    <row r="2137" spans="1:2" x14ac:dyDescent="0.25">
      <c r="A2137" s="61"/>
      <c r="B2137" s="59"/>
    </row>
    <row r="2138" spans="1:2" x14ac:dyDescent="0.25">
      <c r="A2138" s="61"/>
      <c r="B2138" s="59"/>
    </row>
    <row r="2139" spans="1:2" x14ac:dyDescent="0.25">
      <c r="A2139" s="61"/>
      <c r="B2139" s="59"/>
    </row>
    <row r="2140" spans="1:2" x14ac:dyDescent="0.25">
      <c r="A2140" s="61"/>
      <c r="B2140" s="59"/>
    </row>
    <row r="2141" spans="1:2" x14ac:dyDescent="0.25">
      <c r="A2141" s="61"/>
      <c r="B2141" s="59"/>
    </row>
    <row r="2142" spans="1:2" x14ac:dyDescent="0.25">
      <c r="A2142" s="61"/>
      <c r="B2142" s="59"/>
    </row>
    <row r="2143" spans="1:2" x14ac:dyDescent="0.25">
      <c r="A2143" s="61"/>
      <c r="B2143" s="59"/>
    </row>
    <row r="2144" spans="1:2" x14ac:dyDescent="0.25">
      <c r="A2144" s="61"/>
      <c r="B2144" s="59"/>
    </row>
    <row r="2145" spans="1:2" x14ac:dyDescent="0.25">
      <c r="A2145" s="61"/>
      <c r="B2145" s="59"/>
    </row>
    <row r="2146" spans="1:2" x14ac:dyDescent="0.25">
      <c r="A2146" s="61"/>
      <c r="B2146" s="59"/>
    </row>
    <row r="2147" spans="1:2" x14ac:dyDescent="0.25">
      <c r="A2147" s="61"/>
      <c r="B2147" s="59"/>
    </row>
    <row r="2148" spans="1:2" x14ac:dyDescent="0.25">
      <c r="A2148" s="61"/>
      <c r="B2148" s="59"/>
    </row>
    <row r="2149" spans="1:2" x14ac:dyDescent="0.25">
      <c r="A2149" s="61"/>
      <c r="B2149" s="59"/>
    </row>
    <row r="2150" spans="1:2" x14ac:dyDescent="0.25">
      <c r="A2150" s="61"/>
      <c r="B2150" s="59"/>
    </row>
    <row r="2151" spans="1:2" x14ac:dyDescent="0.25">
      <c r="A2151" s="61"/>
      <c r="B2151" s="59"/>
    </row>
    <row r="2152" spans="1:2" x14ac:dyDescent="0.25">
      <c r="A2152" s="61"/>
      <c r="B2152" s="59"/>
    </row>
    <row r="2153" spans="1:2" x14ac:dyDescent="0.25">
      <c r="A2153" s="61"/>
      <c r="B2153" s="59"/>
    </row>
    <row r="2154" spans="1:2" x14ac:dyDescent="0.25">
      <c r="A2154" s="61"/>
      <c r="B2154" s="59"/>
    </row>
    <row r="2155" spans="1:2" x14ac:dyDescent="0.25">
      <c r="A2155" s="61"/>
      <c r="B2155" s="59"/>
    </row>
    <row r="2156" spans="1:2" x14ac:dyDescent="0.25">
      <c r="A2156" s="61"/>
      <c r="B2156" s="59"/>
    </row>
    <row r="2157" spans="1:2" x14ac:dyDescent="0.25">
      <c r="A2157" s="61"/>
      <c r="B2157" s="59"/>
    </row>
    <row r="2158" spans="1:2" x14ac:dyDescent="0.25">
      <c r="A2158" s="61"/>
      <c r="B2158" s="59"/>
    </row>
    <row r="2159" spans="1:2" x14ac:dyDescent="0.25">
      <c r="A2159" s="61"/>
      <c r="B2159" s="59"/>
    </row>
    <row r="2160" spans="1:2" x14ac:dyDescent="0.25">
      <c r="A2160" s="61"/>
      <c r="B2160" s="59"/>
    </row>
    <row r="2161" spans="1:2" x14ac:dyDescent="0.25">
      <c r="A2161" s="61"/>
      <c r="B2161" s="59"/>
    </row>
    <row r="2162" spans="1:2" x14ac:dyDescent="0.25">
      <c r="A2162" s="61"/>
      <c r="B2162" s="59"/>
    </row>
    <row r="2163" spans="1:2" x14ac:dyDescent="0.25">
      <c r="A2163" s="61"/>
      <c r="B2163" s="59"/>
    </row>
    <row r="2164" spans="1:2" x14ac:dyDescent="0.25">
      <c r="A2164" s="61"/>
      <c r="B2164" s="59"/>
    </row>
    <row r="2165" spans="1:2" x14ac:dyDescent="0.25">
      <c r="A2165" s="61"/>
      <c r="B2165" s="59"/>
    </row>
    <row r="2166" spans="1:2" x14ac:dyDescent="0.25">
      <c r="A2166" s="61"/>
      <c r="B2166" s="59"/>
    </row>
    <row r="2167" spans="1:2" x14ac:dyDescent="0.25">
      <c r="A2167" s="61"/>
      <c r="B2167" s="59"/>
    </row>
    <row r="2168" spans="1:2" x14ac:dyDescent="0.25">
      <c r="A2168" s="61"/>
      <c r="B2168" s="59"/>
    </row>
    <row r="2169" spans="1:2" x14ac:dyDescent="0.25">
      <c r="A2169" s="61"/>
      <c r="B2169" s="59"/>
    </row>
    <row r="2170" spans="1:2" x14ac:dyDescent="0.25">
      <c r="A2170" s="61"/>
      <c r="B2170" s="59"/>
    </row>
    <row r="2171" spans="1:2" x14ac:dyDescent="0.25">
      <c r="A2171" s="61"/>
      <c r="B2171" s="59"/>
    </row>
    <row r="2172" spans="1:2" x14ac:dyDescent="0.25">
      <c r="A2172" s="61"/>
      <c r="B2172" s="59"/>
    </row>
    <row r="2173" spans="1:2" x14ac:dyDescent="0.25">
      <c r="A2173" s="61"/>
      <c r="B2173" s="59"/>
    </row>
    <row r="2174" spans="1:2" x14ac:dyDescent="0.25">
      <c r="A2174" s="61"/>
      <c r="B2174" s="59"/>
    </row>
    <row r="2175" spans="1:2" x14ac:dyDescent="0.25">
      <c r="A2175" s="61"/>
      <c r="B2175" s="59"/>
    </row>
    <row r="2176" spans="1:2" x14ac:dyDescent="0.25">
      <c r="A2176" s="61"/>
      <c r="B2176" s="59"/>
    </row>
    <row r="2177" spans="1:2" x14ac:dyDescent="0.25">
      <c r="A2177" s="61"/>
      <c r="B2177" s="59"/>
    </row>
    <row r="2178" spans="1:2" x14ac:dyDescent="0.25">
      <c r="A2178" s="61"/>
      <c r="B2178" s="59"/>
    </row>
    <row r="2179" spans="1:2" x14ac:dyDescent="0.25">
      <c r="A2179" s="61"/>
      <c r="B2179" s="59"/>
    </row>
    <row r="2180" spans="1:2" x14ac:dyDescent="0.25">
      <c r="A2180" s="61"/>
      <c r="B2180" s="59"/>
    </row>
    <row r="2181" spans="1:2" x14ac:dyDescent="0.25">
      <c r="A2181" s="61"/>
      <c r="B2181" s="59"/>
    </row>
    <row r="2182" spans="1:2" x14ac:dyDescent="0.25">
      <c r="A2182" s="61"/>
      <c r="B2182" s="59"/>
    </row>
    <row r="2183" spans="1:2" x14ac:dyDescent="0.25">
      <c r="A2183" s="61"/>
      <c r="B2183" s="59"/>
    </row>
    <row r="2184" spans="1:2" x14ac:dyDescent="0.25">
      <c r="A2184" s="61"/>
      <c r="B2184" s="59"/>
    </row>
    <row r="2185" spans="1:2" x14ac:dyDescent="0.25">
      <c r="A2185" s="61"/>
      <c r="B2185" s="59"/>
    </row>
    <row r="2186" spans="1:2" x14ac:dyDescent="0.25">
      <c r="A2186" s="61"/>
      <c r="B2186" s="59"/>
    </row>
    <row r="2187" spans="1:2" x14ac:dyDescent="0.25">
      <c r="A2187" s="61"/>
      <c r="B2187" s="59"/>
    </row>
    <row r="2188" spans="1:2" x14ac:dyDescent="0.25">
      <c r="A2188" s="61"/>
      <c r="B2188" s="59"/>
    </row>
    <row r="2189" spans="1:2" x14ac:dyDescent="0.25">
      <c r="A2189" s="61"/>
      <c r="B2189" s="59"/>
    </row>
    <row r="2190" spans="1:2" x14ac:dyDescent="0.25">
      <c r="A2190" s="61"/>
      <c r="B2190" s="59"/>
    </row>
    <row r="2191" spans="1:2" x14ac:dyDescent="0.25">
      <c r="A2191" s="61"/>
      <c r="B2191" s="59"/>
    </row>
    <row r="2192" spans="1:2" x14ac:dyDescent="0.25">
      <c r="A2192" s="61"/>
      <c r="B2192" s="59"/>
    </row>
    <row r="2193" spans="1:2" x14ac:dyDescent="0.25">
      <c r="A2193" s="61"/>
      <c r="B2193" s="59"/>
    </row>
    <row r="2194" spans="1:2" x14ac:dyDescent="0.25">
      <c r="A2194" s="61"/>
      <c r="B2194" s="59"/>
    </row>
    <row r="2195" spans="1:2" x14ac:dyDescent="0.25">
      <c r="A2195" s="61"/>
      <c r="B2195" s="59"/>
    </row>
    <row r="2196" spans="1:2" x14ac:dyDescent="0.25">
      <c r="A2196" s="61"/>
      <c r="B2196" s="59"/>
    </row>
    <row r="2197" spans="1:2" x14ac:dyDescent="0.25">
      <c r="A2197" s="61"/>
      <c r="B2197" s="59"/>
    </row>
    <row r="2198" spans="1:2" x14ac:dyDescent="0.25">
      <c r="A2198" s="61"/>
      <c r="B2198" s="59"/>
    </row>
    <row r="2199" spans="1:2" x14ac:dyDescent="0.25">
      <c r="A2199" s="61"/>
      <c r="B2199" s="59"/>
    </row>
    <row r="2200" spans="1:2" x14ac:dyDescent="0.25">
      <c r="A2200" s="61"/>
      <c r="B2200" s="59"/>
    </row>
    <row r="2201" spans="1:2" x14ac:dyDescent="0.25">
      <c r="A2201" s="61"/>
      <c r="B2201" s="59"/>
    </row>
    <row r="2202" spans="1:2" x14ac:dyDescent="0.25">
      <c r="A2202" s="61"/>
      <c r="B2202" s="59"/>
    </row>
    <row r="2203" spans="1:2" x14ac:dyDescent="0.25">
      <c r="A2203" s="61"/>
      <c r="B2203" s="59"/>
    </row>
    <row r="2204" spans="1:2" x14ac:dyDescent="0.25">
      <c r="A2204" s="61"/>
      <c r="B2204" s="59"/>
    </row>
    <row r="2205" spans="1:2" x14ac:dyDescent="0.25">
      <c r="A2205" s="61"/>
      <c r="B2205" s="59"/>
    </row>
    <row r="2206" spans="1:2" x14ac:dyDescent="0.25">
      <c r="A2206" s="61"/>
      <c r="B2206" s="59"/>
    </row>
    <row r="2207" spans="1:2" x14ac:dyDescent="0.25">
      <c r="A2207" s="61"/>
      <c r="B2207" s="59"/>
    </row>
    <row r="2208" spans="1:2" x14ac:dyDescent="0.25">
      <c r="A2208" s="61"/>
      <c r="B2208" s="59"/>
    </row>
    <row r="2209" spans="1:2" x14ac:dyDescent="0.25">
      <c r="A2209" s="61"/>
      <c r="B2209" s="59"/>
    </row>
    <row r="2210" spans="1:2" x14ac:dyDescent="0.25">
      <c r="A2210" s="61"/>
      <c r="B2210" s="59"/>
    </row>
    <row r="2211" spans="1:2" x14ac:dyDescent="0.25">
      <c r="A2211" s="61"/>
      <c r="B2211" s="59"/>
    </row>
    <row r="2212" spans="1:2" x14ac:dyDescent="0.25">
      <c r="A2212" s="61"/>
      <c r="B2212" s="59"/>
    </row>
    <row r="2213" spans="1:2" x14ac:dyDescent="0.25">
      <c r="A2213" s="61"/>
      <c r="B2213" s="59"/>
    </row>
    <row r="2214" spans="1:2" x14ac:dyDescent="0.25">
      <c r="A2214" s="61"/>
      <c r="B2214" s="59"/>
    </row>
    <row r="2215" spans="1:2" x14ac:dyDescent="0.25">
      <c r="A2215" s="61"/>
      <c r="B2215" s="59"/>
    </row>
    <row r="2216" spans="1:2" x14ac:dyDescent="0.25">
      <c r="A2216" s="61"/>
      <c r="B2216" s="59"/>
    </row>
    <row r="2217" spans="1:2" x14ac:dyDescent="0.25">
      <c r="A2217" s="61"/>
      <c r="B2217" s="59"/>
    </row>
    <row r="2218" spans="1:2" x14ac:dyDescent="0.25">
      <c r="A2218" s="61"/>
      <c r="B2218" s="59"/>
    </row>
    <row r="2219" spans="1:2" x14ac:dyDescent="0.25">
      <c r="A2219" s="61"/>
      <c r="B2219" s="59"/>
    </row>
    <row r="2220" spans="1:2" x14ac:dyDescent="0.25">
      <c r="A2220" s="61"/>
      <c r="B2220" s="59"/>
    </row>
    <row r="2221" spans="1:2" x14ac:dyDescent="0.25">
      <c r="A2221" s="61"/>
      <c r="B2221" s="59"/>
    </row>
    <row r="2222" spans="1:2" x14ac:dyDescent="0.25">
      <c r="A2222" s="61"/>
      <c r="B2222" s="59"/>
    </row>
    <row r="2223" spans="1:2" x14ac:dyDescent="0.25">
      <c r="A2223" s="61"/>
      <c r="B2223" s="59"/>
    </row>
    <row r="2224" spans="1:2" x14ac:dyDescent="0.25">
      <c r="A2224" s="61"/>
      <c r="B2224" s="59"/>
    </row>
    <row r="2225" spans="1:2" x14ac:dyDescent="0.25">
      <c r="A2225" s="61"/>
      <c r="B2225" s="59"/>
    </row>
    <row r="2226" spans="1:2" x14ac:dyDescent="0.25">
      <c r="A2226" s="61"/>
      <c r="B2226" s="59"/>
    </row>
    <row r="2227" spans="1:2" x14ac:dyDescent="0.25">
      <c r="A2227" s="61"/>
      <c r="B2227" s="59"/>
    </row>
    <row r="2228" spans="1:2" x14ac:dyDescent="0.25">
      <c r="A2228" s="61"/>
      <c r="B2228" s="59"/>
    </row>
    <row r="2229" spans="1:2" x14ac:dyDescent="0.25">
      <c r="A2229" s="61"/>
      <c r="B2229" s="59"/>
    </row>
    <row r="2230" spans="1:2" x14ac:dyDescent="0.25">
      <c r="A2230" s="61"/>
      <c r="B2230" s="59"/>
    </row>
    <row r="2231" spans="1:2" x14ac:dyDescent="0.25">
      <c r="A2231" s="61"/>
      <c r="B2231" s="59"/>
    </row>
    <row r="2232" spans="1:2" x14ac:dyDescent="0.25">
      <c r="A2232" s="61"/>
      <c r="B2232" s="59"/>
    </row>
    <row r="2233" spans="1:2" x14ac:dyDescent="0.25">
      <c r="A2233" s="61"/>
      <c r="B2233" s="59"/>
    </row>
    <row r="2234" spans="1:2" x14ac:dyDescent="0.25">
      <c r="A2234" s="61"/>
      <c r="B2234" s="59"/>
    </row>
    <row r="2235" spans="1:2" x14ac:dyDescent="0.25">
      <c r="A2235" s="61"/>
      <c r="B2235" s="59"/>
    </row>
    <row r="2236" spans="1:2" x14ac:dyDescent="0.25">
      <c r="A2236" s="61"/>
      <c r="B2236" s="59"/>
    </row>
    <row r="2237" spans="1:2" x14ac:dyDescent="0.25">
      <c r="A2237" s="61"/>
      <c r="B2237" s="59"/>
    </row>
    <row r="2238" spans="1:2" x14ac:dyDescent="0.25">
      <c r="A2238" s="61"/>
      <c r="B2238" s="59"/>
    </row>
    <row r="2239" spans="1:2" x14ac:dyDescent="0.25">
      <c r="A2239" s="61"/>
      <c r="B2239" s="59"/>
    </row>
    <row r="2240" spans="1:2" x14ac:dyDescent="0.25">
      <c r="A2240" s="61"/>
      <c r="B2240" s="59"/>
    </row>
    <row r="2241" spans="1:2" x14ac:dyDescent="0.25">
      <c r="A2241" s="61"/>
      <c r="B2241" s="59"/>
    </row>
    <row r="2242" spans="1:2" x14ac:dyDescent="0.25">
      <c r="A2242" s="61"/>
      <c r="B2242" s="59"/>
    </row>
    <row r="2243" spans="1:2" x14ac:dyDescent="0.25">
      <c r="A2243" s="61"/>
      <c r="B2243" s="59"/>
    </row>
    <row r="2244" spans="1:2" x14ac:dyDescent="0.25">
      <c r="A2244" s="61"/>
      <c r="B2244" s="59"/>
    </row>
    <row r="2245" spans="1:2" x14ac:dyDescent="0.25">
      <c r="A2245" s="61"/>
      <c r="B2245" s="59"/>
    </row>
    <row r="2246" spans="1:2" x14ac:dyDescent="0.25">
      <c r="A2246" s="61"/>
      <c r="B2246" s="59"/>
    </row>
    <row r="2247" spans="1:2" x14ac:dyDescent="0.25">
      <c r="A2247" s="61"/>
      <c r="B2247" s="59"/>
    </row>
    <row r="2248" spans="1:2" x14ac:dyDescent="0.25">
      <c r="A2248" s="61"/>
      <c r="B2248" s="59"/>
    </row>
    <row r="2249" spans="1:2" x14ac:dyDescent="0.25">
      <c r="A2249" s="61"/>
      <c r="B2249" s="59"/>
    </row>
    <row r="2250" spans="1:2" x14ac:dyDescent="0.25">
      <c r="A2250" s="61"/>
      <c r="B2250" s="59"/>
    </row>
    <row r="2251" spans="1:2" x14ac:dyDescent="0.25">
      <c r="A2251" s="61"/>
      <c r="B2251" s="59"/>
    </row>
    <row r="2252" spans="1:2" x14ac:dyDescent="0.25">
      <c r="A2252" s="61"/>
      <c r="B2252" s="59"/>
    </row>
    <row r="2253" spans="1:2" x14ac:dyDescent="0.25">
      <c r="A2253" s="61"/>
      <c r="B2253" s="59"/>
    </row>
    <row r="2254" spans="1:2" x14ac:dyDescent="0.25">
      <c r="A2254" s="61"/>
      <c r="B2254" s="59"/>
    </row>
    <row r="2255" spans="1:2" x14ac:dyDescent="0.25">
      <c r="A2255" s="61"/>
      <c r="B2255" s="59"/>
    </row>
    <row r="2256" spans="1:2" x14ac:dyDescent="0.25">
      <c r="A2256" s="61"/>
      <c r="B2256" s="59"/>
    </row>
    <row r="2257" spans="1:2" x14ac:dyDescent="0.25">
      <c r="A2257" s="61"/>
      <c r="B2257" s="59"/>
    </row>
    <row r="2258" spans="1:2" x14ac:dyDescent="0.25">
      <c r="A2258" s="61"/>
      <c r="B2258" s="59"/>
    </row>
    <row r="2259" spans="1:2" x14ac:dyDescent="0.25">
      <c r="A2259" s="61"/>
      <c r="B2259" s="59"/>
    </row>
    <row r="2260" spans="1:2" x14ac:dyDescent="0.25">
      <c r="A2260" s="61"/>
      <c r="B2260" s="59"/>
    </row>
    <row r="2261" spans="1:2" x14ac:dyDescent="0.25">
      <c r="A2261" s="61"/>
      <c r="B2261" s="59"/>
    </row>
    <row r="2262" spans="1:2" x14ac:dyDescent="0.25">
      <c r="A2262" s="61"/>
      <c r="B2262" s="59"/>
    </row>
    <row r="2263" spans="1:2" x14ac:dyDescent="0.25">
      <c r="A2263" s="61"/>
      <c r="B2263" s="59"/>
    </row>
    <row r="2264" spans="1:2" x14ac:dyDescent="0.25">
      <c r="A2264" s="61"/>
      <c r="B2264" s="59"/>
    </row>
    <row r="2265" spans="1:2" x14ac:dyDescent="0.25">
      <c r="A2265" s="61"/>
      <c r="B2265" s="59"/>
    </row>
    <row r="2266" spans="1:2" x14ac:dyDescent="0.25">
      <c r="A2266" s="61"/>
      <c r="B2266" s="59"/>
    </row>
    <row r="2267" spans="1:2" x14ac:dyDescent="0.25">
      <c r="A2267" s="61"/>
      <c r="B2267" s="59"/>
    </row>
    <row r="2268" spans="1:2" x14ac:dyDescent="0.25">
      <c r="A2268" s="61"/>
      <c r="B2268" s="59"/>
    </row>
    <row r="2269" spans="1:2" x14ac:dyDescent="0.25">
      <c r="A2269" s="61"/>
      <c r="B2269" s="59"/>
    </row>
    <row r="2270" spans="1:2" x14ac:dyDescent="0.25">
      <c r="A2270" s="61"/>
      <c r="B2270" s="59"/>
    </row>
    <row r="2271" spans="1:2" x14ac:dyDescent="0.25">
      <c r="A2271" s="61"/>
      <c r="B2271" s="59"/>
    </row>
    <row r="2272" spans="1:2" x14ac:dyDescent="0.25">
      <c r="A2272" s="61"/>
      <c r="B2272" s="59"/>
    </row>
    <row r="2273" spans="1:2" x14ac:dyDescent="0.25">
      <c r="A2273" s="61"/>
      <c r="B2273" s="59"/>
    </row>
    <row r="2274" spans="1:2" x14ac:dyDescent="0.25">
      <c r="A2274" s="61"/>
      <c r="B2274" s="59"/>
    </row>
    <row r="2275" spans="1:2" x14ac:dyDescent="0.25">
      <c r="A2275" s="61"/>
      <c r="B2275" s="59"/>
    </row>
    <row r="2276" spans="1:2" x14ac:dyDescent="0.25">
      <c r="A2276" s="61"/>
      <c r="B2276" s="59"/>
    </row>
    <row r="2277" spans="1:2" x14ac:dyDescent="0.25">
      <c r="A2277" s="61"/>
      <c r="B2277" s="59"/>
    </row>
    <row r="2278" spans="1:2" x14ac:dyDescent="0.25">
      <c r="A2278" s="61"/>
      <c r="B2278" s="59"/>
    </row>
    <row r="2279" spans="1:2" x14ac:dyDescent="0.25">
      <c r="A2279" s="61"/>
      <c r="B2279" s="59"/>
    </row>
    <row r="2280" spans="1:2" x14ac:dyDescent="0.25">
      <c r="A2280" s="61"/>
      <c r="B2280" s="59"/>
    </row>
    <row r="2281" spans="1:2" x14ac:dyDescent="0.25">
      <c r="A2281" s="61"/>
      <c r="B2281" s="59"/>
    </row>
    <row r="2282" spans="1:2" x14ac:dyDescent="0.25">
      <c r="A2282" s="61"/>
      <c r="B2282" s="59"/>
    </row>
    <row r="2283" spans="1:2" x14ac:dyDescent="0.25">
      <c r="A2283" s="61"/>
      <c r="B2283" s="59"/>
    </row>
    <row r="2284" spans="1:2" x14ac:dyDescent="0.25">
      <c r="A2284" s="61"/>
      <c r="B2284" s="59"/>
    </row>
    <row r="2285" spans="1:2" x14ac:dyDescent="0.25">
      <c r="A2285" s="61"/>
      <c r="B2285" s="59"/>
    </row>
    <row r="2286" spans="1:2" x14ac:dyDescent="0.25">
      <c r="A2286" s="61"/>
      <c r="B2286" s="59"/>
    </row>
    <row r="2287" spans="1:2" x14ac:dyDescent="0.25">
      <c r="A2287" s="61"/>
      <c r="B2287" s="59"/>
    </row>
    <row r="2288" spans="1:2" x14ac:dyDescent="0.25">
      <c r="A2288" s="61"/>
      <c r="B2288" s="59"/>
    </row>
    <row r="2289" spans="1:2" x14ac:dyDescent="0.25">
      <c r="A2289" s="61"/>
      <c r="B2289" s="59"/>
    </row>
    <row r="2290" spans="1:2" x14ac:dyDescent="0.25">
      <c r="A2290" s="61"/>
      <c r="B2290" s="59"/>
    </row>
    <row r="2291" spans="1:2" x14ac:dyDescent="0.25">
      <c r="A2291" s="61"/>
      <c r="B2291" s="59"/>
    </row>
    <row r="2292" spans="1:2" x14ac:dyDescent="0.25">
      <c r="A2292" s="61"/>
      <c r="B2292" s="59"/>
    </row>
    <row r="2293" spans="1:2" x14ac:dyDescent="0.25">
      <c r="A2293" s="61"/>
      <c r="B2293" s="59"/>
    </row>
    <row r="2294" spans="1:2" x14ac:dyDescent="0.25">
      <c r="A2294" s="61"/>
      <c r="B2294" s="59"/>
    </row>
    <row r="2295" spans="1:2" x14ac:dyDescent="0.25">
      <c r="A2295" s="61"/>
      <c r="B2295" s="59"/>
    </row>
    <row r="2296" spans="1:2" x14ac:dyDescent="0.25">
      <c r="A2296" s="61"/>
      <c r="B2296" s="59"/>
    </row>
    <row r="2297" spans="1:2" x14ac:dyDescent="0.25">
      <c r="A2297" s="61"/>
      <c r="B2297" s="59"/>
    </row>
    <row r="2298" spans="1:2" x14ac:dyDescent="0.25">
      <c r="A2298" s="61"/>
      <c r="B2298" s="59"/>
    </row>
    <row r="2299" spans="1:2" x14ac:dyDescent="0.25">
      <c r="A2299" s="61"/>
      <c r="B2299" s="59"/>
    </row>
    <row r="2300" spans="1:2" x14ac:dyDescent="0.25">
      <c r="A2300" s="61"/>
      <c r="B2300" s="59"/>
    </row>
    <row r="2301" spans="1:2" x14ac:dyDescent="0.25">
      <c r="A2301" s="61"/>
      <c r="B2301" s="59"/>
    </row>
    <row r="2302" spans="1:2" x14ac:dyDescent="0.25">
      <c r="A2302" s="61"/>
      <c r="B2302" s="59"/>
    </row>
    <row r="2303" spans="1:2" x14ac:dyDescent="0.25">
      <c r="A2303" s="61"/>
      <c r="B2303" s="59"/>
    </row>
    <row r="2304" spans="1:2" x14ac:dyDescent="0.25">
      <c r="A2304" s="61"/>
      <c r="B2304" s="59"/>
    </row>
    <row r="2305" spans="1:2" x14ac:dyDescent="0.25">
      <c r="A2305" s="61"/>
      <c r="B2305" s="59"/>
    </row>
    <row r="2306" spans="1:2" x14ac:dyDescent="0.25">
      <c r="A2306" s="61"/>
      <c r="B2306" s="59"/>
    </row>
    <row r="2307" spans="1:2" x14ac:dyDescent="0.25">
      <c r="A2307" s="61"/>
      <c r="B2307" s="59"/>
    </row>
    <row r="2308" spans="1:2" x14ac:dyDescent="0.25">
      <c r="A2308" s="61"/>
      <c r="B2308" s="59"/>
    </row>
    <row r="2309" spans="1:2" x14ac:dyDescent="0.25">
      <c r="A2309" s="61"/>
      <c r="B2309" s="59"/>
    </row>
    <row r="2310" spans="1:2" x14ac:dyDescent="0.25">
      <c r="A2310" s="61"/>
      <c r="B2310" s="59"/>
    </row>
    <row r="2311" spans="1:2" x14ac:dyDescent="0.25">
      <c r="A2311" s="61"/>
      <c r="B2311" s="59"/>
    </row>
    <row r="2312" spans="1:2" x14ac:dyDescent="0.25">
      <c r="A2312" s="61"/>
      <c r="B2312" s="59"/>
    </row>
    <row r="2313" spans="1:2" x14ac:dyDescent="0.25">
      <c r="A2313" s="61"/>
      <c r="B2313" s="59"/>
    </row>
    <row r="2314" spans="1:2" x14ac:dyDescent="0.25">
      <c r="A2314" s="61"/>
      <c r="B2314" s="59"/>
    </row>
    <row r="2315" spans="1:2" x14ac:dyDescent="0.25">
      <c r="A2315" s="61"/>
      <c r="B2315" s="59"/>
    </row>
    <row r="2316" spans="1:2" x14ac:dyDescent="0.25">
      <c r="A2316" s="61"/>
      <c r="B2316" s="59"/>
    </row>
    <row r="2317" spans="1:2" x14ac:dyDescent="0.25">
      <c r="A2317" s="61"/>
      <c r="B2317" s="59"/>
    </row>
    <row r="2318" spans="1:2" x14ac:dyDescent="0.25">
      <c r="A2318" s="61"/>
      <c r="B2318" s="59"/>
    </row>
    <row r="2319" spans="1:2" x14ac:dyDescent="0.25">
      <c r="A2319" s="61"/>
      <c r="B2319" s="59"/>
    </row>
    <row r="2320" spans="1:2" x14ac:dyDescent="0.25">
      <c r="A2320" s="61"/>
      <c r="B2320" s="59"/>
    </row>
    <row r="2321" spans="1:2" x14ac:dyDescent="0.25">
      <c r="A2321" s="61"/>
      <c r="B2321" s="59"/>
    </row>
    <row r="2322" spans="1:2" x14ac:dyDescent="0.25">
      <c r="A2322" s="61"/>
      <c r="B2322" s="59"/>
    </row>
    <row r="2323" spans="1:2" x14ac:dyDescent="0.25">
      <c r="A2323" s="61"/>
      <c r="B2323" s="59"/>
    </row>
    <row r="2324" spans="1:2" x14ac:dyDescent="0.25">
      <c r="A2324" s="61"/>
      <c r="B2324" s="59"/>
    </row>
    <row r="2325" spans="1:2" x14ac:dyDescent="0.25">
      <c r="A2325" s="61"/>
      <c r="B2325" s="59"/>
    </row>
    <row r="2326" spans="1:2" x14ac:dyDescent="0.25">
      <c r="A2326" s="61"/>
      <c r="B2326" s="59"/>
    </row>
    <row r="2327" spans="1:2" x14ac:dyDescent="0.25">
      <c r="A2327" s="61"/>
      <c r="B2327" s="59"/>
    </row>
    <row r="2328" spans="1:2" x14ac:dyDescent="0.25">
      <c r="A2328" s="61"/>
      <c r="B2328" s="59"/>
    </row>
    <row r="2329" spans="1:2" x14ac:dyDescent="0.25">
      <c r="A2329" s="61"/>
      <c r="B2329" s="59"/>
    </row>
    <row r="2330" spans="1:2" x14ac:dyDescent="0.25">
      <c r="A2330" s="61"/>
      <c r="B2330" s="59"/>
    </row>
    <row r="2331" spans="1:2" x14ac:dyDescent="0.25">
      <c r="A2331" s="61"/>
      <c r="B2331" s="59"/>
    </row>
    <row r="2332" spans="1:2" x14ac:dyDescent="0.25">
      <c r="A2332" s="61"/>
      <c r="B2332" s="59"/>
    </row>
    <row r="2333" spans="1:2" x14ac:dyDescent="0.25">
      <c r="A2333" s="61"/>
      <c r="B2333" s="59"/>
    </row>
    <row r="2334" spans="1:2" x14ac:dyDescent="0.25">
      <c r="A2334" s="61"/>
      <c r="B2334" s="59"/>
    </row>
    <row r="2335" spans="1:2" x14ac:dyDescent="0.25">
      <c r="A2335" s="61"/>
      <c r="B2335" s="59"/>
    </row>
    <row r="2336" spans="1:2" x14ac:dyDescent="0.25">
      <c r="A2336" s="61"/>
      <c r="B2336" s="59"/>
    </row>
    <row r="2337" spans="1:2" x14ac:dyDescent="0.25">
      <c r="A2337" s="61"/>
      <c r="B2337" s="59"/>
    </row>
    <row r="2338" spans="1:2" x14ac:dyDescent="0.25">
      <c r="A2338" s="61"/>
      <c r="B2338" s="59"/>
    </row>
    <row r="2339" spans="1:2" x14ac:dyDescent="0.25">
      <c r="A2339" s="61"/>
      <c r="B2339" s="59"/>
    </row>
    <row r="2340" spans="1:2" x14ac:dyDescent="0.25">
      <c r="A2340" s="61"/>
      <c r="B2340" s="59"/>
    </row>
    <row r="2341" spans="1:2" x14ac:dyDescent="0.25">
      <c r="A2341" s="61"/>
      <c r="B2341" s="59"/>
    </row>
    <row r="2342" spans="1:2" x14ac:dyDescent="0.25">
      <c r="A2342" s="61"/>
      <c r="B2342" s="59"/>
    </row>
    <row r="2343" spans="1:2" x14ac:dyDescent="0.25">
      <c r="A2343" s="61"/>
      <c r="B2343" s="59"/>
    </row>
    <row r="2344" spans="1:2" x14ac:dyDescent="0.25">
      <c r="A2344" s="61"/>
      <c r="B2344" s="59"/>
    </row>
    <row r="2345" spans="1:2" x14ac:dyDescent="0.25">
      <c r="A2345" s="61"/>
      <c r="B2345" s="59"/>
    </row>
    <row r="2346" spans="1:2" x14ac:dyDescent="0.25">
      <c r="A2346" s="61"/>
      <c r="B2346" s="59"/>
    </row>
    <row r="2347" spans="1:2" x14ac:dyDescent="0.25">
      <c r="A2347" s="61"/>
      <c r="B2347" s="59"/>
    </row>
    <row r="2348" spans="1:2" x14ac:dyDescent="0.25">
      <c r="A2348" s="61"/>
      <c r="B2348" s="59"/>
    </row>
    <row r="2349" spans="1:2" x14ac:dyDescent="0.25">
      <c r="A2349" s="61"/>
      <c r="B2349" s="59"/>
    </row>
    <row r="2350" spans="1:2" x14ac:dyDescent="0.25">
      <c r="A2350" s="61"/>
      <c r="B2350" s="59"/>
    </row>
    <row r="2351" spans="1:2" x14ac:dyDescent="0.25">
      <c r="A2351" s="61"/>
      <c r="B2351" s="59"/>
    </row>
    <row r="2352" spans="1:2" x14ac:dyDescent="0.25">
      <c r="A2352" s="61"/>
      <c r="B2352" s="59"/>
    </row>
    <row r="2353" spans="1:2" x14ac:dyDescent="0.25">
      <c r="A2353" s="61"/>
      <c r="B2353" s="59"/>
    </row>
    <row r="2354" spans="1:2" x14ac:dyDescent="0.25">
      <c r="A2354" s="61"/>
      <c r="B2354" s="59"/>
    </row>
    <row r="2355" spans="1:2" x14ac:dyDescent="0.25">
      <c r="A2355" s="61"/>
      <c r="B2355" s="59"/>
    </row>
    <row r="2356" spans="1:2" x14ac:dyDescent="0.25">
      <c r="A2356" s="61"/>
      <c r="B2356" s="59"/>
    </row>
    <row r="2357" spans="1:2" x14ac:dyDescent="0.25">
      <c r="A2357" s="61"/>
      <c r="B2357" s="59"/>
    </row>
    <row r="2358" spans="1:2" x14ac:dyDescent="0.25">
      <c r="A2358" s="61"/>
      <c r="B2358" s="59"/>
    </row>
    <row r="2359" spans="1:2" x14ac:dyDescent="0.25">
      <c r="A2359" s="61"/>
      <c r="B2359" s="59"/>
    </row>
    <row r="2360" spans="1:2" x14ac:dyDescent="0.25">
      <c r="A2360" s="61"/>
      <c r="B2360" s="59"/>
    </row>
    <row r="2361" spans="1:2" x14ac:dyDescent="0.25">
      <c r="A2361" s="61"/>
      <c r="B2361" s="59"/>
    </row>
    <row r="2362" spans="1:2" x14ac:dyDescent="0.25">
      <c r="A2362" s="61"/>
      <c r="B2362" s="59"/>
    </row>
    <row r="2363" spans="1:2" x14ac:dyDescent="0.25">
      <c r="A2363" s="61"/>
      <c r="B2363" s="59"/>
    </row>
    <row r="2364" spans="1:2" x14ac:dyDescent="0.25">
      <c r="A2364" s="61"/>
      <c r="B2364" s="59"/>
    </row>
    <row r="2365" spans="1:2" x14ac:dyDescent="0.25">
      <c r="A2365" s="61"/>
      <c r="B2365" s="59"/>
    </row>
    <row r="2366" spans="1:2" x14ac:dyDescent="0.25">
      <c r="A2366" s="61"/>
      <c r="B2366" s="59"/>
    </row>
    <row r="2367" spans="1:2" x14ac:dyDescent="0.25">
      <c r="A2367" s="61"/>
      <c r="B2367" s="59"/>
    </row>
    <row r="2368" spans="1:2" x14ac:dyDescent="0.25">
      <c r="A2368" s="61"/>
      <c r="B2368" s="59"/>
    </row>
    <row r="2369" spans="1:2" x14ac:dyDescent="0.25">
      <c r="A2369" s="61"/>
      <c r="B2369" s="59"/>
    </row>
    <row r="2370" spans="1:2" x14ac:dyDescent="0.25">
      <c r="A2370" s="61"/>
      <c r="B2370" s="59"/>
    </row>
    <row r="2371" spans="1:2" x14ac:dyDescent="0.25">
      <c r="A2371" s="61"/>
      <c r="B2371" s="59"/>
    </row>
    <row r="2372" spans="1:2" x14ac:dyDescent="0.25">
      <c r="A2372" s="61"/>
      <c r="B2372" s="59"/>
    </row>
    <row r="2373" spans="1:2" x14ac:dyDescent="0.25">
      <c r="A2373" s="61"/>
      <c r="B2373" s="59"/>
    </row>
    <row r="2374" spans="1:2" x14ac:dyDescent="0.25">
      <c r="A2374" s="61"/>
      <c r="B2374" s="59"/>
    </row>
    <row r="2375" spans="1:2" x14ac:dyDescent="0.25">
      <c r="A2375" s="61"/>
      <c r="B2375" s="59"/>
    </row>
    <row r="2376" spans="1:2" x14ac:dyDescent="0.25">
      <c r="A2376" s="61"/>
      <c r="B2376" s="59"/>
    </row>
    <row r="2377" spans="1:2" x14ac:dyDescent="0.25">
      <c r="A2377" s="61"/>
      <c r="B2377" s="59"/>
    </row>
    <row r="2378" spans="1:2" x14ac:dyDescent="0.25">
      <c r="A2378" s="61"/>
      <c r="B2378" s="59"/>
    </row>
    <row r="2379" spans="1:2" x14ac:dyDescent="0.25">
      <c r="A2379" s="61"/>
      <c r="B2379" s="59"/>
    </row>
    <row r="2380" spans="1:2" x14ac:dyDescent="0.25">
      <c r="A2380" s="61"/>
      <c r="B2380" s="59"/>
    </row>
    <row r="2381" spans="1:2" x14ac:dyDescent="0.25">
      <c r="A2381" s="61"/>
      <c r="B2381" s="59"/>
    </row>
    <row r="2382" spans="1:2" x14ac:dyDescent="0.25">
      <c r="A2382" s="61"/>
      <c r="B2382" s="59"/>
    </row>
    <row r="2383" spans="1:2" x14ac:dyDescent="0.25">
      <c r="A2383" s="61"/>
      <c r="B2383" s="59"/>
    </row>
    <row r="2384" spans="1:2" x14ac:dyDescent="0.25">
      <c r="A2384" s="61"/>
      <c r="B2384" s="59"/>
    </row>
    <row r="2385" spans="1:2" x14ac:dyDescent="0.25">
      <c r="A2385" s="61"/>
      <c r="B2385" s="59"/>
    </row>
    <row r="2386" spans="1:2" x14ac:dyDescent="0.25">
      <c r="A2386" s="61"/>
      <c r="B2386" s="59"/>
    </row>
    <row r="2387" spans="1:2" x14ac:dyDescent="0.25">
      <c r="A2387" s="61"/>
      <c r="B2387" s="59"/>
    </row>
    <row r="2388" spans="1:2" x14ac:dyDescent="0.25">
      <c r="A2388" s="61"/>
      <c r="B2388" s="59"/>
    </row>
    <row r="2389" spans="1:2" x14ac:dyDescent="0.25">
      <c r="A2389" s="61"/>
      <c r="B2389" s="59"/>
    </row>
    <row r="2390" spans="1:2" x14ac:dyDescent="0.25">
      <c r="A2390" s="61"/>
      <c r="B2390" s="59"/>
    </row>
    <row r="2391" spans="1:2" x14ac:dyDescent="0.25">
      <c r="A2391" s="61"/>
      <c r="B2391" s="59"/>
    </row>
    <row r="2392" spans="1:2" x14ac:dyDescent="0.25">
      <c r="A2392" s="61"/>
      <c r="B2392" s="59"/>
    </row>
    <row r="2393" spans="1:2" x14ac:dyDescent="0.25">
      <c r="A2393" s="61"/>
      <c r="B2393" s="59"/>
    </row>
    <row r="2394" spans="1:2" x14ac:dyDescent="0.25">
      <c r="A2394" s="61"/>
      <c r="B2394" s="59"/>
    </row>
    <row r="2395" spans="1:2" x14ac:dyDescent="0.25">
      <c r="A2395" s="61"/>
      <c r="B2395" s="59"/>
    </row>
    <row r="2396" spans="1:2" x14ac:dyDescent="0.25">
      <c r="A2396" s="61"/>
      <c r="B2396" s="59"/>
    </row>
    <row r="2397" spans="1:2" x14ac:dyDescent="0.25">
      <c r="A2397" s="61"/>
      <c r="B2397" s="59"/>
    </row>
    <row r="2398" spans="1:2" x14ac:dyDescent="0.25">
      <c r="A2398" s="61"/>
      <c r="B2398" s="59"/>
    </row>
    <row r="2399" spans="1:2" x14ac:dyDescent="0.25">
      <c r="A2399" s="61"/>
      <c r="B2399" s="59"/>
    </row>
    <row r="2400" spans="1:2" x14ac:dyDescent="0.25">
      <c r="A2400" s="61"/>
      <c r="B2400" s="59"/>
    </row>
    <row r="2401" spans="1:2" x14ac:dyDescent="0.25">
      <c r="A2401" s="61"/>
      <c r="B2401" s="59"/>
    </row>
    <row r="2402" spans="1:2" x14ac:dyDescent="0.25">
      <c r="A2402" s="61"/>
      <c r="B2402" s="59"/>
    </row>
    <row r="2403" spans="1:2" x14ac:dyDescent="0.25">
      <c r="A2403" s="61"/>
      <c r="B2403" s="59"/>
    </row>
    <row r="2404" spans="1:2" x14ac:dyDescent="0.25">
      <c r="A2404" s="61"/>
      <c r="B2404" s="59"/>
    </row>
    <row r="2405" spans="1:2" x14ac:dyDescent="0.25">
      <c r="A2405" s="61"/>
      <c r="B2405" s="59"/>
    </row>
    <row r="2406" spans="1:2" x14ac:dyDescent="0.25">
      <c r="A2406" s="61"/>
      <c r="B2406" s="59"/>
    </row>
    <row r="2407" spans="1:2" x14ac:dyDescent="0.25">
      <c r="A2407" s="61"/>
      <c r="B2407" s="59"/>
    </row>
    <row r="2408" spans="1:2" x14ac:dyDescent="0.25">
      <c r="A2408" s="61"/>
      <c r="B2408" s="59"/>
    </row>
    <row r="2409" spans="1:2" x14ac:dyDescent="0.25">
      <c r="A2409" s="61"/>
      <c r="B2409" s="59"/>
    </row>
    <row r="2410" spans="1:2" x14ac:dyDescent="0.25">
      <c r="A2410" s="61"/>
      <c r="B2410" s="59"/>
    </row>
    <row r="2411" spans="1:2" x14ac:dyDescent="0.25">
      <c r="A2411" s="61"/>
      <c r="B2411" s="59"/>
    </row>
    <row r="2412" spans="1:2" x14ac:dyDescent="0.25">
      <c r="A2412" s="61"/>
      <c r="B2412" s="59"/>
    </row>
    <row r="2413" spans="1:2" x14ac:dyDescent="0.25">
      <c r="A2413" s="61"/>
      <c r="B2413" s="59"/>
    </row>
    <row r="2414" spans="1:2" x14ac:dyDescent="0.25">
      <c r="A2414" s="61"/>
      <c r="B2414" s="59"/>
    </row>
    <row r="2415" spans="1:2" x14ac:dyDescent="0.25">
      <c r="A2415" s="61"/>
      <c r="B2415" s="59"/>
    </row>
    <row r="2416" spans="1:2" x14ac:dyDescent="0.25">
      <c r="A2416" s="61"/>
      <c r="B2416" s="59"/>
    </row>
    <row r="2417" spans="1:2" x14ac:dyDescent="0.25">
      <c r="A2417" s="61"/>
      <c r="B2417" s="59"/>
    </row>
    <row r="2418" spans="1:2" x14ac:dyDescent="0.25">
      <c r="A2418" s="61"/>
      <c r="B2418" s="59"/>
    </row>
    <row r="2419" spans="1:2" x14ac:dyDescent="0.25">
      <c r="A2419" s="61"/>
      <c r="B2419" s="59"/>
    </row>
    <row r="2420" spans="1:2" x14ac:dyDescent="0.25">
      <c r="A2420" s="61"/>
      <c r="B2420" s="59"/>
    </row>
    <row r="2421" spans="1:2" x14ac:dyDescent="0.25">
      <c r="A2421" s="61"/>
      <c r="B2421" s="59"/>
    </row>
    <row r="2422" spans="1:2" x14ac:dyDescent="0.25">
      <c r="A2422" s="61"/>
      <c r="B2422" s="59"/>
    </row>
    <row r="2423" spans="1:2" x14ac:dyDescent="0.25">
      <c r="A2423" s="61"/>
      <c r="B2423" s="59"/>
    </row>
    <row r="2424" spans="1:2" x14ac:dyDescent="0.25">
      <c r="A2424" s="61"/>
      <c r="B2424" s="59"/>
    </row>
    <row r="2425" spans="1:2" x14ac:dyDescent="0.25">
      <c r="A2425" s="61"/>
      <c r="B2425" s="59"/>
    </row>
    <row r="2426" spans="1:2" x14ac:dyDescent="0.25">
      <c r="A2426" s="61"/>
      <c r="B2426" s="59"/>
    </row>
    <row r="2427" spans="1:2" x14ac:dyDescent="0.25">
      <c r="A2427" s="61"/>
      <c r="B2427" s="59"/>
    </row>
    <row r="2428" spans="1:2" x14ac:dyDescent="0.25">
      <c r="A2428" s="61"/>
      <c r="B2428" s="59"/>
    </row>
    <row r="2429" spans="1:2" x14ac:dyDescent="0.25">
      <c r="A2429" s="61"/>
      <c r="B2429" s="59"/>
    </row>
    <row r="2430" spans="1:2" x14ac:dyDescent="0.25">
      <c r="A2430" s="61"/>
      <c r="B2430" s="59"/>
    </row>
    <row r="2431" spans="1:2" x14ac:dyDescent="0.25">
      <c r="A2431" s="61"/>
      <c r="B2431" s="59"/>
    </row>
    <row r="2432" spans="1:2" x14ac:dyDescent="0.25">
      <c r="A2432" s="61"/>
      <c r="B2432" s="59"/>
    </row>
    <row r="2433" spans="1:2" x14ac:dyDescent="0.25">
      <c r="A2433" s="61"/>
      <c r="B2433" s="59"/>
    </row>
    <row r="2434" spans="1:2" x14ac:dyDescent="0.25">
      <c r="A2434" s="61"/>
      <c r="B2434" s="59"/>
    </row>
    <row r="2435" spans="1:2" x14ac:dyDescent="0.25">
      <c r="A2435" s="61"/>
      <c r="B2435" s="59"/>
    </row>
    <row r="2436" spans="1:2" x14ac:dyDescent="0.25">
      <c r="A2436" s="61"/>
      <c r="B2436" s="59"/>
    </row>
    <row r="2437" spans="1:2" x14ac:dyDescent="0.25">
      <c r="A2437" s="61"/>
      <c r="B2437" s="59"/>
    </row>
    <row r="2438" spans="1:2" x14ac:dyDescent="0.25">
      <c r="A2438" s="61"/>
      <c r="B2438" s="59"/>
    </row>
    <row r="2439" spans="1:2" x14ac:dyDescent="0.25">
      <c r="A2439" s="61"/>
      <c r="B2439" s="59"/>
    </row>
    <row r="2440" spans="1:2" x14ac:dyDescent="0.25">
      <c r="A2440" s="61"/>
      <c r="B2440" s="59"/>
    </row>
    <row r="2441" spans="1:2" x14ac:dyDescent="0.25">
      <c r="A2441" s="61"/>
      <c r="B2441" s="59"/>
    </row>
    <row r="2442" spans="1:2" x14ac:dyDescent="0.25">
      <c r="A2442" s="61"/>
      <c r="B2442" s="59"/>
    </row>
    <row r="2443" spans="1:2" x14ac:dyDescent="0.25">
      <c r="A2443" s="61"/>
      <c r="B2443" s="59"/>
    </row>
    <row r="2444" spans="1:2" x14ac:dyDescent="0.25">
      <c r="A2444" s="61"/>
      <c r="B2444" s="59"/>
    </row>
    <row r="2445" spans="1:2" x14ac:dyDescent="0.25">
      <c r="A2445" s="61"/>
      <c r="B2445" s="59"/>
    </row>
    <row r="2446" spans="1:2" x14ac:dyDescent="0.25">
      <c r="A2446" s="61"/>
      <c r="B2446" s="59"/>
    </row>
    <row r="2447" spans="1:2" x14ac:dyDescent="0.25">
      <c r="A2447" s="61"/>
      <c r="B2447" s="59"/>
    </row>
    <row r="2448" spans="1:2" x14ac:dyDescent="0.25">
      <c r="A2448" s="61"/>
      <c r="B2448" s="59"/>
    </row>
    <row r="2449" spans="1:2" x14ac:dyDescent="0.25">
      <c r="A2449" s="61"/>
      <c r="B2449" s="59"/>
    </row>
    <row r="2450" spans="1:2" x14ac:dyDescent="0.25">
      <c r="A2450" s="61"/>
      <c r="B2450" s="59"/>
    </row>
    <row r="2451" spans="1:2" x14ac:dyDescent="0.25">
      <c r="A2451" s="61"/>
      <c r="B2451" s="59"/>
    </row>
    <row r="2452" spans="1:2" x14ac:dyDescent="0.25">
      <c r="A2452" s="61"/>
      <c r="B2452" s="59"/>
    </row>
    <row r="2453" spans="1:2" x14ac:dyDescent="0.25">
      <c r="A2453" s="61"/>
      <c r="B2453" s="59"/>
    </row>
    <row r="2454" spans="1:2" x14ac:dyDescent="0.25">
      <c r="A2454" s="61"/>
      <c r="B2454" s="59"/>
    </row>
    <row r="2455" spans="1:2" x14ac:dyDescent="0.25">
      <c r="A2455" s="61"/>
      <c r="B2455" s="59"/>
    </row>
    <row r="2456" spans="1:2" x14ac:dyDescent="0.25">
      <c r="A2456" s="61"/>
      <c r="B2456" s="59"/>
    </row>
    <row r="2457" spans="1:2" x14ac:dyDescent="0.25">
      <c r="A2457" s="61"/>
      <c r="B2457" s="59"/>
    </row>
    <row r="2458" spans="1:2" x14ac:dyDescent="0.25">
      <c r="A2458" s="61"/>
      <c r="B2458" s="59"/>
    </row>
    <row r="2459" spans="1:2" x14ac:dyDescent="0.25">
      <c r="A2459" s="61"/>
      <c r="B2459" s="59"/>
    </row>
    <row r="2460" spans="1:2" x14ac:dyDescent="0.25">
      <c r="A2460" s="61"/>
      <c r="B2460" s="59"/>
    </row>
    <row r="2461" spans="1:2" x14ac:dyDescent="0.25">
      <c r="A2461" s="61"/>
      <c r="B2461" s="59"/>
    </row>
    <row r="2462" spans="1:2" x14ac:dyDescent="0.25">
      <c r="A2462" s="61"/>
      <c r="B2462" s="59"/>
    </row>
    <row r="2463" spans="1:2" x14ac:dyDescent="0.25">
      <c r="A2463" s="61"/>
      <c r="B2463" s="59"/>
    </row>
    <row r="2464" spans="1:2" x14ac:dyDescent="0.25">
      <c r="A2464" s="61"/>
      <c r="B2464" s="59"/>
    </row>
    <row r="2465" spans="1:2" x14ac:dyDescent="0.25">
      <c r="A2465" s="61"/>
      <c r="B2465" s="59"/>
    </row>
    <row r="2466" spans="1:2" x14ac:dyDescent="0.25">
      <c r="A2466" s="61"/>
      <c r="B2466" s="59"/>
    </row>
    <row r="2467" spans="1:2" x14ac:dyDescent="0.25">
      <c r="A2467" s="61"/>
      <c r="B2467" s="59"/>
    </row>
    <row r="2468" spans="1:2" x14ac:dyDescent="0.25">
      <c r="A2468" s="61"/>
      <c r="B2468" s="59"/>
    </row>
    <row r="2469" spans="1:2" x14ac:dyDescent="0.25">
      <c r="A2469" s="61"/>
      <c r="B2469" s="59"/>
    </row>
    <row r="2470" spans="1:2" x14ac:dyDescent="0.25">
      <c r="A2470" s="61"/>
      <c r="B2470" s="59"/>
    </row>
    <row r="2471" spans="1:2" x14ac:dyDescent="0.25">
      <c r="A2471" s="61"/>
      <c r="B2471" s="59"/>
    </row>
    <row r="2472" spans="1:2" x14ac:dyDescent="0.25">
      <c r="A2472" s="61"/>
      <c r="B2472" s="59"/>
    </row>
    <row r="2473" spans="1:2" x14ac:dyDescent="0.25">
      <c r="A2473" s="61"/>
      <c r="B2473" s="59"/>
    </row>
    <row r="2474" spans="1:2" x14ac:dyDescent="0.25">
      <c r="A2474" s="61"/>
      <c r="B2474" s="59"/>
    </row>
    <row r="2475" spans="1:2" x14ac:dyDescent="0.25">
      <c r="A2475" s="61"/>
      <c r="B2475" s="59"/>
    </row>
    <row r="2476" spans="1:2" x14ac:dyDescent="0.25">
      <c r="A2476" s="61"/>
      <c r="B2476" s="59"/>
    </row>
    <row r="2477" spans="1:2" x14ac:dyDescent="0.25">
      <c r="A2477" s="61"/>
      <c r="B2477" s="59"/>
    </row>
    <row r="2478" spans="1:2" x14ac:dyDescent="0.25">
      <c r="A2478" s="61"/>
      <c r="B2478" s="59"/>
    </row>
    <row r="2479" spans="1:2" x14ac:dyDescent="0.25">
      <c r="A2479" s="61"/>
      <c r="B2479" s="59"/>
    </row>
    <row r="2480" spans="1:2" x14ac:dyDescent="0.25">
      <c r="A2480" s="61"/>
      <c r="B2480" s="59"/>
    </row>
    <row r="2481" spans="1:2" x14ac:dyDescent="0.25">
      <c r="A2481" s="61"/>
      <c r="B2481" s="59"/>
    </row>
    <row r="2482" spans="1:2" x14ac:dyDescent="0.25">
      <c r="A2482" s="61"/>
      <c r="B2482" s="59"/>
    </row>
    <row r="2483" spans="1:2" x14ac:dyDescent="0.25">
      <c r="A2483" s="61"/>
      <c r="B2483" s="59"/>
    </row>
    <row r="2484" spans="1:2" x14ac:dyDescent="0.25">
      <c r="A2484" s="61"/>
      <c r="B2484" s="59"/>
    </row>
    <row r="2485" spans="1:2" x14ac:dyDescent="0.25">
      <c r="A2485" s="61"/>
      <c r="B2485" s="59"/>
    </row>
    <row r="2486" spans="1:2" x14ac:dyDescent="0.25">
      <c r="A2486" s="61"/>
      <c r="B2486" s="59"/>
    </row>
    <row r="2487" spans="1:2" x14ac:dyDescent="0.25">
      <c r="A2487" s="61"/>
      <c r="B2487" s="59"/>
    </row>
    <row r="2488" spans="1:2" x14ac:dyDescent="0.25">
      <c r="A2488" s="61"/>
      <c r="B2488" s="59"/>
    </row>
    <row r="2489" spans="1:2" x14ac:dyDescent="0.25">
      <c r="A2489" s="61"/>
      <c r="B2489" s="59"/>
    </row>
    <row r="2490" spans="1:2" x14ac:dyDescent="0.25">
      <c r="A2490" s="61"/>
      <c r="B2490" s="59"/>
    </row>
    <row r="2491" spans="1:2" x14ac:dyDescent="0.25">
      <c r="A2491" s="61"/>
      <c r="B2491" s="59"/>
    </row>
    <row r="2492" spans="1:2" x14ac:dyDescent="0.25">
      <c r="A2492" s="61"/>
      <c r="B2492" s="59"/>
    </row>
    <row r="2493" spans="1:2" x14ac:dyDescent="0.25">
      <c r="A2493" s="61"/>
      <c r="B2493" s="59"/>
    </row>
    <row r="2494" spans="1:2" x14ac:dyDescent="0.25">
      <c r="A2494" s="61"/>
      <c r="B2494" s="59"/>
    </row>
    <row r="2495" spans="1:2" x14ac:dyDescent="0.25">
      <c r="A2495" s="61"/>
      <c r="B2495" s="59"/>
    </row>
    <row r="2496" spans="1:2" x14ac:dyDescent="0.25">
      <c r="A2496" s="61"/>
      <c r="B2496" s="59"/>
    </row>
    <row r="2497" spans="1:2" x14ac:dyDescent="0.25">
      <c r="A2497" s="61"/>
      <c r="B2497" s="59"/>
    </row>
    <row r="2498" spans="1:2" x14ac:dyDescent="0.25">
      <c r="A2498" s="61"/>
      <c r="B2498" s="59"/>
    </row>
    <row r="2499" spans="1:2" x14ac:dyDescent="0.25">
      <c r="A2499" s="61"/>
      <c r="B2499" s="59"/>
    </row>
    <row r="2500" spans="1:2" x14ac:dyDescent="0.25">
      <c r="A2500" s="61"/>
      <c r="B2500" s="59"/>
    </row>
    <row r="2501" spans="1:2" x14ac:dyDescent="0.25">
      <c r="A2501" s="61"/>
      <c r="B2501" s="59"/>
    </row>
    <row r="2502" spans="1:2" x14ac:dyDescent="0.25">
      <c r="A2502" s="61"/>
      <c r="B2502" s="59"/>
    </row>
    <row r="2503" spans="1:2" x14ac:dyDescent="0.25">
      <c r="A2503" s="61"/>
      <c r="B2503" s="59"/>
    </row>
    <row r="2504" spans="1:2" x14ac:dyDescent="0.25">
      <c r="A2504" s="61"/>
      <c r="B2504" s="59"/>
    </row>
    <row r="2505" spans="1:2" x14ac:dyDescent="0.25">
      <c r="A2505" s="61"/>
      <c r="B2505" s="59"/>
    </row>
    <row r="2506" spans="1:2" x14ac:dyDescent="0.25">
      <c r="A2506" s="61"/>
      <c r="B2506" s="59"/>
    </row>
    <row r="2507" spans="1:2" x14ac:dyDescent="0.25">
      <c r="A2507" s="61"/>
      <c r="B2507" s="59"/>
    </row>
    <row r="2508" spans="1:2" x14ac:dyDescent="0.25">
      <c r="A2508" s="61"/>
      <c r="B2508" s="59"/>
    </row>
    <row r="2509" spans="1:2" x14ac:dyDescent="0.25">
      <c r="A2509" s="61"/>
      <c r="B2509" s="59"/>
    </row>
    <row r="2510" spans="1:2" x14ac:dyDescent="0.25">
      <c r="A2510" s="61"/>
      <c r="B2510" s="59"/>
    </row>
    <row r="2511" spans="1:2" x14ac:dyDescent="0.25">
      <c r="A2511" s="61"/>
      <c r="B2511" s="59"/>
    </row>
    <row r="2512" spans="1:2" x14ac:dyDescent="0.25">
      <c r="A2512" s="61"/>
      <c r="B2512" s="59"/>
    </row>
    <row r="2513" spans="1:2" x14ac:dyDescent="0.25">
      <c r="A2513" s="61"/>
      <c r="B2513" s="59"/>
    </row>
    <row r="2514" spans="1:2" x14ac:dyDescent="0.25">
      <c r="A2514" s="61"/>
      <c r="B2514" s="59"/>
    </row>
    <row r="2515" spans="1:2" x14ac:dyDescent="0.25">
      <c r="A2515" s="61"/>
      <c r="B2515" s="59"/>
    </row>
    <row r="2516" spans="1:2" x14ac:dyDescent="0.25">
      <c r="A2516" s="61"/>
      <c r="B2516" s="59"/>
    </row>
    <row r="2517" spans="1:2" x14ac:dyDescent="0.25">
      <c r="A2517" s="61"/>
      <c r="B2517" s="59"/>
    </row>
    <row r="2518" spans="1:2" x14ac:dyDescent="0.25">
      <c r="A2518" s="61"/>
      <c r="B2518" s="59"/>
    </row>
    <row r="2519" spans="1:2" x14ac:dyDescent="0.25">
      <c r="A2519" s="61"/>
      <c r="B2519" s="59"/>
    </row>
    <row r="2520" spans="1:2" x14ac:dyDescent="0.25">
      <c r="A2520" s="61"/>
      <c r="B2520" s="59"/>
    </row>
    <row r="2521" spans="1:2" x14ac:dyDescent="0.25">
      <c r="A2521" s="61"/>
      <c r="B2521" s="59"/>
    </row>
    <row r="2522" spans="1:2" x14ac:dyDescent="0.25">
      <c r="A2522" s="61"/>
      <c r="B2522" s="59"/>
    </row>
    <row r="2523" spans="1:2" x14ac:dyDescent="0.25">
      <c r="A2523" s="61"/>
      <c r="B2523" s="59"/>
    </row>
    <row r="2524" spans="1:2" x14ac:dyDescent="0.25">
      <c r="A2524" s="61"/>
      <c r="B2524" s="59"/>
    </row>
    <row r="2525" spans="1:2" x14ac:dyDescent="0.25">
      <c r="A2525" s="61"/>
      <c r="B2525" s="59"/>
    </row>
    <row r="2526" spans="1:2" x14ac:dyDescent="0.25">
      <c r="A2526" s="61"/>
      <c r="B2526" s="59"/>
    </row>
    <row r="2527" spans="1:2" x14ac:dyDescent="0.25">
      <c r="A2527" s="61"/>
      <c r="B2527" s="59"/>
    </row>
    <row r="2528" spans="1:2" x14ac:dyDescent="0.25">
      <c r="A2528" s="61"/>
      <c r="B2528" s="59"/>
    </row>
    <row r="2529" spans="1:2" x14ac:dyDescent="0.25">
      <c r="A2529" s="61"/>
      <c r="B2529" s="59"/>
    </row>
    <row r="2530" spans="1:2" x14ac:dyDescent="0.25">
      <c r="A2530" s="61"/>
      <c r="B2530" s="59"/>
    </row>
    <row r="2531" spans="1:2" x14ac:dyDescent="0.25">
      <c r="A2531" s="61"/>
      <c r="B2531" s="59"/>
    </row>
    <row r="2532" spans="1:2" x14ac:dyDescent="0.25">
      <c r="A2532" s="61"/>
      <c r="B2532" s="59"/>
    </row>
    <row r="2533" spans="1:2" x14ac:dyDescent="0.25">
      <c r="A2533" s="61"/>
      <c r="B2533" s="59"/>
    </row>
    <row r="2534" spans="1:2" x14ac:dyDescent="0.25">
      <c r="A2534" s="61"/>
      <c r="B2534" s="59"/>
    </row>
    <row r="2535" spans="1:2" x14ac:dyDescent="0.25">
      <c r="A2535" s="61"/>
      <c r="B2535" s="59"/>
    </row>
    <row r="2536" spans="1:2" x14ac:dyDescent="0.25">
      <c r="A2536" s="61"/>
      <c r="B2536" s="59"/>
    </row>
    <row r="2537" spans="1:2" x14ac:dyDescent="0.25">
      <c r="A2537" s="61"/>
      <c r="B2537" s="59"/>
    </row>
    <row r="2538" spans="1:2" x14ac:dyDescent="0.25">
      <c r="A2538" s="61"/>
      <c r="B2538" s="59"/>
    </row>
    <row r="2539" spans="1:2" x14ac:dyDescent="0.25">
      <c r="A2539" s="61"/>
      <c r="B2539" s="59"/>
    </row>
    <row r="2540" spans="1:2" x14ac:dyDescent="0.25">
      <c r="A2540" s="61"/>
      <c r="B2540" s="59"/>
    </row>
    <row r="2541" spans="1:2" x14ac:dyDescent="0.25">
      <c r="A2541" s="61"/>
      <c r="B2541" s="59"/>
    </row>
    <row r="2542" spans="1:2" x14ac:dyDescent="0.25">
      <c r="A2542" s="61"/>
      <c r="B2542" s="59"/>
    </row>
    <row r="2543" spans="1:2" x14ac:dyDescent="0.25">
      <c r="A2543" s="61"/>
      <c r="B2543" s="59"/>
    </row>
    <row r="2544" spans="1:2" x14ac:dyDescent="0.25">
      <c r="A2544" s="61"/>
      <c r="B2544" s="59"/>
    </row>
    <row r="2545" spans="1:2" x14ac:dyDescent="0.25">
      <c r="A2545" s="61"/>
      <c r="B2545" s="59"/>
    </row>
    <row r="2546" spans="1:2" x14ac:dyDescent="0.25">
      <c r="A2546" s="61"/>
      <c r="B2546" s="59"/>
    </row>
    <row r="2547" spans="1:2" x14ac:dyDescent="0.25">
      <c r="A2547" s="61"/>
      <c r="B2547" s="59"/>
    </row>
    <row r="2548" spans="1:2" x14ac:dyDescent="0.25">
      <c r="A2548" s="61"/>
      <c r="B2548" s="59"/>
    </row>
    <row r="2549" spans="1:2" x14ac:dyDescent="0.25">
      <c r="A2549" s="61"/>
      <c r="B2549" s="59"/>
    </row>
    <row r="2550" spans="1:2" x14ac:dyDescent="0.25">
      <c r="A2550" s="61"/>
      <c r="B2550" s="59"/>
    </row>
    <row r="2551" spans="1:2" x14ac:dyDescent="0.25">
      <c r="A2551" s="61"/>
      <c r="B2551" s="59"/>
    </row>
    <row r="2552" spans="1:2" x14ac:dyDescent="0.25">
      <c r="A2552" s="61"/>
      <c r="B2552" s="59"/>
    </row>
    <row r="2553" spans="1:2" x14ac:dyDescent="0.25">
      <c r="A2553" s="61"/>
      <c r="B2553" s="59"/>
    </row>
    <row r="2554" spans="1:2" x14ac:dyDescent="0.25">
      <c r="A2554" s="61"/>
      <c r="B2554" s="59"/>
    </row>
    <row r="2555" spans="1:2" x14ac:dyDescent="0.25">
      <c r="A2555" s="61"/>
      <c r="B2555" s="59"/>
    </row>
    <row r="2556" spans="1:2" x14ac:dyDescent="0.25">
      <c r="A2556" s="61"/>
      <c r="B2556" s="59"/>
    </row>
    <row r="2557" spans="1:2" x14ac:dyDescent="0.25">
      <c r="A2557" s="61"/>
      <c r="B2557" s="59"/>
    </row>
    <row r="2558" spans="1:2" x14ac:dyDescent="0.25">
      <c r="A2558" s="61"/>
      <c r="B2558" s="59"/>
    </row>
    <row r="2559" spans="1:2" x14ac:dyDescent="0.25">
      <c r="A2559" s="61"/>
      <c r="B2559" s="59"/>
    </row>
    <row r="2560" spans="1:2" x14ac:dyDescent="0.25">
      <c r="A2560" s="61"/>
      <c r="B2560" s="59"/>
    </row>
    <row r="2561" spans="1:2" x14ac:dyDescent="0.25">
      <c r="A2561" s="61"/>
      <c r="B2561" s="59"/>
    </row>
    <row r="2562" spans="1:2" x14ac:dyDescent="0.25">
      <c r="A2562" s="61"/>
      <c r="B2562" s="59"/>
    </row>
    <row r="2563" spans="1:2" x14ac:dyDescent="0.25">
      <c r="A2563" s="61"/>
      <c r="B2563" s="59"/>
    </row>
    <row r="2564" spans="1:2" x14ac:dyDescent="0.25">
      <c r="A2564" s="61"/>
      <c r="B2564" s="59"/>
    </row>
    <row r="2565" spans="1:2" x14ac:dyDescent="0.25">
      <c r="A2565" s="61"/>
      <c r="B2565" s="59"/>
    </row>
    <row r="2566" spans="1:2" x14ac:dyDescent="0.25">
      <c r="A2566" s="61"/>
      <c r="B2566" s="59"/>
    </row>
    <row r="2567" spans="1:2" x14ac:dyDescent="0.25">
      <c r="A2567" s="61"/>
      <c r="B2567" s="59"/>
    </row>
    <row r="2568" spans="1:2" x14ac:dyDescent="0.25">
      <c r="A2568" s="61"/>
      <c r="B2568" s="59"/>
    </row>
    <row r="2569" spans="1:2" x14ac:dyDescent="0.25">
      <c r="A2569" s="61"/>
      <c r="B2569" s="59"/>
    </row>
    <row r="2570" spans="1:2" x14ac:dyDescent="0.25">
      <c r="A2570" s="61"/>
      <c r="B2570" s="59"/>
    </row>
    <row r="2571" spans="1:2" x14ac:dyDescent="0.25">
      <c r="A2571" s="61"/>
      <c r="B2571" s="59"/>
    </row>
    <row r="2572" spans="1:2" x14ac:dyDescent="0.25">
      <c r="A2572" s="61"/>
      <c r="B2572" s="59"/>
    </row>
    <row r="2573" spans="1:2" x14ac:dyDescent="0.25">
      <c r="A2573" s="61"/>
      <c r="B2573" s="59"/>
    </row>
    <row r="2574" spans="1:2" x14ac:dyDescent="0.25">
      <c r="A2574" s="61"/>
      <c r="B2574" s="59"/>
    </row>
    <row r="2575" spans="1:2" x14ac:dyDescent="0.25">
      <c r="A2575" s="61"/>
      <c r="B2575" s="59"/>
    </row>
    <row r="2576" spans="1:2" x14ac:dyDescent="0.25">
      <c r="A2576" s="61"/>
      <c r="B2576" s="59"/>
    </row>
    <row r="2577" spans="1:2" x14ac:dyDescent="0.25">
      <c r="A2577" s="61"/>
      <c r="B2577" s="59"/>
    </row>
    <row r="2578" spans="1:2" x14ac:dyDescent="0.25">
      <c r="A2578" s="61"/>
      <c r="B2578" s="59"/>
    </row>
    <row r="2579" spans="1:2" x14ac:dyDescent="0.25">
      <c r="A2579" s="61"/>
      <c r="B2579" s="59"/>
    </row>
    <row r="2580" spans="1:2" x14ac:dyDescent="0.25">
      <c r="A2580" s="61"/>
      <c r="B2580" s="59"/>
    </row>
    <row r="2581" spans="1:2" x14ac:dyDescent="0.25">
      <c r="A2581" s="61"/>
      <c r="B2581" s="59"/>
    </row>
    <row r="2582" spans="1:2" x14ac:dyDescent="0.25">
      <c r="A2582" s="61"/>
      <c r="B2582" s="59"/>
    </row>
    <row r="2583" spans="1:2" x14ac:dyDescent="0.25">
      <c r="A2583" s="61"/>
      <c r="B2583" s="59"/>
    </row>
    <row r="2584" spans="1:2" x14ac:dyDescent="0.25">
      <c r="A2584" s="61"/>
      <c r="B2584" s="59"/>
    </row>
    <row r="2585" spans="1:2" x14ac:dyDescent="0.25">
      <c r="A2585" s="61"/>
      <c r="B2585" s="59"/>
    </row>
    <row r="2586" spans="1:2" x14ac:dyDescent="0.25">
      <c r="A2586" s="61"/>
      <c r="B2586" s="59"/>
    </row>
    <row r="2587" spans="1:2" x14ac:dyDescent="0.25">
      <c r="A2587" s="61"/>
      <c r="B2587" s="59"/>
    </row>
    <row r="2588" spans="1:2" x14ac:dyDescent="0.25">
      <c r="A2588" s="61"/>
      <c r="B2588" s="59"/>
    </row>
    <row r="2589" spans="1:2" x14ac:dyDescent="0.25">
      <c r="A2589" s="61"/>
      <c r="B2589" s="59"/>
    </row>
    <row r="2590" spans="1:2" x14ac:dyDescent="0.25">
      <c r="A2590" s="61"/>
      <c r="B2590" s="59"/>
    </row>
    <row r="2591" spans="1:2" x14ac:dyDescent="0.25">
      <c r="A2591" s="61"/>
      <c r="B2591" s="59"/>
    </row>
    <row r="2592" spans="1:2" x14ac:dyDescent="0.25">
      <c r="A2592" s="61"/>
      <c r="B2592" s="59"/>
    </row>
    <row r="2593" spans="1:2" x14ac:dyDescent="0.25">
      <c r="A2593" s="61"/>
      <c r="B2593" s="59"/>
    </row>
    <row r="2594" spans="1:2" x14ac:dyDescent="0.25">
      <c r="A2594" s="61"/>
      <c r="B2594" s="59"/>
    </row>
    <row r="2595" spans="1:2" x14ac:dyDescent="0.25">
      <c r="A2595" s="61"/>
      <c r="B2595" s="59"/>
    </row>
    <row r="2596" spans="1:2" x14ac:dyDescent="0.25">
      <c r="A2596" s="61"/>
      <c r="B2596" s="59"/>
    </row>
    <row r="2597" spans="1:2" x14ac:dyDescent="0.25">
      <c r="A2597" s="61"/>
      <c r="B2597" s="59"/>
    </row>
    <row r="2598" spans="1:2" x14ac:dyDescent="0.25">
      <c r="A2598" s="61"/>
      <c r="B2598" s="59"/>
    </row>
    <row r="2599" spans="1:2" x14ac:dyDescent="0.25">
      <c r="A2599" s="61"/>
      <c r="B2599" s="59"/>
    </row>
    <row r="2600" spans="1:2" x14ac:dyDescent="0.25">
      <c r="A2600" s="61"/>
      <c r="B2600" s="59"/>
    </row>
    <row r="2601" spans="1:2" x14ac:dyDescent="0.25">
      <c r="A2601" s="61"/>
      <c r="B2601" s="59"/>
    </row>
    <row r="2602" spans="1:2" x14ac:dyDescent="0.25">
      <c r="A2602" s="61"/>
      <c r="B2602" s="59"/>
    </row>
    <row r="2603" spans="1:2" x14ac:dyDescent="0.25">
      <c r="A2603" s="61"/>
      <c r="B2603" s="59"/>
    </row>
    <row r="2604" spans="1:2" x14ac:dyDescent="0.25">
      <c r="A2604" s="61"/>
      <c r="B2604" s="59"/>
    </row>
    <row r="2605" spans="1:2" x14ac:dyDescent="0.25">
      <c r="A2605" s="61"/>
      <c r="B2605" s="59"/>
    </row>
    <row r="2606" spans="1:2" x14ac:dyDescent="0.25">
      <c r="A2606" s="61"/>
      <c r="B2606" s="59"/>
    </row>
    <row r="2607" spans="1:2" x14ac:dyDescent="0.25">
      <c r="A2607" s="61"/>
      <c r="B2607" s="59"/>
    </row>
    <row r="2608" spans="1:2" x14ac:dyDescent="0.25">
      <c r="A2608" s="61"/>
      <c r="B2608" s="59"/>
    </row>
    <row r="2609" spans="1:2" x14ac:dyDescent="0.25">
      <c r="A2609" s="61"/>
      <c r="B2609" s="59"/>
    </row>
    <row r="2610" spans="1:2" x14ac:dyDescent="0.25">
      <c r="A2610" s="61"/>
      <c r="B2610" s="59"/>
    </row>
    <row r="2611" spans="1:2" x14ac:dyDescent="0.25">
      <c r="A2611" s="61"/>
      <c r="B2611" s="59"/>
    </row>
    <row r="2612" spans="1:2" x14ac:dyDescent="0.25">
      <c r="A2612" s="61"/>
      <c r="B2612" s="59"/>
    </row>
    <row r="2613" spans="1:2" x14ac:dyDescent="0.25">
      <c r="A2613" s="61"/>
      <c r="B2613" s="59"/>
    </row>
    <row r="2614" spans="1:2" x14ac:dyDescent="0.25">
      <c r="A2614" s="61"/>
      <c r="B2614" s="59"/>
    </row>
    <row r="2615" spans="1:2" x14ac:dyDescent="0.25">
      <c r="A2615" s="61"/>
      <c r="B2615" s="59"/>
    </row>
    <row r="2616" spans="1:2" x14ac:dyDescent="0.25">
      <c r="A2616" s="61"/>
      <c r="B2616" s="59"/>
    </row>
    <row r="2617" spans="1:2" x14ac:dyDescent="0.25">
      <c r="A2617" s="61"/>
      <c r="B2617" s="59"/>
    </row>
    <row r="2618" spans="1:2" x14ac:dyDescent="0.25">
      <c r="A2618" s="61"/>
      <c r="B2618" s="59"/>
    </row>
    <row r="2619" spans="1:2" x14ac:dyDescent="0.25">
      <c r="A2619" s="61"/>
      <c r="B2619" s="59"/>
    </row>
    <row r="2620" spans="1:2" x14ac:dyDescent="0.25">
      <c r="A2620" s="61"/>
      <c r="B2620" s="59"/>
    </row>
    <row r="2621" spans="1:2" x14ac:dyDescent="0.25">
      <c r="A2621" s="61"/>
      <c r="B2621" s="59"/>
    </row>
    <row r="2622" spans="1:2" x14ac:dyDescent="0.25">
      <c r="A2622" s="61"/>
      <c r="B2622" s="59"/>
    </row>
    <row r="2623" spans="1:2" x14ac:dyDescent="0.25">
      <c r="A2623" s="61"/>
      <c r="B2623" s="59"/>
    </row>
    <row r="2624" spans="1:2" x14ac:dyDescent="0.25">
      <c r="A2624" s="61"/>
      <c r="B2624" s="59"/>
    </row>
    <row r="2625" spans="1:2" x14ac:dyDescent="0.25">
      <c r="A2625" s="61"/>
      <c r="B2625" s="59"/>
    </row>
    <row r="2626" spans="1:2" x14ac:dyDescent="0.25">
      <c r="A2626" s="61"/>
      <c r="B2626" s="59"/>
    </row>
    <row r="2627" spans="1:2" x14ac:dyDescent="0.25">
      <c r="A2627" s="61"/>
      <c r="B2627" s="59"/>
    </row>
    <row r="2628" spans="1:2" x14ac:dyDescent="0.25">
      <c r="A2628" s="61"/>
      <c r="B2628" s="59"/>
    </row>
    <row r="2629" spans="1:2" x14ac:dyDescent="0.25">
      <c r="A2629" s="61"/>
      <c r="B2629" s="59"/>
    </row>
    <row r="2630" spans="1:2" x14ac:dyDescent="0.25">
      <c r="A2630" s="61"/>
      <c r="B2630" s="59"/>
    </row>
    <row r="2631" spans="1:2" x14ac:dyDescent="0.25">
      <c r="A2631" s="61"/>
      <c r="B2631" s="59"/>
    </row>
    <row r="2632" spans="1:2" x14ac:dyDescent="0.25">
      <c r="A2632" s="61"/>
      <c r="B2632" s="59"/>
    </row>
    <row r="2633" spans="1:2" x14ac:dyDescent="0.25">
      <c r="A2633" s="61"/>
      <c r="B2633" s="59"/>
    </row>
    <row r="2634" spans="1:2" x14ac:dyDescent="0.25">
      <c r="A2634" s="61"/>
      <c r="B2634" s="59"/>
    </row>
    <row r="2635" spans="1:2" x14ac:dyDescent="0.25">
      <c r="A2635" s="61"/>
      <c r="B2635" s="59"/>
    </row>
    <row r="2636" spans="1:2" x14ac:dyDescent="0.25">
      <c r="A2636" s="61"/>
      <c r="B2636" s="59"/>
    </row>
    <row r="2637" spans="1:2" x14ac:dyDescent="0.25">
      <c r="A2637" s="61"/>
      <c r="B2637" s="59"/>
    </row>
    <row r="2638" spans="1:2" x14ac:dyDescent="0.25">
      <c r="A2638" s="61"/>
      <c r="B2638" s="59"/>
    </row>
    <row r="2639" spans="1:2" x14ac:dyDescent="0.25">
      <c r="A2639" s="61"/>
      <c r="B2639" s="59"/>
    </row>
    <row r="2640" spans="1:2" x14ac:dyDescent="0.25">
      <c r="A2640" s="61"/>
      <c r="B2640" s="59"/>
    </row>
    <row r="2641" spans="1:2" x14ac:dyDescent="0.25">
      <c r="A2641" s="61"/>
      <c r="B2641" s="59"/>
    </row>
    <row r="2642" spans="1:2" x14ac:dyDescent="0.25">
      <c r="A2642" s="61"/>
      <c r="B2642" s="59"/>
    </row>
    <row r="2643" spans="1:2" x14ac:dyDescent="0.25">
      <c r="A2643" s="61"/>
      <c r="B2643" s="59"/>
    </row>
    <row r="2644" spans="1:2" x14ac:dyDescent="0.25">
      <c r="A2644" s="61"/>
      <c r="B2644" s="59"/>
    </row>
    <row r="2645" spans="1:2" x14ac:dyDescent="0.25">
      <c r="A2645" s="61"/>
      <c r="B2645" s="59"/>
    </row>
    <row r="2646" spans="1:2" x14ac:dyDescent="0.25">
      <c r="A2646" s="61"/>
      <c r="B2646" s="59"/>
    </row>
    <row r="2647" spans="1:2" x14ac:dyDescent="0.25">
      <c r="A2647" s="61"/>
      <c r="B2647" s="59"/>
    </row>
    <row r="2648" spans="1:2" x14ac:dyDescent="0.25">
      <c r="A2648" s="61"/>
      <c r="B2648" s="59"/>
    </row>
    <row r="2649" spans="1:2" x14ac:dyDescent="0.25">
      <c r="A2649" s="61"/>
      <c r="B2649" s="59"/>
    </row>
    <row r="2650" spans="1:2" x14ac:dyDescent="0.25">
      <c r="A2650" s="61"/>
      <c r="B2650" s="59"/>
    </row>
    <row r="2651" spans="1:2" x14ac:dyDescent="0.25">
      <c r="A2651" s="61"/>
      <c r="B2651" s="59"/>
    </row>
    <row r="2652" spans="1:2" x14ac:dyDescent="0.25">
      <c r="A2652" s="61"/>
      <c r="B2652" s="59"/>
    </row>
    <row r="2653" spans="1:2" x14ac:dyDescent="0.25">
      <c r="A2653" s="61"/>
      <c r="B2653" s="59"/>
    </row>
    <row r="2654" spans="1:2" x14ac:dyDescent="0.25">
      <c r="A2654" s="61"/>
      <c r="B2654" s="59"/>
    </row>
    <row r="2655" spans="1:2" x14ac:dyDescent="0.25">
      <c r="A2655" s="61"/>
      <c r="B2655" s="59"/>
    </row>
    <row r="2656" spans="1:2" x14ac:dyDescent="0.25">
      <c r="A2656" s="61"/>
      <c r="B2656" s="59"/>
    </row>
    <row r="2657" spans="1:2" x14ac:dyDescent="0.25">
      <c r="A2657" s="61"/>
      <c r="B2657" s="59"/>
    </row>
    <row r="2658" spans="1:2" x14ac:dyDescent="0.25">
      <c r="A2658" s="61"/>
      <c r="B2658" s="59"/>
    </row>
    <row r="2659" spans="1:2" x14ac:dyDescent="0.25">
      <c r="A2659" s="61"/>
      <c r="B2659" s="59"/>
    </row>
    <row r="2660" spans="1:2" x14ac:dyDescent="0.25">
      <c r="A2660" s="61"/>
      <c r="B2660" s="59"/>
    </row>
    <row r="2661" spans="1:2" x14ac:dyDescent="0.25">
      <c r="A2661" s="61"/>
      <c r="B2661" s="59"/>
    </row>
    <row r="2662" spans="1:2" x14ac:dyDescent="0.25">
      <c r="A2662" s="61"/>
      <c r="B2662" s="59"/>
    </row>
    <row r="2663" spans="1:2" x14ac:dyDescent="0.25">
      <c r="A2663" s="61"/>
      <c r="B2663" s="59"/>
    </row>
    <row r="2664" spans="1:2" x14ac:dyDescent="0.25">
      <c r="A2664" s="61"/>
      <c r="B2664" s="59"/>
    </row>
    <row r="2665" spans="1:2" x14ac:dyDescent="0.25">
      <c r="A2665" s="61"/>
      <c r="B2665" s="59"/>
    </row>
    <row r="2666" spans="1:2" x14ac:dyDescent="0.25">
      <c r="A2666" s="61"/>
      <c r="B2666" s="59"/>
    </row>
    <row r="2667" spans="1:2" x14ac:dyDescent="0.25">
      <c r="A2667" s="61"/>
      <c r="B2667" s="59"/>
    </row>
    <row r="2668" spans="1:2" x14ac:dyDescent="0.25">
      <c r="A2668" s="61"/>
      <c r="B2668" s="59"/>
    </row>
    <row r="2669" spans="1:2" x14ac:dyDescent="0.25">
      <c r="A2669" s="61"/>
      <c r="B2669" s="59"/>
    </row>
    <row r="2670" spans="1:2" x14ac:dyDescent="0.25">
      <c r="A2670" s="61"/>
      <c r="B2670" s="59"/>
    </row>
    <row r="2671" spans="1:2" x14ac:dyDescent="0.25">
      <c r="A2671" s="61"/>
      <c r="B2671" s="59"/>
    </row>
    <row r="2672" spans="1:2" x14ac:dyDescent="0.25">
      <c r="A2672" s="61"/>
      <c r="B2672" s="59"/>
    </row>
    <row r="2673" spans="1:2" x14ac:dyDescent="0.25">
      <c r="A2673" s="61"/>
      <c r="B2673" s="59"/>
    </row>
    <row r="2674" spans="1:2" x14ac:dyDescent="0.25">
      <c r="A2674" s="61"/>
      <c r="B2674" s="59"/>
    </row>
    <row r="2675" spans="1:2" x14ac:dyDescent="0.25">
      <c r="A2675" s="61"/>
      <c r="B2675" s="59"/>
    </row>
    <row r="2676" spans="1:2" x14ac:dyDescent="0.25">
      <c r="A2676" s="61"/>
      <c r="B2676" s="59"/>
    </row>
    <row r="2677" spans="1:2" x14ac:dyDescent="0.25">
      <c r="A2677" s="61"/>
      <c r="B2677" s="59"/>
    </row>
    <row r="2678" spans="1:2" x14ac:dyDescent="0.25">
      <c r="A2678" s="61"/>
      <c r="B2678" s="59"/>
    </row>
    <row r="2679" spans="1:2" x14ac:dyDescent="0.25">
      <c r="A2679" s="61"/>
      <c r="B2679" s="59"/>
    </row>
    <row r="2680" spans="1:2" x14ac:dyDescent="0.25">
      <c r="A2680" s="61"/>
      <c r="B2680" s="59"/>
    </row>
    <row r="2681" spans="1:2" x14ac:dyDescent="0.25">
      <c r="A2681" s="61"/>
      <c r="B2681" s="59"/>
    </row>
    <row r="2682" spans="1:2" x14ac:dyDescent="0.25">
      <c r="A2682" s="61"/>
      <c r="B2682" s="59"/>
    </row>
    <row r="2683" spans="1:2" x14ac:dyDescent="0.25">
      <c r="A2683" s="61"/>
      <c r="B2683" s="59"/>
    </row>
    <row r="2684" spans="1:2" x14ac:dyDescent="0.25">
      <c r="A2684" s="61"/>
      <c r="B2684" s="59"/>
    </row>
    <row r="2685" spans="1:2" x14ac:dyDescent="0.25">
      <c r="A2685" s="61"/>
      <c r="B2685" s="59"/>
    </row>
    <row r="2686" spans="1:2" x14ac:dyDescent="0.25">
      <c r="A2686" s="61"/>
      <c r="B2686" s="59"/>
    </row>
    <row r="2687" spans="1:2" x14ac:dyDescent="0.25">
      <c r="A2687" s="61"/>
      <c r="B2687" s="59"/>
    </row>
    <row r="2688" spans="1:2" x14ac:dyDescent="0.25">
      <c r="A2688" s="61"/>
      <c r="B2688" s="59"/>
    </row>
    <row r="2689" spans="1:2" x14ac:dyDescent="0.25">
      <c r="A2689" s="61"/>
      <c r="B2689" s="59"/>
    </row>
    <row r="2690" spans="1:2" x14ac:dyDescent="0.25">
      <c r="A2690" s="61"/>
      <c r="B2690" s="59"/>
    </row>
    <row r="2691" spans="1:2" x14ac:dyDescent="0.25">
      <c r="A2691" s="61"/>
      <c r="B2691" s="59"/>
    </row>
    <row r="2692" spans="1:2" x14ac:dyDescent="0.25">
      <c r="A2692" s="61"/>
      <c r="B2692" s="59"/>
    </row>
    <row r="2693" spans="1:2" x14ac:dyDescent="0.25">
      <c r="A2693" s="61"/>
      <c r="B2693" s="59"/>
    </row>
    <row r="2694" spans="1:2" x14ac:dyDescent="0.25">
      <c r="A2694" s="61"/>
      <c r="B2694" s="59"/>
    </row>
    <row r="2695" spans="1:2" x14ac:dyDescent="0.25">
      <c r="A2695" s="61"/>
      <c r="B2695" s="59"/>
    </row>
    <row r="2696" spans="1:2" x14ac:dyDescent="0.25">
      <c r="A2696" s="61"/>
      <c r="B2696" s="59"/>
    </row>
    <row r="2697" spans="1:2" x14ac:dyDescent="0.25">
      <c r="A2697" s="61"/>
      <c r="B2697" s="59"/>
    </row>
    <row r="2698" spans="1:2" x14ac:dyDescent="0.25">
      <c r="A2698" s="61"/>
      <c r="B2698" s="59"/>
    </row>
    <row r="2699" spans="1:2" x14ac:dyDescent="0.25">
      <c r="A2699" s="61"/>
      <c r="B2699" s="59"/>
    </row>
    <row r="2700" spans="1:2" x14ac:dyDescent="0.25">
      <c r="A2700" s="61"/>
      <c r="B2700" s="59"/>
    </row>
    <row r="2701" spans="1:2" x14ac:dyDescent="0.25">
      <c r="A2701" s="61"/>
      <c r="B2701" s="59"/>
    </row>
    <row r="2702" spans="1:2" x14ac:dyDescent="0.25">
      <c r="A2702" s="61"/>
      <c r="B2702" s="59"/>
    </row>
    <row r="2703" spans="1:2" x14ac:dyDescent="0.25">
      <c r="A2703" s="61"/>
      <c r="B2703" s="59"/>
    </row>
    <row r="2704" spans="1:2" x14ac:dyDescent="0.25">
      <c r="A2704" s="61"/>
      <c r="B2704" s="59"/>
    </row>
    <row r="2705" spans="1:2" x14ac:dyDescent="0.25">
      <c r="A2705" s="61"/>
      <c r="B2705" s="59"/>
    </row>
    <row r="2706" spans="1:2" x14ac:dyDescent="0.25">
      <c r="A2706" s="61"/>
      <c r="B2706" s="59"/>
    </row>
    <row r="2707" spans="1:2" x14ac:dyDescent="0.25">
      <c r="A2707" s="61"/>
      <c r="B2707" s="59"/>
    </row>
    <row r="2708" spans="1:2" x14ac:dyDescent="0.25">
      <c r="A2708" s="61"/>
      <c r="B2708" s="59"/>
    </row>
    <row r="2709" spans="1:2" x14ac:dyDescent="0.25">
      <c r="A2709" s="61"/>
      <c r="B2709" s="59"/>
    </row>
    <row r="2710" spans="1:2" x14ac:dyDescent="0.25">
      <c r="A2710" s="61"/>
      <c r="B2710" s="59"/>
    </row>
    <row r="2711" spans="1:2" x14ac:dyDescent="0.25">
      <c r="A2711" s="61"/>
      <c r="B2711" s="59"/>
    </row>
    <row r="2712" spans="1:2" x14ac:dyDescent="0.25">
      <c r="A2712" s="61"/>
      <c r="B2712" s="59"/>
    </row>
    <row r="2713" spans="1:2" x14ac:dyDescent="0.25">
      <c r="A2713" s="61"/>
      <c r="B2713" s="59"/>
    </row>
    <row r="2714" spans="1:2" x14ac:dyDescent="0.25">
      <c r="A2714" s="61"/>
      <c r="B2714" s="59"/>
    </row>
    <row r="2715" spans="1:2" x14ac:dyDescent="0.25">
      <c r="A2715" s="61"/>
      <c r="B2715" s="59"/>
    </row>
    <row r="2716" spans="1:2" x14ac:dyDescent="0.25">
      <c r="A2716" s="61"/>
      <c r="B2716" s="59"/>
    </row>
    <row r="2717" spans="1:2" x14ac:dyDescent="0.25">
      <c r="A2717" s="61"/>
      <c r="B2717" s="59"/>
    </row>
    <row r="2718" spans="1:2" x14ac:dyDescent="0.25">
      <c r="A2718" s="61"/>
      <c r="B2718" s="59"/>
    </row>
    <row r="2719" spans="1:2" x14ac:dyDescent="0.25">
      <c r="A2719" s="61"/>
      <c r="B2719" s="59"/>
    </row>
    <row r="2720" spans="1:2" x14ac:dyDescent="0.25">
      <c r="A2720" s="61"/>
      <c r="B2720" s="59"/>
    </row>
    <row r="2721" spans="1:2" x14ac:dyDescent="0.25">
      <c r="A2721" s="61"/>
      <c r="B2721" s="59"/>
    </row>
    <row r="2722" spans="1:2" x14ac:dyDescent="0.25">
      <c r="A2722" s="61"/>
      <c r="B2722" s="59"/>
    </row>
    <row r="2723" spans="1:2" x14ac:dyDescent="0.25">
      <c r="A2723" s="61"/>
      <c r="B2723" s="59"/>
    </row>
    <row r="2724" spans="1:2" x14ac:dyDescent="0.25">
      <c r="A2724" s="61"/>
      <c r="B2724" s="59"/>
    </row>
    <row r="2725" spans="1:2" x14ac:dyDescent="0.25">
      <c r="A2725" s="61"/>
      <c r="B2725" s="59"/>
    </row>
    <row r="2726" spans="1:2" x14ac:dyDescent="0.25">
      <c r="A2726" s="61"/>
      <c r="B2726" s="59"/>
    </row>
    <row r="2727" spans="1:2" x14ac:dyDescent="0.25">
      <c r="A2727" s="61"/>
      <c r="B2727" s="59"/>
    </row>
    <row r="2728" spans="1:2" x14ac:dyDescent="0.25">
      <c r="A2728" s="61"/>
      <c r="B2728" s="59"/>
    </row>
    <row r="2729" spans="1:2" x14ac:dyDescent="0.25">
      <c r="A2729" s="61"/>
      <c r="B2729" s="59"/>
    </row>
    <row r="2730" spans="1:2" x14ac:dyDescent="0.25">
      <c r="A2730" s="61"/>
      <c r="B2730" s="59"/>
    </row>
    <row r="2731" spans="1:2" x14ac:dyDescent="0.25">
      <c r="A2731" s="61"/>
      <c r="B2731" s="59"/>
    </row>
    <row r="2732" spans="1:2" x14ac:dyDescent="0.25">
      <c r="A2732" s="61"/>
      <c r="B2732" s="59"/>
    </row>
    <row r="2733" spans="1:2" x14ac:dyDescent="0.25">
      <c r="A2733" s="61"/>
      <c r="B2733" s="59"/>
    </row>
    <row r="2734" spans="1:2" x14ac:dyDescent="0.25">
      <c r="A2734" s="61"/>
      <c r="B2734" s="59"/>
    </row>
    <row r="2735" spans="1:2" x14ac:dyDescent="0.25">
      <c r="A2735" s="61"/>
      <c r="B2735" s="59"/>
    </row>
    <row r="2736" spans="1:2" x14ac:dyDescent="0.25">
      <c r="A2736" s="61"/>
      <c r="B2736" s="59"/>
    </row>
    <row r="2737" spans="1:2" x14ac:dyDescent="0.25">
      <c r="A2737" s="61"/>
      <c r="B2737" s="59"/>
    </row>
    <row r="2738" spans="1:2" x14ac:dyDescent="0.25">
      <c r="A2738" s="61"/>
      <c r="B2738" s="59"/>
    </row>
    <row r="2739" spans="1:2" x14ac:dyDescent="0.25">
      <c r="A2739" s="61"/>
      <c r="B2739" s="59"/>
    </row>
    <row r="2740" spans="1:2" x14ac:dyDescent="0.25">
      <c r="A2740" s="61"/>
      <c r="B2740" s="59"/>
    </row>
    <row r="2741" spans="1:2" x14ac:dyDescent="0.25">
      <c r="A2741" s="61"/>
      <c r="B2741" s="59"/>
    </row>
    <row r="2742" spans="1:2" x14ac:dyDescent="0.25">
      <c r="A2742" s="61"/>
      <c r="B2742" s="59"/>
    </row>
    <row r="2743" spans="1:2" x14ac:dyDescent="0.25">
      <c r="A2743" s="61"/>
      <c r="B2743" s="59"/>
    </row>
    <row r="2744" spans="1:2" x14ac:dyDescent="0.25">
      <c r="A2744" s="61"/>
      <c r="B2744" s="59"/>
    </row>
    <row r="2745" spans="1:2" x14ac:dyDescent="0.25">
      <c r="A2745" s="61"/>
      <c r="B2745" s="59"/>
    </row>
    <row r="2746" spans="1:2" x14ac:dyDescent="0.25">
      <c r="A2746" s="61"/>
      <c r="B2746" s="59"/>
    </row>
    <row r="2747" spans="1:2" x14ac:dyDescent="0.25">
      <c r="A2747" s="61"/>
      <c r="B2747" s="59"/>
    </row>
    <row r="2748" spans="1:2" x14ac:dyDescent="0.25">
      <c r="A2748" s="61"/>
      <c r="B2748" s="59"/>
    </row>
    <row r="2749" spans="1:2" x14ac:dyDescent="0.25">
      <c r="A2749" s="61"/>
      <c r="B2749" s="59"/>
    </row>
    <row r="2750" spans="1:2" x14ac:dyDescent="0.25">
      <c r="A2750" s="61"/>
      <c r="B2750" s="59"/>
    </row>
    <row r="2751" spans="1:2" x14ac:dyDescent="0.25">
      <c r="A2751" s="61"/>
      <c r="B2751" s="59"/>
    </row>
    <row r="2752" spans="1:2" x14ac:dyDescent="0.25">
      <c r="A2752" s="61"/>
      <c r="B2752" s="59"/>
    </row>
    <row r="2753" spans="1:2" x14ac:dyDescent="0.25">
      <c r="A2753" s="61"/>
      <c r="B2753" s="59"/>
    </row>
    <row r="2754" spans="1:2" x14ac:dyDescent="0.25">
      <c r="A2754" s="61"/>
      <c r="B2754" s="59"/>
    </row>
    <row r="2755" spans="1:2" x14ac:dyDescent="0.25">
      <c r="A2755" s="61"/>
      <c r="B2755" s="59"/>
    </row>
    <row r="2756" spans="1:2" x14ac:dyDescent="0.25">
      <c r="A2756" s="61"/>
      <c r="B2756" s="59"/>
    </row>
    <row r="2757" spans="1:2" x14ac:dyDescent="0.25">
      <c r="A2757" s="61"/>
      <c r="B2757" s="59"/>
    </row>
    <row r="2758" spans="1:2" x14ac:dyDescent="0.25">
      <c r="A2758" s="61"/>
      <c r="B2758" s="59"/>
    </row>
    <row r="2759" spans="1:2" x14ac:dyDescent="0.25">
      <c r="A2759" s="61"/>
      <c r="B2759" s="59"/>
    </row>
    <row r="2760" spans="1:2" x14ac:dyDescent="0.25">
      <c r="A2760" s="61"/>
      <c r="B2760" s="59"/>
    </row>
    <row r="2761" spans="1:2" x14ac:dyDescent="0.25">
      <c r="A2761" s="61"/>
      <c r="B2761" s="59"/>
    </row>
    <row r="2762" spans="1:2" x14ac:dyDescent="0.25">
      <c r="A2762" s="61"/>
      <c r="B2762" s="59"/>
    </row>
    <row r="2763" spans="1:2" x14ac:dyDescent="0.25">
      <c r="A2763" s="61"/>
      <c r="B2763" s="59"/>
    </row>
    <row r="2764" spans="1:2" x14ac:dyDescent="0.25">
      <c r="A2764" s="61"/>
      <c r="B2764" s="59"/>
    </row>
    <row r="2765" spans="1:2" x14ac:dyDescent="0.25">
      <c r="A2765" s="61"/>
      <c r="B2765" s="59"/>
    </row>
    <row r="2766" spans="1:2" x14ac:dyDescent="0.25">
      <c r="A2766" s="61"/>
      <c r="B2766" s="59"/>
    </row>
    <row r="2767" spans="1:2" x14ac:dyDescent="0.25">
      <c r="A2767" s="61"/>
      <c r="B2767" s="59"/>
    </row>
    <row r="2768" spans="1:2" x14ac:dyDescent="0.25">
      <c r="A2768" s="61"/>
      <c r="B2768" s="59"/>
    </row>
    <row r="2769" spans="1:2" x14ac:dyDescent="0.25">
      <c r="A2769" s="61"/>
      <c r="B2769" s="59"/>
    </row>
    <row r="2770" spans="1:2" x14ac:dyDescent="0.25">
      <c r="A2770" s="61"/>
      <c r="B2770" s="59"/>
    </row>
    <row r="2771" spans="1:2" x14ac:dyDescent="0.25">
      <c r="A2771" s="61"/>
      <c r="B2771" s="59"/>
    </row>
    <row r="2772" spans="1:2" x14ac:dyDescent="0.25">
      <c r="A2772" s="61"/>
      <c r="B2772" s="59"/>
    </row>
    <row r="2773" spans="1:2" x14ac:dyDescent="0.25">
      <c r="A2773" s="61"/>
      <c r="B2773" s="59"/>
    </row>
    <row r="2774" spans="1:2" x14ac:dyDescent="0.25">
      <c r="A2774" s="61"/>
      <c r="B2774" s="59"/>
    </row>
    <row r="2775" spans="1:2" x14ac:dyDescent="0.25">
      <c r="A2775" s="61"/>
      <c r="B2775" s="59"/>
    </row>
    <row r="2776" spans="1:2" x14ac:dyDescent="0.25">
      <c r="A2776" s="61"/>
      <c r="B2776" s="59"/>
    </row>
    <row r="2777" spans="1:2" x14ac:dyDescent="0.25">
      <c r="A2777" s="61"/>
      <c r="B2777" s="59"/>
    </row>
    <row r="2778" spans="1:2" x14ac:dyDescent="0.25">
      <c r="A2778" s="61"/>
      <c r="B2778" s="59"/>
    </row>
    <row r="2779" spans="1:2" x14ac:dyDescent="0.25">
      <c r="A2779" s="61"/>
      <c r="B2779" s="59"/>
    </row>
    <row r="2780" spans="1:2" x14ac:dyDescent="0.25">
      <c r="A2780" s="61"/>
      <c r="B2780" s="59"/>
    </row>
    <row r="2781" spans="1:2" x14ac:dyDescent="0.25">
      <c r="A2781" s="61"/>
      <c r="B2781" s="59"/>
    </row>
    <row r="2782" spans="1:2" x14ac:dyDescent="0.25">
      <c r="A2782" s="61"/>
      <c r="B2782" s="59"/>
    </row>
    <row r="2783" spans="1:2" x14ac:dyDescent="0.25">
      <c r="A2783" s="61"/>
      <c r="B2783" s="59"/>
    </row>
    <row r="2784" spans="1:2" x14ac:dyDescent="0.25">
      <c r="A2784" s="61"/>
      <c r="B2784" s="59"/>
    </row>
    <row r="2785" spans="1:2" x14ac:dyDescent="0.25">
      <c r="A2785" s="61"/>
      <c r="B2785" s="59"/>
    </row>
    <row r="2786" spans="1:2" x14ac:dyDescent="0.25">
      <c r="A2786" s="61"/>
      <c r="B2786" s="59"/>
    </row>
    <row r="2787" spans="1:2" x14ac:dyDescent="0.25">
      <c r="A2787" s="61"/>
      <c r="B2787" s="59"/>
    </row>
    <row r="2788" spans="1:2" x14ac:dyDescent="0.25">
      <c r="A2788" s="61"/>
      <c r="B2788" s="59"/>
    </row>
    <row r="2789" spans="1:2" x14ac:dyDescent="0.25">
      <c r="A2789" s="61"/>
      <c r="B2789" s="59"/>
    </row>
    <row r="2790" spans="1:2" x14ac:dyDescent="0.25">
      <c r="A2790" s="61"/>
      <c r="B2790" s="59"/>
    </row>
    <row r="2791" spans="1:2" x14ac:dyDescent="0.25">
      <c r="A2791" s="61"/>
      <c r="B2791" s="59"/>
    </row>
    <row r="2792" spans="1:2" x14ac:dyDescent="0.25">
      <c r="A2792" s="61"/>
      <c r="B2792" s="59"/>
    </row>
    <row r="2793" spans="1:2" x14ac:dyDescent="0.25">
      <c r="A2793" s="61"/>
      <c r="B2793" s="59"/>
    </row>
    <row r="2794" spans="1:2" x14ac:dyDescent="0.25">
      <c r="A2794" s="61"/>
      <c r="B2794" s="59"/>
    </row>
    <row r="2795" spans="1:2" x14ac:dyDescent="0.25">
      <c r="A2795" s="61"/>
      <c r="B2795" s="59"/>
    </row>
    <row r="2796" spans="1:2" x14ac:dyDescent="0.25">
      <c r="A2796" s="61"/>
      <c r="B2796" s="59"/>
    </row>
    <row r="2797" spans="1:2" x14ac:dyDescent="0.25">
      <c r="A2797" s="61"/>
      <c r="B2797" s="59"/>
    </row>
    <row r="2798" spans="1:2" x14ac:dyDescent="0.25">
      <c r="A2798" s="61"/>
      <c r="B2798" s="59"/>
    </row>
    <row r="2799" spans="1:2" x14ac:dyDescent="0.25">
      <c r="A2799" s="61"/>
      <c r="B2799" s="59"/>
    </row>
    <row r="2800" spans="1:2" x14ac:dyDescent="0.25">
      <c r="A2800" s="61"/>
      <c r="B2800" s="59"/>
    </row>
    <row r="2801" spans="1:2" x14ac:dyDescent="0.25">
      <c r="A2801" s="61"/>
      <c r="B2801" s="59"/>
    </row>
    <row r="2802" spans="1:2" x14ac:dyDescent="0.25">
      <c r="A2802" s="61"/>
      <c r="B2802" s="59"/>
    </row>
    <row r="2803" spans="1:2" x14ac:dyDescent="0.25">
      <c r="A2803" s="61"/>
      <c r="B2803" s="59"/>
    </row>
    <row r="2804" spans="1:2" x14ac:dyDescent="0.25">
      <c r="A2804" s="61"/>
      <c r="B2804" s="59"/>
    </row>
    <row r="2805" spans="1:2" x14ac:dyDescent="0.25">
      <c r="A2805" s="61"/>
      <c r="B2805" s="59"/>
    </row>
    <row r="2806" spans="1:2" x14ac:dyDescent="0.25">
      <c r="A2806" s="61"/>
      <c r="B2806" s="59"/>
    </row>
    <row r="2807" spans="1:2" x14ac:dyDescent="0.25">
      <c r="A2807" s="61"/>
      <c r="B2807" s="59"/>
    </row>
    <row r="2808" spans="1:2" x14ac:dyDescent="0.25">
      <c r="A2808" s="61"/>
      <c r="B2808" s="59"/>
    </row>
    <row r="2809" spans="1:2" x14ac:dyDescent="0.25">
      <c r="A2809" s="61"/>
      <c r="B2809" s="59"/>
    </row>
    <row r="2810" spans="1:2" x14ac:dyDescent="0.25">
      <c r="A2810" s="61"/>
      <c r="B2810" s="59"/>
    </row>
    <row r="2811" spans="1:2" x14ac:dyDescent="0.25">
      <c r="A2811" s="61"/>
      <c r="B2811" s="59"/>
    </row>
    <row r="2812" spans="1:2" x14ac:dyDescent="0.25">
      <c r="A2812" s="61"/>
      <c r="B2812" s="59"/>
    </row>
    <row r="2813" spans="1:2" x14ac:dyDescent="0.25">
      <c r="A2813" s="61"/>
      <c r="B2813" s="59"/>
    </row>
    <row r="2814" spans="1:2" x14ac:dyDescent="0.25">
      <c r="A2814" s="61"/>
      <c r="B2814" s="59"/>
    </row>
    <row r="2815" spans="1:2" x14ac:dyDescent="0.25">
      <c r="A2815" s="61"/>
      <c r="B2815" s="59"/>
    </row>
    <row r="2816" spans="1:2" x14ac:dyDescent="0.25">
      <c r="A2816" s="61"/>
      <c r="B2816" s="59"/>
    </row>
    <row r="2817" spans="1:2" x14ac:dyDescent="0.25">
      <c r="A2817" s="61"/>
      <c r="B2817" s="59"/>
    </row>
    <row r="2818" spans="1:2" x14ac:dyDescent="0.25">
      <c r="A2818" s="61"/>
      <c r="B2818" s="59"/>
    </row>
    <row r="2819" spans="1:2" x14ac:dyDescent="0.25">
      <c r="A2819" s="61"/>
      <c r="B2819" s="59"/>
    </row>
    <row r="2820" spans="1:2" x14ac:dyDescent="0.25">
      <c r="A2820" s="61"/>
      <c r="B2820" s="59"/>
    </row>
    <row r="2821" spans="1:2" x14ac:dyDescent="0.25">
      <c r="A2821" s="61"/>
      <c r="B2821" s="59"/>
    </row>
    <row r="2822" spans="1:2" x14ac:dyDescent="0.25">
      <c r="A2822" s="61"/>
      <c r="B2822" s="59"/>
    </row>
    <row r="2823" spans="1:2" x14ac:dyDescent="0.25">
      <c r="A2823" s="61"/>
      <c r="B2823" s="59"/>
    </row>
    <row r="2824" spans="1:2" x14ac:dyDescent="0.25">
      <c r="A2824" s="61"/>
      <c r="B2824" s="59"/>
    </row>
    <row r="2825" spans="1:2" x14ac:dyDescent="0.25">
      <c r="A2825" s="61"/>
      <c r="B2825" s="59"/>
    </row>
    <row r="2826" spans="1:2" x14ac:dyDescent="0.25">
      <c r="A2826" s="61"/>
      <c r="B2826" s="59"/>
    </row>
    <row r="2827" spans="1:2" x14ac:dyDescent="0.25">
      <c r="A2827" s="61"/>
      <c r="B2827" s="59"/>
    </row>
    <row r="2828" spans="1:2" x14ac:dyDescent="0.25">
      <c r="A2828" s="61"/>
      <c r="B2828" s="59"/>
    </row>
    <row r="2829" spans="1:2" x14ac:dyDescent="0.25">
      <c r="A2829" s="61"/>
      <c r="B2829" s="59"/>
    </row>
    <row r="2830" spans="1:2" x14ac:dyDescent="0.25">
      <c r="A2830" s="61"/>
      <c r="B2830" s="59"/>
    </row>
    <row r="2831" spans="1:2" x14ac:dyDescent="0.25">
      <c r="A2831" s="61"/>
      <c r="B2831" s="59"/>
    </row>
    <row r="2832" spans="1:2" x14ac:dyDescent="0.25">
      <c r="A2832" s="61"/>
      <c r="B2832" s="59"/>
    </row>
    <row r="2833" spans="1:2" x14ac:dyDescent="0.25">
      <c r="A2833" s="61"/>
      <c r="B2833" s="59"/>
    </row>
    <row r="2834" spans="1:2" x14ac:dyDescent="0.25">
      <c r="A2834" s="61"/>
      <c r="B2834" s="59"/>
    </row>
    <row r="2835" spans="1:2" x14ac:dyDescent="0.25">
      <c r="A2835" s="61"/>
      <c r="B2835" s="59"/>
    </row>
    <row r="2836" spans="1:2" x14ac:dyDescent="0.25">
      <c r="A2836" s="61"/>
      <c r="B2836" s="59"/>
    </row>
    <row r="2837" spans="1:2" x14ac:dyDescent="0.25">
      <c r="A2837" s="61"/>
      <c r="B2837" s="59"/>
    </row>
    <row r="2838" spans="1:2" x14ac:dyDescent="0.25">
      <c r="A2838" s="61"/>
      <c r="B2838" s="59"/>
    </row>
    <row r="2839" spans="1:2" x14ac:dyDescent="0.25">
      <c r="A2839" s="61"/>
      <c r="B2839" s="59"/>
    </row>
    <row r="2840" spans="1:2" x14ac:dyDescent="0.25">
      <c r="A2840" s="61"/>
      <c r="B2840" s="59"/>
    </row>
    <row r="2841" spans="1:2" x14ac:dyDescent="0.25">
      <c r="A2841" s="61"/>
      <c r="B2841" s="59"/>
    </row>
    <row r="2842" spans="1:2" x14ac:dyDescent="0.25">
      <c r="A2842" s="61"/>
      <c r="B2842" s="59"/>
    </row>
    <row r="2843" spans="1:2" x14ac:dyDescent="0.25">
      <c r="A2843" s="61"/>
      <c r="B2843" s="59"/>
    </row>
    <row r="2844" spans="1:2" x14ac:dyDescent="0.25">
      <c r="A2844" s="61"/>
      <c r="B2844" s="59"/>
    </row>
    <row r="2845" spans="1:2" x14ac:dyDescent="0.25">
      <c r="A2845" s="61"/>
      <c r="B2845" s="59"/>
    </row>
    <row r="2846" spans="1:2" x14ac:dyDescent="0.25">
      <c r="A2846" s="61"/>
      <c r="B2846" s="59"/>
    </row>
    <row r="2847" spans="1:2" x14ac:dyDescent="0.25">
      <c r="A2847" s="61"/>
      <c r="B2847" s="59"/>
    </row>
    <row r="2848" spans="1:2" x14ac:dyDescent="0.25">
      <c r="A2848" s="61"/>
      <c r="B2848" s="59"/>
    </row>
    <row r="2849" spans="1:2" x14ac:dyDescent="0.25">
      <c r="A2849" s="61"/>
      <c r="B2849" s="59"/>
    </row>
    <row r="2850" spans="1:2" x14ac:dyDescent="0.25">
      <c r="A2850" s="61"/>
      <c r="B2850" s="59"/>
    </row>
    <row r="2851" spans="1:2" x14ac:dyDescent="0.25">
      <c r="A2851" s="61"/>
      <c r="B2851" s="59"/>
    </row>
    <row r="2852" spans="1:2" x14ac:dyDescent="0.25">
      <c r="A2852" s="61"/>
      <c r="B2852" s="59"/>
    </row>
    <row r="2853" spans="1:2" x14ac:dyDescent="0.25">
      <c r="A2853" s="61"/>
      <c r="B2853" s="59"/>
    </row>
    <row r="2854" spans="1:2" x14ac:dyDescent="0.25">
      <c r="A2854" s="61"/>
      <c r="B2854" s="59"/>
    </row>
    <row r="2855" spans="1:2" x14ac:dyDescent="0.25">
      <c r="A2855" s="61"/>
      <c r="B2855" s="59"/>
    </row>
    <row r="2856" spans="1:2" x14ac:dyDescent="0.25">
      <c r="A2856" s="61"/>
      <c r="B2856" s="59"/>
    </row>
    <row r="2857" spans="1:2" x14ac:dyDescent="0.25">
      <c r="A2857" s="61"/>
      <c r="B2857" s="59"/>
    </row>
    <row r="2858" spans="1:2" x14ac:dyDescent="0.25">
      <c r="A2858" s="61"/>
      <c r="B2858" s="59"/>
    </row>
    <row r="2859" spans="1:2" x14ac:dyDescent="0.25">
      <c r="A2859" s="61"/>
      <c r="B2859" s="59"/>
    </row>
    <row r="2860" spans="1:2" x14ac:dyDescent="0.25">
      <c r="A2860" s="61"/>
      <c r="B2860" s="59"/>
    </row>
    <row r="2861" spans="1:2" x14ac:dyDescent="0.25">
      <c r="A2861" s="61"/>
      <c r="B2861" s="59"/>
    </row>
    <row r="2862" spans="1:2" x14ac:dyDescent="0.25">
      <c r="A2862" s="61"/>
      <c r="B2862" s="59"/>
    </row>
    <row r="2863" spans="1:2" x14ac:dyDescent="0.25">
      <c r="A2863" s="61"/>
      <c r="B2863" s="59"/>
    </row>
    <row r="2864" spans="1:2" x14ac:dyDescent="0.25">
      <c r="A2864" s="61"/>
      <c r="B2864" s="59"/>
    </row>
    <row r="2865" spans="1:2" x14ac:dyDescent="0.25">
      <c r="A2865" s="61"/>
      <c r="B2865" s="59"/>
    </row>
    <row r="2866" spans="1:2" x14ac:dyDescent="0.25">
      <c r="A2866" s="61"/>
      <c r="B2866" s="59"/>
    </row>
    <row r="2867" spans="1:2" x14ac:dyDescent="0.25">
      <c r="A2867" s="61"/>
      <c r="B2867" s="59"/>
    </row>
    <row r="2868" spans="1:2" x14ac:dyDescent="0.25">
      <c r="A2868" s="61"/>
      <c r="B2868" s="59"/>
    </row>
    <row r="2869" spans="1:2" x14ac:dyDescent="0.25">
      <c r="A2869" s="61"/>
      <c r="B2869" s="59"/>
    </row>
    <row r="2870" spans="1:2" x14ac:dyDescent="0.25">
      <c r="A2870" s="61"/>
      <c r="B2870" s="59"/>
    </row>
    <row r="2871" spans="1:2" x14ac:dyDescent="0.25">
      <c r="A2871" s="61"/>
      <c r="B2871" s="59"/>
    </row>
    <row r="2872" spans="1:2" x14ac:dyDescent="0.25">
      <c r="A2872" s="61"/>
      <c r="B2872" s="59"/>
    </row>
    <row r="2873" spans="1:2" x14ac:dyDescent="0.25">
      <c r="A2873" s="61"/>
      <c r="B2873" s="59"/>
    </row>
    <row r="2874" spans="1:2" x14ac:dyDescent="0.25">
      <c r="A2874" s="61"/>
      <c r="B2874" s="59"/>
    </row>
    <row r="2875" spans="1:2" x14ac:dyDescent="0.25">
      <c r="A2875" s="61"/>
      <c r="B2875" s="59"/>
    </row>
    <row r="2876" spans="1:2" x14ac:dyDescent="0.25">
      <c r="A2876" s="61"/>
      <c r="B2876" s="59"/>
    </row>
    <row r="2877" spans="1:2" x14ac:dyDescent="0.25">
      <c r="A2877" s="61"/>
      <c r="B2877" s="59"/>
    </row>
    <row r="2878" spans="1:2" x14ac:dyDescent="0.25">
      <c r="A2878" s="61"/>
      <c r="B2878" s="59"/>
    </row>
    <row r="2879" spans="1:2" x14ac:dyDescent="0.25">
      <c r="A2879" s="61"/>
      <c r="B2879" s="59"/>
    </row>
    <row r="2880" spans="1:2" x14ac:dyDescent="0.25">
      <c r="A2880" s="61"/>
      <c r="B2880" s="59"/>
    </row>
    <row r="2881" spans="1:2" x14ac:dyDescent="0.25">
      <c r="A2881" s="61"/>
      <c r="B2881" s="59"/>
    </row>
    <row r="2882" spans="1:2" x14ac:dyDescent="0.25">
      <c r="A2882" s="61"/>
      <c r="B2882" s="59"/>
    </row>
    <row r="2883" spans="1:2" x14ac:dyDescent="0.25">
      <c r="A2883" s="61"/>
      <c r="B2883" s="59"/>
    </row>
    <row r="2884" spans="1:2" x14ac:dyDescent="0.25">
      <c r="A2884" s="61"/>
      <c r="B2884" s="59"/>
    </row>
    <row r="2885" spans="1:2" x14ac:dyDescent="0.25">
      <c r="A2885" s="61"/>
      <c r="B2885" s="59"/>
    </row>
    <row r="2886" spans="1:2" x14ac:dyDescent="0.25">
      <c r="A2886" s="61"/>
      <c r="B2886" s="59"/>
    </row>
    <row r="2887" spans="1:2" x14ac:dyDescent="0.25">
      <c r="A2887" s="61"/>
      <c r="B2887" s="59"/>
    </row>
    <row r="2888" spans="1:2" x14ac:dyDescent="0.25">
      <c r="A2888" s="61"/>
      <c r="B2888" s="59"/>
    </row>
    <row r="2889" spans="1:2" x14ac:dyDescent="0.25">
      <c r="A2889" s="61"/>
      <c r="B2889" s="59"/>
    </row>
    <row r="2890" spans="1:2" x14ac:dyDescent="0.25">
      <c r="A2890" s="61"/>
      <c r="B2890" s="59"/>
    </row>
    <row r="2891" spans="1:2" x14ac:dyDescent="0.25">
      <c r="A2891" s="61"/>
      <c r="B2891" s="59"/>
    </row>
    <row r="2892" spans="1:2" x14ac:dyDescent="0.25">
      <c r="A2892" s="61"/>
      <c r="B2892" s="59"/>
    </row>
    <row r="2893" spans="1:2" x14ac:dyDescent="0.25">
      <c r="A2893" s="61"/>
      <c r="B2893" s="59"/>
    </row>
    <row r="2894" spans="1:2" x14ac:dyDescent="0.25">
      <c r="A2894" s="61"/>
      <c r="B2894" s="59"/>
    </row>
    <row r="2895" spans="1:2" x14ac:dyDescent="0.25">
      <c r="A2895" s="61"/>
      <c r="B2895" s="59"/>
    </row>
    <row r="2896" spans="1:2" x14ac:dyDescent="0.25">
      <c r="A2896" s="61"/>
      <c r="B2896" s="59"/>
    </row>
    <row r="2897" spans="1:2" x14ac:dyDescent="0.25">
      <c r="A2897" s="61"/>
      <c r="B2897" s="59"/>
    </row>
    <row r="2898" spans="1:2" x14ac:dyDescent="0.25">
      <c r="A2898" s="61"/>
      <c r="B2898" s="59"/>
    </row>
    <row r="2899" spans="1:2" x14ac:dyDescent="0.25">
      <c r="A2899" s="61"/>
      <c r="B2899" s="59"/>
    </row>
    <row r="2900" spans="1:2" x14ac:dyDescent="0.25">
      <c r="A2900" s="61"/>
      <c r="B2900" s="59"/>
    </row>
    <row r="2901" spans="1:2" x14ac:dyDescent="0.25">
      <c r="A2901" s="61"/>
      <c r="B2901" s="59"/>
    </row>
    <row r="2902" spans="1:2" x14ac:dyDescent="0.25">
      <c r="A2902" s="61"/>
      <c r="B2902" s="59"/>
    </row>
    <row r="2903" spans="1:2" x14ac:dyDescent="0.25">
      <c r="A2903" s="61"/>
      <c r="B2903" s="59"/>
    </row>
    <row r="2904" spans="1:2" x14ac:dyDescent="0.25">
      <c r="A2904" s="61"/>
      <c r="B2904" s="59"/>
    </row>
    <row r="2905" spans="1:2" x14ac:dyDescent="0.25">
      <c r="A2905" s="61"/>
      <c r="B2905" s="59"/>
    </row>
    <row r="2906" spans="1:2" x14ac:dyDescent="0.25">
      <c r="A2906" s="61"/>
      <c r="B2906" s="59"/>
    </row>
    <row r="2907" spans="1:2" x14ac:dyDescent="0.25">
      <c r="A2907" s="61"/>
      <c r="B2907" s="59"/>
    </row>
    <row r="2908" spans="1:2" x14ac:dyDescent="0.25">
      <c r="A2908" s="61"/>
      <c r="B2908" s="59"/>
    </row>
    <row r="2909" spans="1:2" x14ac:dyDescent="0.25">
      <c r="A2909" s="61"/>
      <c r="B2909" s="59"/>
    </row>
    <row r="2910" spans="1:2" x14ac:dyDescent="0.25">
      <c r="A2910" s="61"/>
      <c r="B2910" s="59"/>
    </row>
    <row r="2911" spans="1:2" x14ac:dyDescent="0.25">
      <c r="A2911" s="61"/>
      <c r="B2911" s="59"/>
    </row>
    <row r="2912" spans="1:2" x14ac:dyDescent="0.25">
      <c r="A2912" s="61"/>
      <c r="B2912" s="59"/>
    </row>
    <row r="2913" spans="1:2" x14ac:dyDescent="0.25">
      <c r="A2913" s="61"/>
      <c r="B2913" s="59"/>
    </row>
    <row r="2914" spans="1:2" x14ac:dyDescent="0.25">
      <c r="A2914" s="61"/>
      <c r="B2914" s="59"/>
    </row>
    <row r="2915" spans="1:2" x14ac:dyDescent="0.25">
      <c r="A2915" s="61"/>
      <c r="B2915" s="59"/>
    </row>
    <row r="2916" spans="1:2" x14ac:dyDescent="0.25">
      <c r="A2916" s="61"/>
      <c r="B2916" s="59"/>
    </row>
    <row r="2917" spans="1:2" x14ac:dyDescent="0.25">
      <c r="A2917" s="61"/>
      <c r="B2917" s="59"/>
    </row>
    <row r="2918" spans="1:2" x14ac:dyDescent="0.25">
      <c r="A2918" s="61"/>
      <c r="B2918" s="59"/>
    </row>
    <row r="2919" spans="1:2" x14ac:dyDescent="0.25">
      <c r="A2919" s="61"/>
      <c r="B2919" s="59"/>
    </row>
    <row r="2920" spans="1:2" x14ac:dyDescent="0.25">
      <c r="A2920" s="61"/>
      <c r="B2920" s="59"/>
    </row>
    <row r="2921" spans="1:2" x14ac:dyDescent="0.25">
      <c r="A2921" s="61"/>
      <c r="B2921" s="59"/>
    </row>
    <row r="2922" spans="1:2" x14ac:dyDescent="0.25">
      <c r="A2922" s="61"/>
      <c r="B2922" s="59"/>
    </row>
    <row r="2923" spans="1:2" x14ac:dyDescent="0.25">
      <c r="A2923" s="61"/>
      <c r="B2923" s="59"/>
    </row>
    <row r="2924" spans="1:2" x14ac:dyDescent="0.25">
      <c r="A2924" s="61"/>
      <c r="B2924" s="59"/>
    </row>
    <row r="2925" spans="1:2" x14ac:dyDescent="0.25">
      <c r="A2925" s="61"/>
      <c r="B2925" s="59"/>
    </row>
    <row r="2926" spans="1:2" x14ac:dyDescent="0.25">
      <c r="A2926" s="61"/>
      <c r="B2926" s="59"/>
    </row>
    <row r="2927" spans="1:2" x14ac:dyDescent="0.25">
      <c r="A2927" s="61"/>
      <c r="B2927" s="59"/>
    </row>
    <row r="2928" spans="1:2" x14ac:dyDescent="0.25">
      <c r="A2928" s="61"/>
      <c r="B2928" s="59"/>
    </row>
    <row r="2929" spans="1:2" x14ac:dyDescent="0.25">
      <c r="A2929" s="61"/>
      <c r="B2929" s="59"/>
    </row>
    <row r="2930" spans="1:2" x14ac:dyDescent="0.25">
      <c r="A2930" s="61"/>
      <c r="B2930" s="59"/>
    </row>
    <row r="2931" spans="1:2" x14ac:dyDescent="0.25">
      <c r="A2931" s="61"/>
      <c r="B2931" s="59"/>
    </row>
    <row r="2932" spans="1:2" x14ac:dyDescent="0.25">
      <c r="A2932" s="61"/>
      <c r="B2932" s="59"/>
    </row>
    <row r="2933" spans="1:2" x14ac:dyDescent="0.25">
      <c r="A2933" s="61"/>
      <c r="B2933" s="59"/>
    </row>
    <row r="2934" spans="1:2" x14ac:dyDescent="0.25">
      <c r="A2934" s="61"/>
      <c r="B2934" s="59"/>
    </row>
    <row r="2935" spans="1:2" x14ac:dyDescent="0.25">
      <c r="A2935" s="61"/>
      <c r="B2935" s="59"/>
    </row>
    <row r="2936" spans="1:2" x14ac:dyDescent="0.25">
      <c r="A2936" s="61"/>
      <c r="B2936" s="59"/>
    </row>
    <row r="2937" spans="1:2" x14ac:dyDescent="0.25">
      <c r="A2937" s="61"/>
      <c r="B2937" s="59"/>
    </row>
    <row r="2938" spans="1:2" x14ac:dyDescent="0.25">
      <c r="A2938" s="61"/>
      <c r="B2938" s="59"/>
    </row>
    <row r="2939" spans="1:2" x14ac:dyDescent="0.25">
      <c r="A2939" s="61"/>
      <c r="B2939" s="59"/>
    </row>
    <row r="2940" spans="1:2" x14ac:dyDescent="0.25">
      <c r="A2940" s="61"/>
      <c r="B2940" s="59"/>
    </row>
    <row r="2941" spans="1:2" x14ac:dyDescent="0.25">
      <c r="A2941" s="61"/>
      <c r="B2941" s="59"/>
    </row>
    <row r="2942" spans="1:2" x14ac:dyDescent="0.25">
      <c r="A2942" s="61"/>
      <c r="B2942" s="59"/>
    </row>
    <row r="2943" spans="1:2" x14ac:dyDescent="0.25">
      <c r="A2943" s="61"/>
      <c r="B2943" s="59"/>
    </row>
    <row r="2944" spans="1:2" x14ac:dyDescent="0.25">
      <c r="A2944" s="61"/>
      <c r="B2944" s="59"/>
    </row>
    <row r="2945" spans="1:2" x14ac:dyDescent="0.25">
      <c r="A2945" s="61"/>
      <c r="B2945" s="59"/>
    </row>
    <row r="2946" spans="1:2" x14ac:dyDescent="0.25">
      <c r="A2946" s="61"/>
      <c r="B2946" s="59"/>
    </row>
    <row r="2947" spans="1:2" x14ac:dyDescent="0.25">
      <c r="A2947" s="61"/>
      <c r="B2947" s="59"/>
    </row>
    <row r="2948" spans="1:2" x14ac:dyDescent="0.25">
      <c r="A2948" s="61"/>
      <c r="B2948" s="59"/>
    </row>
    <row r="2949" spans="1:2" x14ac:dyDescent="0.25">
      <c r="A2949" s="61"/>
      <c r="B2949" s="59"/>
    </row>
    <row r="2950" spans="1:2" x14ac:dyDescent="0.25">
      <c r="A2950" s="61"/>
      <c r="B2950" s="59"/>
    </row>
    <row r="2951" spans="1:2" x14ac:dyDescent="0.25">
      <c r="A2951" s="61"/>
      <c r="B2951" s="59"/>
    </row>
    <row r="2952" spans="1:2" x14ac:dyDescent="0.25">
      <c r="A2952" s="61"/>
      <c r="B2952" s="59"/>
    </row>
    <row r="2953" spans="1:2" x14ac:dyDescent="0.25">
      <c r="A2953" s="61"/>
      <c r="B2953" s="59"/>
    </row>
    <row r="2954" spans="1:2" x14ac:dyDescent="0.25">
      <c r="A2954" s="61"/>
      <c r="B2954" s="59"/>
    </row>
    <row r="2955" spans="1:2" x14ac:dyDescent="0.25">
      <c r="A2955" s="61"/>
      <c r="B2955" s="59"/>
    </row>
    <row r="2956" spans="1:2" x14ac:dyDescent="0.25">
      <c r="A2956" s="61"/>
      <c r="B2956" s="59"/>
    </row>
    <row r="2957" spans="1:2" x14ac:dyDescent="0.25">
      <c r="A2957" s="61"/>
      <c r="B2957" s="59"/>
    </row>
    <row r="2958" spans="1:2" x14ac:dyDescent="0.25">
      <c r="A2958" s="61"/>
      <c r="B2958" s="59"/>
    </row>
    <row r="2959" spans="1:2" x14ac:dyDescent="0.25">
      <c r="A2959" s="61"/>
      <c r="B2959" s="59"/>
    </row>
    <row r="2960" spans="1:2" x14ac:dyDescent="0.25">
      <c r="A2960" s="61"/>
      <c r="B2960" s="59"/>
    </row>
    <row r="2961" spans="1:2" x14ac:dyDescent="0.25">
      <c r="A2961" s="61"/>
      <c r="B2961" s="59"/>
    </row>
    <row r="2962" spans="1:2" x14ac:dyDescent="0.25">
      <c r="A2962" s="61"/>
      <c r="B2962" s="59"/>
    </row>
    <row r="2963" spans="1:2" x14ac:dyDescent="0.25">
      <c r="A2963" s="61"/>
      <c r="B2963" s="59"/>
    </row>
    <row r="2964" spans="1:2" x14ac:dyDescent="0.25">
      <c r="A2964" s="61"/>
      <c r="B2964" s="59"/>
    </row>
    <row r="2965" spans="1:2" x14ac:dyDescent="0.25">
      <c r="A2965" s="61"/>
      <c r="B2965" s="59"/>
    </row>
    <row r="2966" spans="1:2" x14ac:dyDescent="0.25">
      <c r="A2966" s="61"/>
      <c r="B2966" s="59"/>
    </row>
    <row r="2967" spans="1:2" x14ac:dyDescent="0.25">
      <c r="A2967" s="61"/>
      <c r="B2967" s="59"/>
    </row>
    <row r="2968" spans="1:2" x14ac:dyDescent="0.25">
      <c r="A2968" s="61"/>
      <c r="B2968" s="59"/>
    </row>
    <row r="2969" spans="1:2" x14ac:dyDescent="0.25">
      <c r="A2969" s="61"/>
      <c r="B2969" s="59"/>
    </row>
    <row r="2970" spans="1:2" x14ac:dyDescent="0.25">
      <c r="A2970" s="61"/>
      <c r="B2970" s="59"/>
    </row>
    <row r="2971" spans="1:2" x14ac:dyDescent="0.25">
      <c r="A2971" s="61"/>
      <c r="B2971" s="59"/>
    </row>
    <row r="2972" spans="1:2" x14ac:dyDescent="0.25">
      <c r="A2972" s="61"/>
      <c r="B2972" s="59"/>
    </row>
    <row r="2973" spans="1:2" x14ac:dyDescent="0.25">
      <c r="A2973" s="61"/>
      <c r="B2973" s="59"/>
    </row>
    <row r="2974" spans="1:2" x14ac:dyDescent="0.25">
      <c r="A2974" s="61"/>
      <c r="B2974" s="59"/>
    </row>
    <row r="2975" spans="1:2" x14ac:dyDescent="0.25">
      <c r="A2975" s="61"/>
      <c r="B2975" s="59"/>
    </row>
    <row r="2976" spans="1:2" x14ac:dyDescent="0.25">
      <c r="A2976" s="61"/>
      <c r="B2976" s="59"/>
    </row>
    <row r="2977" spans="1:2" x14ac:dyDescent="0.25">
      <c r="A2977" s="61"/>
      <c r="B2977" s="59"/>
    </row>
    <row r="2978" spans="1:2" x14ac:dyDescent="0.25">
      <c r="A2978" s="61"/>
      <c r="B2978" s="59"/>
    </row>
    <row r="2979" spans="1:2" x14ac:dyDescent="0.25">
      <c r="A2979" s="61"/>
      <c r="B2979" s="59"/>
    </row>
    <row r="2980" spans="1:2" x14ac:dyDescent="0.25">
      <c r="A2980" s="61"/>
      <c r="B2980" s="59"/>
    </row>
    <row r="2981" spans="1:2" x14ac:dyDescent="0.25">
      <c r="A2981" s="61"/>
      <c r="B2981" s="59"/>
    </row>
    <row r="2982" spans="1:2" x14ac:dyDescent="0.25">
      <c r="A2982" s="61"/>
      <c r="B2982" s="59"/>
    </row>
    <row r="2983" spans="1:2" x14ac:dyDescent="0.25">
      <c r="A2983" s="61"/>
      <c r="B2983" s="59"/>
    </row>
    <row r="2984" spans="1:2" x14ac:dyDescent="0.25">
      <c r="A2984" s="61"/>
      <c r="B2984" s="59"/>
    </row>
    <row r="2985" spans="1:2" x14ac:dyDescent="0.25">
      <c r="A2985" s="61"/>
      <c r="B2985" s="59"/>
    </row>
    <row r="2986" spans="1:2" x14ac:dyDescent="0.25">
      <c r="A2986" s="61"/>
      <c r="B2986" s="59"/>
    </row>
    <row r="2987" spans="1:2" x14ac:dyDescent="0.25">
      <c r="A2987" s="61"/>
      <c r="B2987" s="59"/>
    </row>
    <row r="2988" spans="1:2" x14ac:dyDescent="0.25">
      <c r="A2988" s="61"/>
      <c r="B2988" s="59"/>
    </row>
    <row r="2989" spans="1:2" x14ac:dyDescent="0.25">
      <c r="A2989" s="61"/>
      <c r="B2989" s="59"/>
    </row>
    <row r="2990" spans="1:2" x14ac:dyDescent="0.25">
      <c r="A2990" s="61"/>
      <c r="B2990" s="59"/>
    </row>
    <row r="2991" spans="1:2" x14ac:dyDescent="0.25">
      <c r="A2991" s="61"/>
      <c r="B2991" s="59"/>
    </row>
    <row r="2992" spans="1:2" x14ac:dyDescent="0.25">
      <c r="A2992" s="61"/>
      <c r="B2992" s="59"/>
    </row>
    <row r="2993" spans="1:2" x14ac:dyDescent="0.25">
      <c r="A2993" s="61"/>
      <c r="B2993" s="59"/>
    </row>
    <row r="2994" spans="1:2" x14ac:dyDescent="0.25">
      <c r="A2994" s="61"/>
      <c r="B2994" s="59"/>
    </row>
    <row r="2995" spans="1:2" x14ac:dyDescent="0.25">
      <c r="A2995" s="61"/>
      <c r="B2995" s="59"/>
    </row>
    <row r="2996" spans="1:2" x14ac:dyDescent="0.25">
      <c r="A2996" s="61"/>
      <c r="B2996" s="59"/>
    </row>
    <row r="2997" spans="1:2" x14ac:dyDescent="0.25">
      <c r="A2997" s="61"/>
      <c r="B2997" s="59"/>
    </row>
    <row r="2998" spans="1:2" x14ac:dyDescent="0.25">
      <c r="A2998" s="61"/>
      <c r="B2998" s="59"/>
    </row>
    <row r="2999" spans="1:2" x14ac:dyDescent="0.25">
      <c r="A2999" s="61"/>
      <c r="B2999" s="59"/>
    </row>
    <row r="3000" spans="1:2" x14ac:dyDescent="0.25">
      <c r="A3000" s="61"/>
      <c r="B3000" s="59"/>
    </row>
    <row r="3001" spans="1:2" x14ac:dyDescent="0.25">
      <c r="A3001" s="61"/>
      <c r="B3001" s="59"/>
    </row>
    <row r="3002" spans="1:2" x14ac:dyDescent="0.25">
      <c r="A3002" s="61"/>
      <c r="B3002" s="59"/>
    </row>
    <row r="3003" spans="1:2" x14ac:dyDescent="0.25">
      <c r="A3003" s="61"/>
      <c r="B3003" s="59"/>
    </row>
    <row r="3004" spans="1:2" x14ac:dyDescent="0.25">
      <c r="A3004" s="61"/>
      <c r="B3004" s="59"/>
    </row>
    <row r="3005" spans="1:2" x14ac:dyDescent="0.25">
      <c r="A3005" s="61"/>
      <c r="B3005" s="59"/>
    </row>
    <row r="3006" spans="1:2" x14ac:dyDescent="0.25">
      <c r="A3006" s="61"/>
      <c r="B3006" s="59"/>
    </row>
    <row r="3007" spans="1:2" x14ac:dyDescent="0.25">
      <c r="A3007" s="61"/>
      <c r="B3007" s="59"/>
    </row>
    <row r="3008" spans="1:2" x14ac:dyDescent="0.25">
      <c r="A3008" s="61"/>
      <c r="B3008" s="59"/>
    </row>
    <row r="3009" spans="1:2" x14ac:dyDescent="0.25">
      <c r="A3009" s="61"/>
      <c r="B3009" s="59"/>
    </row>
    <row r="3010" spans="1:2" x14ac:dyDescent="0.25">
      <c r="A3010" s="61"/>
      <c r="B3010" s="59"/>
    </row>
    <row r="3011" spans="1:2" x14ac:dyDescent="0.25">
      <c r="A3011" s="61"/>
      <c r="B3011" s="59"/>
    </row>
    <row r="3012" spans="1:2" x14ac:dyDescent="0.25">
      <c r="A3012" s="61"/>
      <c r="B3012" s="59"/>
    </row>
    <row r="3013" spans="1:2" x14ac:dyDescent="0.25">
      <c r="A3013" s="61"/>
      <c r="B3013" s="59"/>
    </row>
    <row r="3014" spans="1:2" x14ac:dyDescent="0.25">
      <c r="A3014" s="61"/>
      <c r="B3014" s="59"/>
    </row>
    <row r="3015" spans="1:2" x14ac:dyDescent="0.25">
      <c r="A3015" s="61"/>
      <c r="B3015" s="59"/>
    </row>
    <row r="3016" spans="1:2" x14ac:dyDescent="0.25">
      <c r="A3016" s="61"/>
      <c r="B3016" s="59"/>
    </row>
    <row r="3017" spans="1:2" x14ac:dyDescent="0.25">
      <c r="A3017" s="61"/>
      <c r="B3017" s="59"/>
    </row>
    <row r="3018" spans="1:2" x14ac:dyDescent="0.25">
      <c r="A3018" s="61"/>
      <c r="B3018" s="59"/>
    </row>
    <row r="3019" spans="1:2" x14ac:dyDescent="0.25">
      <c r="A3019" s="61"/>
      <c r="B3019" s="59"/>
    </row>
    <row r="3020" spans="1:2" x14ac:dyDescent="0.25">
      <c r="A3020" s="61"/>
      <c r="B3020" s="59"/>
    </row>
    <row r="3021" spans="1:2" x14ac:dyDescent="0.25">
      <c r="A3021" s="61"/>
      <c r="B3021" s="59"/>
    </row>
    <row r="3022" spans="1:2" x14ac:dyDescent="0.25">
      <c r="A3022" s="61"/>
      <c r="B3022" s="59"/>
    </row>
    <row r="3023" spans="1:2" x14ac:dyDescent="0.25">
      <c r="A3023" s="61"/>
      <c r="B3023" s="59"/>
    </row>
    <row r="3024" spans="1:2" x14ac:dyDescent="0.25">
      <c r="A3024" s="61"/>
      <c r="B3024" s="59"/>
    </row>
    <row r="3025" spans="1:2" x14ac:dyDescent="0.25">
      <c r="A3025" s="61"/>
      <c r="B3025" s="59"/>
    </row>
    <row r="3026" spans="1:2" x14ac:dyDescent="0.25">
      <c r="A3026" s="61"/>
      <c r="B3026" s="59"/>
    </row>
    <row r="3027" spans="1:2" x14ac:dyDescent="0.25">
      <c r="A3027" s="61"/>
      <c r="B3027" s="59"/>
    </row>
    <row r="3028" spans="1:2" x14ac:dyDescent="0.25">
      <c r="A3028" s="61"/>
      <c r="B3028" s="59"/>
    </row>
    <row r="3029" spans="1:2" x14ac:dyDescent="0.25">
      <c r="A3029" s="61"/>
      <c r="B3029" s="59"/>
    </row>
    <row r="3030" spans="1:2" x14ac:dyDescent="0.25">
      <c r="A3030" s="61"/>
      <c r="B3030" s="59"/>
    </row>
    <row r="3031" spans="1:2" x14ac:dyDescent="0.25">
      <c r="A3031" s="61"/>
      <c r="B3031" s="59"/>
    </row>
    <row r="3032" spans="1:2" x14ac:dyDescent="0.25">
      <c r="A3032" s="61"/>
      <c r="B3032" s="59"/>
    </row>
    <row r="3033" spans="1:2" x14ac:dyDescent="0.25">
      <c r="A3033" s="61"/>
      <c r="B3033" s="59"/>
    </row>
    <row r="3034" spans="1:2" x14ac:dyDescent="0.25">
      <c r="A3034" s="61"/>
      <c r="B3034" s="59"/>
    </row>
    <row r="3035" spans="1:2" x14ac:dyDescent="0.25">
      <c r="A3035" s="61"/>
      <c r="B3035" s="59"/>
    </row>
    <row r="3036" spans="1:2" x14ac:dyDescent="0.25">
      <c r="A3036" s="61"/>
      <c r="B3036" s="59"/>
    </row>
    <row r="3037" spans="1:2" x14ac:dyDescent="0.25">
      <c r="A3037" s="61"/>
      <c r="B3037" s="59"/>
    </row>
    <row r="3038" spans="1:2" x14ac:dyDescent="0.25">
      <c r="A3038" s="61"/>
      <c r="B3038" s="59"/>
    </row>
    <row r="3039" spans="1:2" x14ac:dyDescent="0.25">
      <c r="A3039" s="61"/>
      <c r="B3039" s="59"/>
    </row>
    <row r="3040" spans="1:2" x14ac:dyDescent="0.25">
      <c r="A3040" s="61"/>
      <c r="B3040" s="59"/>
    </row>
    <row r="3041" spans="1:2" x14ac:dyDescent="0.25">
      <c r="A3041" s="61"/>
      <c r="B3041" s="59"/>
    </row>
    <row r="3042" spans="1:2" x14ac:dyDescent="0.25">
      <c r="A3042" s="61"/>
      <c r="B3042" s="59"/>
    </row>
    <row r="3043" spans="1:2" x14ac:dyDescent="0.25">
      <c r="A3043" s="61"/>
      <c r="B3043" s="59"/>
    </row>
    <row r="3044" spans="1:2" x14ac:dyDescent="0.25">
      <c r="A3044" s="61"/>
      <c r="B3044" s="59"/>
    </row>
    <row r="3045" spans="1:2" x14ac:dyDescent="0.25">
      <c r="A3045" s="61"/>
      <c r="B3045" s="59"/>
    </row>
    <row r="3046" spans="1:2" x14ac:dyDescent="0.25">
      <c r="A3046" s="61"/>
      <c r="B3046" s="59"/>
    </row>
    <row r="3047" spans="1:2" x14ac:dyDescent="0.25">
      <c r="A3047" s="61"/>
      <c r="B3047" s="59"/>
    </row>
    <row r="3048" spans="1:2" x14ac:dyDescent="0.25">
      <c r="A3048" s="61"/>
      <c r="B3048" s="59"/>
    </row>
    <row r="3049" spans="1:2" x14ac:dyDescent="0.25">
      <c r="A3049" s="61"/>
      <c r="B3049" s="59"/>
    </row>
    <row r="3050" spans="1:2" x14ac:dyDescent="0.25">
      <c r="A3050" s="61"/>
      <c r="B3050" s="59"/>
    </row>
    <row r="3051" spans="1:2" x14ac:dyDescent="0.25">
      <c r="A3051" s="61"/>
      <c r="B3051" s="59"/>
    </row>
    <row r="3052" spans="1:2" x14ac:dyDescent="0.25">
      <c r="A3052" s="61"/>
      <c r="B3052" s="59"/>
    </row>
    <row r="3053" spans="1:2" x14ac:dyDescent="0.25">
      <c r="A3053" s="61"/>
      <c r="B3053" s="59"/>
    </row>
    <row r="3054" spans="1:2" x14ac:dyDescent="0.25">
      <c r="A3054" s="61"/>
      <c r="B3054" s="59"/>
    </row>
    <row r="3055" spans="1:2" x14ac:dyDescent="0.25">
      <c r="A3055" s="61"/>
      <c r="B3055" s="59"/>
    </row>
    <row r="3056" spans="1:2" x14ac:dyDescent="0.25">
      <c r="A3056" s="61"/>
      <c r="B3056" s="59"/>
    </row>
    <row r="3057" spans="1:2" x14ac:dyDescent="0.25">
      <c r="A3057" s="61"/>
      <c r="B3057" s="59"/>
    </row>
    <row r="3058" spans="1:2" x14ac:dyDescent="0.25">
      <c r="A3058" s="61"/>
      <c r="B3058" s="59"/>
    </row>
    <row r="3059" spans="1:2" x14ac:dyDescent="0.25">
      <c r="A3059" s="61"/>
      <c r="B3059" s="59"/>
    </row>
    <row r="3060" spans="1:2" x14ac:dyDescent="0.25">
      <c r="A3060" s="61"/>
      <c r="B3060" s="59"/>
    </row>
    <row r="3061" spans="1:2" x14ac:dyDescent="0.25">
      <c r="A3061" s="61"/>
      <c r="B3061" s="59"/>
    </row>
    <row r="3062" spans="1:2" x14ac:dyDescent="0.25">
      <c r="A3062" s="61"/>
      <c r="B3062" s="59"/>
    </row>
    <row r="3063" spans="1:2" x14ac:dyDescent="0.25">
      <c r="A3063" s="61"/>
      <c r="B3063" s="59"/>
    </row>
    <row r="3064" spans="1:2" x14ac:dyDescent="0.25">
      <c r="A3064" s="61"/>
      <c r="B3064" s="59"/>
    </row>
    <row r="3065" spans="1:2" x14ac:dyDescent="0.25">
      <c r="A3065" s="61"/>
      <c r="B3065" s="59"/>
    </row>
    <row r="3066" spans="1:2" x14ac:dyDescent="0.25">
      <c r="A3066" s="61"/>
      <c r="B3066" s="59"/>
    </row>
    <row r="3067" spans="1:2" x14ac:dyDescent="0.25">
      <c r="A3067" s="61"/>
      <c r="B3067" s="59"/>
    </row>
    <row r="3068" spans="1:2" x14ac:dyDescent="0.25">
      <c r="A3068" s="61"/>
      <c r="B3068" s="59"/>
    </row>
    <row r="3069" spans="1:2" x14ac:dyDescent="0.25">
      <c r="A3069" s="61"/>
      <c r="B3069" s="59"/>
    </row>
    <row r="3070" spans="1:2" x14ac:dyDescent="0.25">
      <c r="A3070" s="61"/>
      <c r="B3070" s="59"/>
    </row>
    <row r="3071" spans="1:2" x14ac:dyDescent="0.25">
      <c r="A3071" s="61"/>
      <c r="B3071" s="59"/>
    </row>
    <row r="3072" spans="1:2" x14ac:dyDescent="0.25">
      <c r="A3072" s="61"/>
      <c r="B3072" s="59"/>
    </row>
    <row r="3073" spans="1:2" x14ac:dyDescent="0.25">
      <c r="A3073" s="61"/>
      <c r="B3073" s="59"/>
    </row>
    <row r="3074" spans="1:2" x14ac:dyDescent="0.25">
      <c r="A3074" s="61"/>
      <c r="B3074" s="59"/>
    </row>
    <row r="3075" spans="1:2" x14ac:dyDescent="0.25">
      <c r="A3075" s="61"/>
      <c r="B3075" s="59"/>
    </row>
    <row r="3076" spans="1:2" x14ac:dyDescent="0.25">
      <c r="A3076" s="61"/>
      <c r="B3076" s="59"/>
    </row>
    <row r="3077" spans="1:2" x14ac:dyDescent="0.25">
      <c r="A3077" s="61"/>
      <c r="B3077" s="59"/>
    </row>
    <row r="3078" spans="1:2" x14ac:dyDescent="0.25">
      <c r="A3078" s="61"/>
      <c r="B3078" s="59"/>
    </row>
    <row r="3079" spans="1:2" x14ac:dyDescent="0.25">
      <c r="A3079" s="61"/>
      <c r="B3079" s="59"/>
    </row>
    <row r="3080" spans="1:2" x14ac:dyDescent="0.25">
      <c r="A3080" s="61"/>
      <c r="B3080" s="59"/>
    </row>
    <row r="3081" spans="1:2" x14ac:dyDescent="0.25">
      <c r="A3081" s="61"/>
      <c r="B3081" s="59"/>
    </row>
    <row r="3082" spans="1:2" x14ac:dyDescent="0.25">
      <c r="A3082" s="61"/>
      <c r="B3082" s="59"/>
    </row>
    <row r="3083" spans="1:2" x14ac:dyDescent="0.25">
      <c r="A3083" s="61"/>
      <c r="B3083" s="59"/>
    </row>
    <row r="3084" spans="1:2" x14ac:dyDescent="0.25">
      <c r="A3084" s="61"/>
      <c r="B3084" s="59"/>
    </row>
    <row r="3085" spans="1:2" x14ac:dyDescent="0.25">
      <c r="A3085" s="61"/>
      <c r="B3085" s="59"/>
    </row>
    <row r="3086" spans="1:2" x14ac:dyDescent="0.25">
      <c r="A3086" s="61"/>
      <c r="B3086" s="59"/>
    </row>
    <row r="3087" spans="1:2" x14ac:dyDescent="0.25">
      <c r="A3087" s="61"/>
      <c r="B3087" s="59"/>
    </row>
    <row r="3088" spans="1:2" x14ac:dyDescent="0.25">
      <c r="A3088" s="61"/>
      <c r="B3088" s="59"/>
    </row>
    <row r="3089" spans="1:2" x14ac:dyDescent="0.25">
      <c r="A3089" s="61"/>
      <c r="B3089" s="59"/>
    </row>
    <row r="3090" spans="1:2" x14ac:dyDescent="0.25">
      <c r="A3090" s="61"/>
      <c r="B3090" s="59"/>
    </row>
    <row r="3091" spans="1:2" x14ac:dyDescent="0.25">
      <c r="A3091" s="61"/>
      <c r="B3091" s="59"/>
    </row>
    <row r="3092" spans="1:2" x14ac:dyDescent="0.25">
      <c r="A3092" s="61"/>
      <c r="B3092" s="59"/>
    </row>
    <row r="3093" spans="1:2" x14ac:dyDescent="0.25">
      <c r="A3093" s="61"/>
      <c r="B3093" s="59"/>
    </row>
    <row r="3094" spans="1:2" x14ac:dyDescent="0.25">
      <c r="A3094" s="61"/>
      <c r="B3094" s="59"/>
    </row>
    <row r="3095" spans="1:2" x14ac:dyDescent="0.25">
      <c r="A3095" s="61"/>
      <c r="B3095" s="59"/>
    </row>
    <row r="3096" spans="1:2" x14ac:dyDescent="0.25">
      <c r="A3096" s="61"/>
      <c r="B3096" s="59"/>
    </row>
    <row r="3097" spans="1:2" x14ac:dyDescent="0.25">
      <c r="A3097" s="61"/>
      <c r="B3097" s="59"/>
    </row>
    <row r="3098" spans="1:2" x14ac:dyDescent="0.25">
      <c r="A3098" s="61"/>
      <c r="B3098" s="59"/>
    </row>
    <row r="3099" spans="1:2" x14ac:dyDescent="0.25">
      <c r="A3099" s="61"/>
      <c r="B3099" s="59"/>
    </row>
    <row r="3100" spans="1:2" x14ac:dyDescent="0.25">
      <c r="A3100" s="61"/>
      <c r="B3100" s="59"/>
    </row>
    <row r="3101" spans="1:2" x14ac:dyDescent="0.25">
      <c r="A3101" s="61"/>
      <c r="B3101" s="59"/>
    </row>
    <row r="3102" spans="1:2" x14ac:dyDescent="0.25">
      <c r="A3102" s="61"/>
      <c r="B3102" s="59"/>
    </row>
    <row r="3103" spans="1:2" x14ac:dyDescent="0.25">
      <c r="A3103" s="61"/>
      <c r="B3103" s="59"/>
    </row>
    <row r="3104" spans="1:2" x14ac:dyDescent="0.25">
      <c r="A3104" s="61"/>
      <c r="B3104" s="59"/>
    </row>
    <row r="3105" spans="1:2" x14ac:dyDescent="0.25">
      <c r="A3105" s="61"/>
      <c r="B3105" s="59"/>
    </row>
    <row r="3106" spans="1:2" x14ac:dyDescent="0.25">
      <c r="A3106" s="61"/>
      <c r="B3106" s="59"/>
    </row>
    <row r="3107" spans="1:2" x14ac:dyDescent="0.25">
      <c r="A3107" s="61"/>
      <c r="B3107" s="59"/>
    </row>
    <row r="3108" spans="1:2" x14ac:dyDescent="0.25">
      <c r="A3108" s="61"/>
      <c r="B3108" s="59"/>
    </row>
    <row r="3109" spans="1:2" x14ac:dyDescent="0.25">
      <c r="A3109" s="61"/>
      <c r="B3109" s="59"/>
    </row>
    <row r="3110" spans="1:2" x14ac:dyDescent="0.25">
      <c r="A3110" s="61"/>
      <c r="B3110" s="59"/>
    </row>
    <row r="3111" spans="1:2" x14ac:dyDescent="0.25">
      <c r="A3111" s="61"/>
      <c r="B3111" s="59"/>
    </row>
    <row r="3112" spans="1:2" x14ac:dyDescent="0.25">
      <c r="A3112" s="61"/>
      <c r="B3112" s="59"/>
    </row>
    <row r="3113" spans="1:2" x14ac:dyDescent="0.25">
      <c r="A3113" s="61"/>
      <c r="B3113" s="59"/>
    </row>
    <row r="3114" spans="1:2" x14ac:dyDescent="0.25">
      <c r="A3114" s="61"/>
      <c r="B3114" s="59"/>
    </row>
    <row r="3115" spans="1:2" x14ac:dyDescent="0.25">
      <c r="A3115" s="61"/>
      <c r="B3115" s="59"/>
    </row>
    <row r="3116" spans="1:2" x14ac:dyDescent="0.25">
      <c r="A3116" s="61"/>
      <c r="B3116" s="59"/>
    </row>
    <row r="3117" spans="1:2" x14ac:dyDescent="0.25">
      <c r="A3117" s="61"/>
      <c r="B3117" s="59"/>
    </row>
    <row r="3118" spans="1:2" x14ac:dyDescent="0.25">
      <c r="A3118" s="61"/>
      <c r="B3118" s="59"/>
    </row>
    <row r="3119" spans="1:2" x14ac:dyDescent="0.25">
      <c r="A3119" s="61"/>
      <c r="B3119" s="59"/>
    </row>
    <row r="3120" spans="1:2" x14ac:dyDescent="0.25">
      <c r="A3120" s="61"/>
      <c r="B3120" s="59"/>
    </row>
    <row r="3121" spans="1:2" x14ac:dyDescent="0.25">
      <c r="A3121" s="61"/>
      <c r="B3121" s="59"/>
    </row>
    <row r="3122" spans="1:2" x14ac:dyDescent="0.25">
      <c r="A3122" s="61"/>
      <c r="B3122" s="59"/>
    </row>
    <row r="3123" spans="1:2" x14ac:dyDescent="0.25">
      <c r="A3123" s="61"/>
      <c r="B3123" s="59"/>
    </row>
    <row r="3124" spans="1:2" x14ac:dyDescent="0.25">
      <c r="A3124" s="61"/>
      <c r="B3124" s="59"/>
    </row>
    <row r="3125" spans="1:2" x14ac:dyDescent="0.25">
      <c r="A3125" s="61"/>
      <c r="B3125" s="59"/>
    </row>
    <row r="3126" spans="1:2" x14ac:dyDescent="0.25">
      <c r="A3126" s="61"/>
      <c r="B3126" s="59"/>
    </row>
    <row r="3127" spans="1:2" x14ac:dyDescent="0.25">
      <c r="A3127" s="61"/>
      <c r="B3127" s="59"/>
    </row>
    <row r="3128" spans="1:2" x14ac:dyDescent="0.25">
      <c r="A3128" s="61"/>
      <c r="B3128" s="59"/>
    </row>
    <row r="3129" spans="1:2" x14ac:dyDescent="0.25">
      <c r="A3129" s="61"/>
      <c r="B3129" s="59"/>
    </row>
    <row r="3130" spans="1:2" x14ac:dyDescent="0.25">
      <c r="A3130" s="61"/>
      <c r="B3130" s="59"/>
    </row>
    <row r="3131" spans="1:2" x14ac:dyDescent="0.25">
      <c r="A3131" s="61"/>
      <c r="B3131" s="59"/>
    </row>
    <row r="3132" spans="1:2" x14ac:dyDescent="0.25">
      <c r="A3132" s="61"/>
      <c r="B3132" s="59"/>
    </row>
    <row r="3133" spans="1:2" x14ac:dyDescent="0.25">
      <c r="A3133" s="61"/>
      <c r="B3133" s="59"/>
    </row>
    <row r="3134" spans="1:2" x14ac:dyDescent="0.25">
      <c r="A3134" s="61"/>
      <c r="B3134" s="59"/>
    </row>
    <row r="3135" spans="1:2" x14ac:dyDescent="0.25">
      <c r="A3135" s="61"/>
      <c r="B3135" s="59"/>
    </row>
    <row r="3136" spans="1:2" x14ac:dyDescent="0.25">
      <c r="A3136" s="61"/>
      <c r="B3136" s="59"/>
    </row>
    <row r="3137" spans="1:2" x14ac:dyDescent="0.25">
      <c r="A3137" s="61"/>
      <c r="B3137" s="59"/>
    </row>
    <row r="3138" spans="1:2" x14ac:dyDescent="0.25">
      <c r="A3138" s="61"/>
      <c r="B3138" s="59"/>
    </row>
    <row r="3139" spans="1:2" x14ac:dyDescent="0.25">
      <c r="A3139" s="61"/>
      <c r="B3139" s="59"/>
    </row>
    <row r="3140" spans="1:2" x14ac:dyDescent="0.25">
      <c r="A3140" s="61"/>
      <c r="B3140" s="59"/>
    </row>
    <row r="3141" spans="1:2" x14ac:dyDescent="0.25">
      <c r="A3141" s="61"/>
      <c r="B3141" s="59"/>
    </row>
    <row r="3142" spans="1:2" x14ac:dyDescent="0.25">
      <c r="A3142" s="61"/>
      <c r="B3142" s="59"/>
    </row>
    <row r="3143" spans="1:2" x14ac:dyDescent="0.25">
      <c r="A3143" s="61"/>
      <c r="B3143" s="59"/>
    </row>
    <row r="3144" spans="1:2" x14ac:dyDescent="0.25">
      <c r="A3144" s="61"/>
      <c r="B3144" s="59"/>
    </row>
    <row r="3145" spans="1:2" x14ac:dyDescent="0.25">
      <c r="A3145" s="61"/>
      <c r="B3145" s="59"/>
    </row>
    <row r="3146" spans="1:2" x14ac:dyDescent="0.25">
      <c r="A3146" s="61"/>
      <c r="B3146" s="59"/>
    </row>
    <row r="3147" spans="1:2" x14ac:dyDescent="0.25">
      <c r="A3147" s="61"/>
      <c r="B3147" s="59"/>
    </row>
    <row r="3148" spans="1:2" x14ac:dyDescent="0.25">
      <c r="A3148" s="61"/>
      <c r="B3148" s="59"/>
    </row>
    <row r="3149" spans="1:2" x14ac:dyDescent="0.25">
      <c r="A3149" s="61"/>
      <c r="B3149" s="59"/>
    </row>
    <row r="3150" spans="1:2" x14ac:dyDescent="0.25">
      <c r="A3150" s="61"/>
      <c r="B3150" s="59"/>
    </row>
    <row r="3151" spans="1:2" x14ac:dyDescent="0.25">
      <c r="A3151" s="61"/>
      <c r="B3151" s="59"/>
    </row>
    <row r="3152" spans="1:2" x14ac:dyDescent="0.25">
      <c r="A3152" s="61"/>
      <c r="B3152" s="59"/>
    </row>
    <row r="3153" spans="1:2" x14ac:dyDescent="0.25">
      <c r="A3153" s="61"/>
      <c r="B3153" s="59"/>
    </row>
    <row r="3154" spans="1:2" x14ac:dyDescent="0.25">
      <c r="A3154" s="61"/>
      <c r="B3154" s="59"/>
    </row>
    <row r="3155" spans="1:2" x14ac:dyDescent="0.25">
      <c r="A3155" s="61"/>
      <c r="B3155" s="59"/>
    </row>
    <row r="3156" spans="1:2" x14ac:dyDescent="0.25">
      <c r="A3156" s="61"/>
      <c r="B3156" s="59"/>
    </row>
    <row r="3157" spans="1:2" x14ac:dyDescent="0.25">
      <c r="A3157" s="61"/>
      <c r="B3157" s="59"/>
    </row>
    <row r="3158" spans="1:2" x14ac:dyDescent="0.25">
      <c r="A3158" s="61"/>
      <c r="B3158" s="59"/>
    </row>
    <row r="3159" spans="1:2" x14ac:dyDescent="0.25">
      <c r="A3159" s="61"/>
      <c r="B3159" s="59"/>
    </row>
    <row r="3160" spans="1:2" x14ac:dyDescent="0.25">
      <c r="A3160" s="61"/>
      <c r="B3160" s="59"/>
    </row>
    <row r="3161" spans="1:2" x14ac:dyDescent="0.25">
      <c r="A3161" s="61"/>
      <c r="B3161" s="59"/>
    </row>
    <row r="3162" spans="1:2" x14ac:dyDescent="0.25">
      <c r="A3162" s="61"/>
      <c r="B3162" s="59"/>
    </row>
    <row r="3163" spans="1:2" x14ac:dyDescent="0.25">
      <c r="A3163" s="61"/>
      <c r="B3163" s="59"/>
    </row>
    <row r="3164" spans="1:2" x14ac:dyDescent="0.25">
      <c r="A3164" s="61"/>
      <c r="B3164" s="59"/>
    </row>
    <row r="3165" spans="1:2" x14ac:dyDescent="0.25">
      <c r="A3165" s="61"/>
      <c r="B3165" s="59"/>
    </row>
    <row r="3166" spans="1:2" x14ac:dyDescent="0.25">
      <c r="A3166" s="61"/>
      <c r="B3166" s="59"/>
    </row>
    <row r="3167" spans="1:2" x14ac:dyDescent="0.25">
      <c r="A3167" s="61"/>
      <c r="B3167" s="59"/>
    </row>
    <row r="3168" spans="1:2" x14ac:dyDescent="0.25">
      <c r="A3168" s="61"/>
      <c r="B3168" s="59"/>
    </row>
    <row r="3169" spans="1:2" x14ac:dyDescent="0.25">
      <c r="A3169" s="61"/>
      <c r="B3169" s="59"/>
    </row>
    <row r="3170" spans="1:2" x14ac:dyDescent="0.25">
      <c r="A3170" s="61"/>
      <c r="B3170" s="59"/>
    </row>
    <row r="3171" spans="1:2" x14ac:dyDescent="0.25">
      <c r="A3171" s="61"/>
      <c r="B3171" s="59"/>
    </row>
    <row r="3172" spans="1:2" x14ac:dyDescent="0.25">
      <c r="A3172" s="61"/>
      <c r="B3172" s="59"/>
    </row>
    <row r="3173" spans="1:2" x14ac:dyDescent="0.25">
      <c r="A3173" s="61"/>
      <c r="B3173" s="59"/>
    </row>
    <row r="3174" spans="1:2" x14ac:dyDescent="0.25">
      <c r="A3174" s="61"/>
      <c r="B3174" s="59"/>
    </row>
    <row r="3175" spans="1:2" x14ac:dyDescent="0.25">
      <c r="A3175" s="61"/>
      <c r="B3175" s="59"/>
    </row>
    <row r="3176" spans="1:2" x14ac:dyDescent="0.25">
      <c r="A3176" s="61"/>
      <c r="B3176" s="59"/>
    </row>
    <row r="3177" spans="1:2" x14ac:dyDescent="0.25">
      <c r="A3177" s="61"/>
      <c r="B3177" s="59"/>
    </row>
    <row r="3178" spans="1:2" x14ac:dyDescent="0.25">
      <c r="A3178" s="61"/>
      <c r="B3178" s="59"/>
    </row>
    <row r="3179" spans="1:2" x14ac:dyDescent="0.25">
      <c r="A3179" s="61"/>
      <c r="B3179" s="59"/>
    </row>
    <row r="3180" spans="1:2" x14ac:dyDescent="0.25">
      <c r="A3180" s="61"/>
      <c r="B3180" s="59"/>
    </row>
    <row r="3181" spans="1:2" x14ac:dyDescent="0.25">
      <c r="A3181" s="61"/>
      <c r="B3181" s="59"/>
    </row>
    <row r="3182" spans="1:2" x14ac:dyDescent="0.25">
      <c r="A3182" s="61"/>
      <c r="B3182" s="59"/>
    </row>
    <row r="3183" spans="1:2" x14ac:dyDescent="0.25">
      <c r="A3183" s="61"/>
      <c r="B3183" s="59"/>
    </row>
    <row r="3184" spans="1:2" x14ac:dyDescent="0.25">
      <c r="A3184" s="61"/>
      <c r="B3184" s="59"/>
    </row>
    <row r="3185" spans="1:2" x14ac:dyDescent="0.25">
      <c r="A3185" s="61"/>
      <c r="B3185" s="59"/>
    </row>
    <row r="3186" spans="1:2" x14ac:dyDescent="0.25">
      <c r="A3186" s="61"/>
      <c r="B3186" s="59"/>
    </row>
    <row r="3187" spans="1:2" x14ac:dyDescent="0.25">
      <c r="A3187" s="61"/>
      <c r="B3187" s="59"/>
    </row>
    <row r="3188" spans="1:2" x14ac:dyDescent="0.25">
      <c r="A3188" s="61"/>
      <c r="B3188" s="59"/>
    </row>
    <row r="3189" spans="1:2" x14ac:dyDescent="0.25">
      <c r="A3189" s="61"/>
      <c r="B3189" s="59"/>
    </row>
    <row r="3190" spans="1:2" x14ac:dyDescent="0.25">
      <c r="A3190" s="61"/>
      <c r="B3190" s="59"/>
    </row>
    <row r="3191" spans="1:2" x14ac:dyDescent="0.25">
      <c r="A3191" s="61"/>
      <c r="B3191" s="59"/>
    </row>
    <row r="3192" spans="1:2" x14ac:dyDescent="0.25">
      <c r="A3192" s="61"/>
      <c r="B3192" s="59"/>
    </row>
    <row r="3193" spans="1:2" x14ac:dyDescent="0.25">
      <c r="A3193" s="61"/>
      <c r="B3193" s="59"/>
    </row>
    <row r="3194" spans="1:2" x14ac:dyDescent="0.25">
      <c r="A3194" s="61"/>
      <c r="B3194" s="59"/>
    </row>
    <row r="3195" spans="1:2" x14ac:dyDescent="0.25">
      <c r="A3195" s="61"/>
      <c r="B3195" s="59"/>
    </row>
    <row r="3196" spans="1:2" x14ac:dyDescent="0.25">
      <c r="A3196" s="61"/>
      <c r="B3196" s="59"/>
    </row>
    <row r="3197" spans="1:2" x14ac:dyDescent="0.25">
      <c r="A3197" s="61"/>
      <c r="B3197" s="59"/>
    </row>
    <row r="3198" spans="1:2" x14ac:dyDescent="0.25">
      <c r="A3198" s="61"/>
      <c r="B3198" s="59"/>
    </row>
    <row r="3199" spans="1:2" x14ac:dyDescent="0.25">
      <c r="A3199" s="61"/>
      <c r="B3199" s="59"/>
    </row>
    <row r="3200" spans="1:2" x14ac:dyDescent="0.25">
      <c r="A3200" s="61"/>
      <c r="B3200" s="59"/>
    </row>
    <row r="3201" spans="1:2" x14ac:dyDescent="0.25">
      <c r="A3201" s="61"/>
      <c r="B3201" s="59"/>
    </row>
    <row r="3202" spans="1:2" x14ac:dyDescent="0.25">
      <c r="A3202" s="61"/>
      <c r="B3202" s="59"/>
    </row>
    <row r="3203" spans="1:2" x14ac:dyDescent="0.25">
      <c r="A3203" s="61"/>
      <c r="B3203" s="59"/>
    </row>
    <row r="3204" spans="1:2" x14ac:dyDescent="0.25">
      <c r="A3204" s="61"/>
      <c r="B3204" s="59"/>
    </row>
    <row r="3205" spans="1:2" x14ac:dyDescent="0.25">
      <c r="A3205" s="61"/>
      <c r="B3205" s="59"/>
    </row>
    <row r="3206" spans="1:2" x14ac:dyDescent="0.25">
      <c r="A3206" s="61"/>
      <c r="B3206" s="59"/>
    </row>
    <row r="3207" spans="1:2" x14ac:dyDescent="0.25">
      <c r="A3207" s="61"/>
      <c r="B3207" s="59"/>
    </row>
    <row r="3208" spans="1:2" x14ac:dyDescent="0.25">
      <c r="A3208" s="61"/>
      <c r="B3208" s="59"/>
    </row>
    <row r="3209" spans="1:2" x14ac:dyDescent="0.25">
      <c r="A3209" s="61"/>
      <c r="B3209" s="59"/>
    </row>
    <row r="3210" spans="1:2" x14ac:dyDescent="0.25">
      <c r="A3210" s="61"/>
      <c r="B3210" s="59"/>
    </row>
    <row r="3211" spans="1:2" x14ac:dyDescent="0.25">
      <c r="A3211" s="61"/>
      <c r="B3211" s="59"/>
    </row>
    <row r="3212" spans="1:2" x14ac:dyDescent="0.25">
      <c r="A3212" s="61"/>
      <c r="B3212" s="59"/>
    </row>
    <row r="3213" spans="1:2" x14ac:dyDescent="0.25">
      <c r="A3213" s="61"/>
      <c r="B3213" s="59"/>
    </row>
    <row r="3214" spans="1:2" x14ac:dyDescent="0.25">
      <c r="A3214" s="61"/>
      <c r="B3214" s="59"/>
    </row>
    <row r="3215" spans="1:2" x14ac:dyDescent="0.25">
      <c r="A3215" s="61"/>
      <c r="B3215" s="59"/>
    </row>
    <row r="3216" spans="1:2" x14ac:dyDescent="0.25">
      <c r="A3216" s="61"/>
      <c r="B3216" s="59"/>
    </row>
    <row r="3217" spans="1:2" x14ac:dyDescent="0.25">
      <c r="A3217" s="61"/>
      <c r="B3217" s="59"/>
    </row>
    <row r="3218" spans="1:2" x14ac:dyDescent="0.25">
      <c r="A3218" s="61"/>
      <c r="B3218" s="59"/>
    </row>
    <row r="3219" spans="1:2" x14ac:dyDescent="0.25">
      <c r="A3219" s="61"/>
      <c r="B3219" s="59"/>
    </row>
    <row r="3220" spans="1:2" x14ac:dyDescent="0.25">
      <c r="A3220" s="61"/>
      <c r="B3220" s="59"/>
    </row>
    <row r="3221" spans="1:2" x14ac:dyDescent="0.25">
      <c r="A3221" s="61"/>
      <c r="B3221" s="59"/>
    </row>
    <row r="3222" spans="1:2" x14ac:dyDescent="0.25">
      <c r="A3222" s="61"/>
      <c r="B3222" s="59"/>
    </row>
    <row r="3223" spans="1:2" x14ac:dyDescent="0.25">
      <c r="A3223" s="61"/>
      <c r="B3223" s="59"/>
    </row>
    <row r="3224" spans="1:2" x14ac:dyDescent="0.25">
      <c r="A3224" s="61"/>
      <c r="B3224" s="59"/>
    </row>
    <row r="3225" spans="1:2" x14ac:dyDescent="0.25">
      <c r="A3225" s="61"/>
      <c r="B3225" s="59"/>
    </row>
    <row r="3226" spans="1:2" x14ac:dyDescent="0.25">
      <c r="A3226" s="61"/>
      <c r="B3226" s="59"/>
    </row>
    <row r="3227" spans="1:2" x14ac:dyDescent="0.25">
      <c r="A3227" s="61"/>
      <c r="B3227" s="59"/>
    </row>
    <row r="3228" spans="1:2" x14ac:dyDescent="0.25">
      <c r="A3228" s="61"/>
      <c r="B3228" s="59"/>
    </row>
    <row r="3229" spans="1:2" x14ac:dyDescent="0.25">
      <c r="A3229" s="61"/>
      <c r="B3229" s="59"/>
    </row>
    <row r="3230" spans="1:2" x14ac:dyDescent="0.25">
      <c r="A3230" s="61"/>
      <c r="B3230" s="59"/>
    </row>
    <row r="3231" spans="1:2" x14ac:dyDescent="0.25">
      <c r="A3231" s="61"/>
      <c r="B3231" s="59"/>
    </row>
    <row r="3232" spans="1:2" x14ac:dyDescent="0.25">
      <c r="A3232" s="61"/>
      <c r="B3232" s="59"/>
    </row>
    <row r="3233" spans="1:2" x14ac:dyDescent="0.25">
      <c r="A3233" s="61"/>
      <c r="B3233" s="59"/>
    </row>
    <row r="3234" spans="1:2" x14ac:dyDescent="0.25">
      <c r="A3234" s="61"/>
      <c r="B3234" s="59"/>
    </row>
    <row r="3235" spans="1:2" x14ac:dyDescent="0.25">
      <c r="A3235" s="61"/>
      <c r="B3235" s="59"/>
    </row>
    <row r="3236" spans="1:2" x14ac:dyDescent="0.25">
      <c r="A3236" s="61"/>
      <c r="B3236" s="59"/>
    </row>
    <row r="3237" spans="1:2" x14ac:dyDescent="0.25">
      <c r="A3237" s="61"/>
      <c r="B3237" s="59"/>
    </row>
    <row r="3238" spans="1:2" x14ac:dyDescent="0.25">
      <c r="A3238" s="61"/>
      <c r="B3238" s="59"/>
    </row>
    <row r="3239" spans="1:2" x14ac:dyDescent="0.25">
      <c r="A3239" s="61"/>
      <c r="B3239" s="59"/>
    </row>
    <row r="3240" spans="1:2" x14ac:dyDescent="0.25">
      <c r="A3240" s="61"/>
      <c r="B3240" s="59"/>
    </row>
    <row r="3241" spans="1:2" x14ac:dyDescent="0.25">
      <c r="A3241" s="61"/>
      <c r="B3241" s="59"/>
    </row>
    <row r="3242" spans="1:2" x14ac:dyDescent="0.25">
      <c r="A3242" s="61"/>
      <c r="B3242" s="59"/>
    </row>
    <row r="3243" spans="1:2" x14ac:dyDescent="0.25">
      <c r="A3243" s="61"/>
      <c r="B3243" s="59"/>
    </row>
    <row r="3244" spans="1:2" x14ac:dyDescent="0.25">
      <c r="A3244" s="61"/>
      <c r="B3244" s="59"/>
    </row>
    <row r="3245" spans="1:2" x14ac:dyDescent="0.25">
      <c r="A3245" s="61"/>
      <c r="B3245" s="59"/>
    </row>
    <row r="3246" spans="1:2" x14ac:dyDescent="0.25">
      <c r="A3246" s="61"/>
      <c r="B3246" s="59"/>
    </row>
    <row r="3247" spans="1:2" x14ac:dyDescent="0.25">
      <c r="A3247" s="61"/>
      <c r="B3247" s="59"/>
    </row>
    <row r="3248" spans="1:2" x14ac:dyDescent="0.25">
      <c r="A3248" s="61"/>
      <c r="B3248" s="59"/>
    </row>
    <row r="3249" spans="1:2" x14ac:dyDescent="0.25">
      <c r="A3249" s="61"/>
      <c r="B3249" s="59"/>
    </row>
    <row r="3250" spans="1:2" x14ac:dyDescent="0.25">
      <c r="A3250" s="61"/>
      <c r="B3250" s="59"/>
    </row>
    <row r="3251" spans="1:2" x14ac:dyDescent="0.25">
      <c r="A3251" s="61"/>
      <c r="B3251" s="59"/>
    </row>
    <row r="3252" spans="1:2" x14ac:dyDescent="0.25">
      <c r="A3252" s="61"/>
      <c r="B3252" s="59"/>
    </row>
    <row r="3253" spans="1:2" x14ac:dyDescent="0.25">
      <c r="A3253" s="61"/>
      <c r="B3253" s="59"/>
    </row>
    <row r="3254" spans="1:2" x14ac:dyDescent="0.25">
      <c r="A3254" s="61"/>
      <c r="B3254" s="59"/>
    </row>
    <row r="3255" spans="1:2" x14ac:dyDescent="0.25">
      <c r="A3255" s="61"/>
      <c r="B3255" s="59"/>
    </row>
    <row r="3256" spans="1:2" x14ac:dyDescent="0.25">
      <c r="A3256" s="61"/>
      <c r="B3256" s="59"/>
    </row>
    <row r="3257" spans="1:2" x14ac:dyDescent="0.25">
      <c r="A3257" s="61"/>
      <c r="B3257" s="59"/>
    </row>
    <row r="3258" spans="1:2" x14ac:dyDescent="0.25">
      <c r="A3258" s="61"/>
      <c r="B3258" s="59"/>
    </row>
    <row r="3259" spans="1:2" x14ac:dyDescent="0.25">
      <c r="A3259" s="61"/>
      <c r="B3259" s="59"/>
    </row>
    <row r="3260" spans="1:2" x14ac:dyDescent="0.25">
      <c r="A3260" s="61"/>
      <c r="B3260" s="59"/>
    </row>
    <row r="3261" spans="1:2" x14ac:dyDescent="0.25">
      <c r="A3261" s="61"/>
      <c r="B3261" s="59"/>
    </row>
    <row r="3262" spans="1:2" x14ac:dyDescent="0.25">
      <c r="A3262" s="61"/>
      <c r="B3262" s="59"/>
    </row>
    <row r="3263" spans="1:2" x14ac:dyDescent="0.25">
      <c r="A3263" s="61"/>
      <c r="B3263" s="59"/>
    </row>
    <row r="3264" spans="1:2" x14ac:dyDescent="0.25">
      <c r="A3264" s="61"/>
      <c r="B3264" s="59"/>
    </row>
    <row r="3265" spans="1:2" x14ac:dyDescent="0.25">
      <c r="A3265" s="61"/>
      <c r="B3265" s="59"/>
    </row>
    <row r="3266" spans="1:2" x14ac:dyDescent="0.25">
      <c r="A3266" s="61"/>
      <c r="B3266" s="59"/>
    </row>
    <row r="3267" spans="1:2" x14ac:dyDescent="0.25">
      <c r="A3267" s="61"/>
      <c r="B3267" s="59"/>
    </row>
    <row r="3268" spans="1:2" x14ac:dyDescent="0.25">
      <c r="A3268" s="61"/>
      <c r="B3268" s="59"/>
    </row>
    <row r="3269" spans="1:2" x14ac:dyDescent="0.25">
      <c r="A3269" s="61"/>
      <c r="B3269" s="59"/>
    </row>
    <row r="3270" spans="1:2" x14ac:dyDescent="0.25">
      <c r="A3270" s="61"/>
      <c r="B3270" s="59"/>
    </row>
    <row r="3271" spans="1:2" x14ac:dyDescent="0.25">
      <c r="A3271" s="61"/>
      <c r="B3271" s="59"/>
    </row>
    <row r="3272" spans="1:2" x14ac:dyDescent="0.25">
      <c r="A3272" s="61"/>
      <c r="B3272" s="59"/>
    </row>
    <row r="3273" spans="1:2" x14ac:dyDescent="0.25">
      <c r="A3273" s="61"/>
      <c r="B3273" s="59"/>
    </row>
    <row r="3274" spans="1:2" x14ac:dyDescent="0.25">
      <c r="A3274" s="61"/>
      <c r="B3274" s="59"/>
    </row>
    <row r="3275" spans="1:2" x14ac:dyDescent="0.25">
      <c r="A3275" s="61"/>
      <c r="B3275" s="59"/>
    </row>
    <row r="3276" spans="1:2" x14ac:dyDescent="0.25">
      <c r="A3276" s="61"/>
      <c r="B3276" s="59"/>
    </row>
    <row r="3277" spans="1:2" x14ac:dyDescent="0.25">
      <c r="A3277" s="61"/>
      <c r="B3277" s="59"/>
    </row>
    <row r="3278" spans="1:2" x14ac:dyDescent="0.25">
      <c r="A3278" s="61"/>
      <c r="B3278" s="59"/>
    </row>
    <row r="3279" spans="1:2" x14ac:dyDescent="0.25">
      <c r="A3279" s="61"/>
      <c r="B3279" s="59"/>
    </row>
    <row r="3280" spans="1:2" x14ac:dyDescent="0.25">
      <c r="A3280" s="61"/>
      <c r="B3280" s="59"/>
    </row>
    <row r="3281" spans="1:2" x14ac:dyDescent="0.25">
      <c r="A3281" s="61"/>
      <c r="B3281" s="59"/>
    </row>
    <row r="3282" spans="1:2" x14ac:dyDescent="0.25">
      <c r="A3282" s="61"/>
      <c r="B3282" s="59"/>
    </row>
    <row r="3283" spans="1:2" x14ac:dyDescent="0.25">
      <c r="A3283" s="61"/>
      <c r="B3283" s="59"/>
    </row>
    <row r="3284" spans="1:2" x14ac:dyDescent="0.25">
      <c r="A3284" s="61"/>
      <c r="B3284" s="59"/>
    </row>
    <row r="3285" spans="1:2" x14ac:dyDescent="0.25">
      <c r="A3285" s="61"/>
      <c r="B3285" s="59"/>
    </row>
    <row r="3286" spans="1:2" x14ac:dyDescent="0.25">
      <c r="A3286" s="61"/>
      <c r="B3286" s="59"/>
    </row>
    <row r="3287" spans="1:2" x14ac:dyDescent="0.25">
      <c r="A3287" s="61"/>
      <c r="B3287" s="59"/>
    </row>
    <row r="3288" spans="1:2" x14ac:dyDescent="0.25">
      <c r="A3288" s="61"/>
      <c r="B3288" s="59"/>
    </row>
    <row r="3289" spans="1:2" x14ac:dyDescent="0.25">
      <c r="A3289" s="61"/>
      <c r="B3289" s="59"/>
    </row>
    <row r="3290" spans="1:2" x14ac:dyDescent="0.25">
      <c r="A3290" s="61"/>
      <c r="B3290" s="59"/>
    </row>
    <row r="3291" spans="1:2" x14ac:dyDescent="0.25">
      <c r="A3291" s="61"/>
      <c r="B3291" s="59"/>
    </row>
    <row r="3292" spans="1:2" x14ac:dyDescent="0.25">
      <c r="A3292" s="61"/>
      <c r="B3292" s="59"/>
    </row>
    <row r="3293" spans="1:2" x14ac:dyDescent="0.25">
      <c r="A3293" s="61"/>
      <c r="B3293" s="59"/>
    </row>
    <row r="3294" spans="1:2" x14ac:dyDescent="0.25">
      <c r="A3294" s="61"/>
      <c r="B3294" s="59"/>
    </row>
    <row r="3295" spans="1:2" x14ac:dyDescent="0.25">
      <c r="A3295" s="61"/>
      <c r="B3295" s="59"/>
    </row>
    <row r="3296" spans="1:2" x14ac:dyDescent="0.25">
      <c r="A3296" s="61"/>
      <c r="B3296" s="59"/>
    </row>
    <row r="3297" spans="1:2" x14ac:dyDescent="0.25">
      <c r="A3297" s="61"/>
      <c r="B3297" s="59"/>
    </row>
    <row r="3298" spans="1:2" x14ac:dyDescent="0.25">
      <c r="A3298" s="61"/>
      <c r="B3298" s="59"/>
    </row>
    <row r="3299" spans="1:2" x14ac:dyDescent="0.25">
      <c r="A3299" s="61"/>
      <c r="B3299" s="59"/>
    </row>
    <row r="3300" spans="1:2" x14ac:dyDescent="0.25">
      <c r="A3300" s="61"/>
      <c r="B3300" s="59"/>
    </row>
    <row r="3301" spans="1:2" x14ac:dyDescent="0.25">
      <c r="A3301" s="61"/>
      <c r="B3301" s="59"/>
    </row>
    <row r="3302" spans="1:2" x14ac:dyDescent="0.25">
      <c r="A3302" s="61"/>
      <c r="B3302" s="59"/>
    </row>
    <row r="3303" spans="1:2" x14ac:dyDescent="0.25">
      <c r="A3303" s="61"/>
      <c r="B3303" s="59"/>
    </row>
    <row r="3304" spans="1:2" x14ac:dyDescent="0.25">
      <c r="A3304" s="61"/>
      <c r="B3304" s="59"/>
    </row>
    <row r="3305" spans="1:2" x14ac:dyDescent="0.25">
      <c r="A3305" s="61"/>
      <c r="B3305" s="59"/>
    </row>
    <row r="3306" spans="1:2" x14ac:dyDescent="0.25">
      <c r="A3306" s="61"/>
      <c r="B3306" s="59"/>
    </row>
    <row r="3307" spans="1:2" x14ac:dyDescent="0.25">
      <c r="A3307" s="61"/>
      <c r="B3307" s="59"/>
    </row>
    <row r="3308" spans="1:2" x14ac:dyDescent="0.25">
      <c r="A3308" s="61"/>
      <c r="B3308" s="59"/>
    </row>
    <row r="3309" spans="1:2" x14ac:dyDescent="0.25">
      <c r="A3309" s="61"/>
      <c r="B3309" s="59"/>
    </row>
    <row r="3310" spans="1:2" x14ac:dyDescent="0.25">
      <c r="A3310" s="61"/>
      <c r="B3310" s="59"/>
    </row>
    <row r="3311" spans="1:2" x14ac:dyDescent="0.25">
      <c r="A3311" s="61"/>
      <c r="B3311" s="59"/>
    </row>
    <row r="3312" spans="1:2" x14ac:dyDescent="0.25">
      <c r="A3312" s="61"/>
      <c r="B3312" s="59"/>
    </row>
    <row r="3313" spans="1:2" x14ac:dyDescent="0.25">
      <c r="A3313" s="61"/>
      <c r="B3313" s="59"/>
    </row>
    <row r="3314" spans="1:2" x14ac:dyDescent="0.25">
      <c r="A3314" s="61"/>
      <c r="B3314" s="59"/>
    </row>
    <row r="3315" spans="1:2" x14ac:dyDescent="0.25">
      <c r="A3315" s="61"/>
      <c r="B3315" s="59"/>
    </row>
    <row r="3316" spans="1:2" x14ac:dyDescent="0.25">
      <c r="A3316" s="61"/>
      <c r="B3316" s="59"/>
    </row>
    <row r="3317" spans="1:2" x14ac:dyDescent="0.25">
      <c r="A3317" s="61"/>
      <c r="B3317" s="59"/>
    </row>
    <row r="3318" spans="1:2" x14ac:dyDescent="0.25">
      <c r="A3318" s="61"/>
      <c r="B3318" s="59"/>
    </row>
    <row r="3319" spans="1:2" x14ac:dyDescent="0.25">
      <c r="A3319" s="61"/>
      <c r="B3319" s="59"/>
    </row>
    <row r="3320" spans="1:2" x14ac:dyDescent="0.25">
      <c r="A3320" s="61"/>
      <c r="B3320" s="59"/>
    </row>
    <row r="3321" spans="1:2" x14ac:dyDescent="0.25">
      <c r="A3321" s="61"/>
      <c r="B3321" s="59"/>
    </row>
    <row r="3322" spans="1:2" x14ac:dyDescent="0.25">
      <c r="A3322" s="61"/>
      <c r="B3322" s="59"/>
    </row>
    <row r="3323" spans="1:2" x14ac:dyDescent="0.25">
      <c r="A3323" s="61"/>
      <c r="B3323" s="59"/>
    </row>
    <row r="3324" spans="1:2" x14ac:dyDescent="0.25">
      <c r="A3324" s="61"/>
      <c r="B3324" s="59"/>
    </row>
    <row r="3325" spans="1:2" x14ac:dyDescent="0.25">
      <c r="A3325" s="61"/>
      <c r="B3325" s="59"/>
    </row>
    <row r="3326" spans="1:2" x14ac:dyDescent="0.25">
      <c r="A3326" s="61"/>
      <c r="B3326" s="59"/>
    </row>
    <row r="3327" spans="1:2" x14ac:dyDescent="0.25">
      <c r="A3327" s="61"/>
      <c r="B3327" s="59"/>
    </row>
    <row r="3328" spans="1:2" x14ac:dyDescent="0.25">
      <c r="A3328" s="61"/>
      <c r="B3328" s="59"/>
    </row>
    <row r="3329" spans="1:2" x14ac:dyDescent="0.25">
      <c r="A3329" s="61"/>
      <c r="B3329" s="59"/>
    </row>
    <row r="3330" spans="1:2" x14ac:dyDescent="0.25">
      <c r="A3330" s="61"/>
      <c r="B3330" s="59"/>
    </row>
    <row r="3331" spans="1:2" x14ac:dyDescent="0.25">
      <c r="A3331" s="61"/>
      <c r="B3331" s="59"/>
    </row>
    <row r="3332" spans="1:2" x14ac:dyDescent="0.25">
      <c r="A3332" s="61"/>
      <c r="B3332" s="59"/>
    </row>
    <row r="3333" spans="1:2" x14ac:dyDescent="0.25">
      <c r="A3333" s="61"/>
      <c r="B3333" s="59"/>
    </row>
    <row r="3334" spans="1:2" x14ac:dyDescent="0.25">
      <c r="A3334" s="61"/>
      <c r="B3334" s="59"/>
    </row>
    <row r="3335" spans="1:2" x14ac:dyDescent="0.25">
      <c r="A3335" s="61"/>
      <c r="B3335" s="59"/>
    </row>
    <row r="3336" spans="1:2" x14ac:dyDescent="0.25">
      <c r="A3336" s="61"/>
      <c r="B3336" s="59"/>
    </row>
    <row r="3337" spans="1:2" x14ac:dyDescent="0.25">
      <c r="A3337" s="61"/>
      <c r="B3337" s="59"/>
    </row>
    <row r="3338" spans="1:2" x14ac:dyDescent="0.25">
      <c r="A3338" s="61"/>
      <c r="B3338" s="59"/>
    </row>
    <row r="3339" spans="1:2" x14ac:dyDescent="0.25">
      <c r="A3339" s="61"/>
      <c r="B3339" s="59"/>
    </row>
    <row r="3340" spans="1:2" x14ac:dyDescent="0.25">
      <c r="A3340" s="61"/>
      <c r="B3340" s="59"/>
    </row>
    <row r="3341" spans="1:2" x14ac:dyDescent="0.25">
      <c r="A3341" s="61"/>
      <c r="B3341" s="59"/>
    </row>
    <row r="3342" spans="1:2" x14ac:dyDescent="0.25">
      <c r="A3342" s="61"/>
      <c r="B3342" s="59"/>
    </row>
    <row r="3343" spans="1:2" x14ac:dyDescent="0.25">
      <c r="A3343" s="61"/>
      <c r="B3343" s="59"/>
    </row>
    <row r="3344" spans="1:2" x14ac:dyDescent="0.25">
      <c r="A3344" s="61"/>
      <c r="B3344" s="59"/>
    </row>
    <row r="3345" spans="1:2" x14ac:dyDescent="0.25">
      <c r="A3345" s="61"/>
      <c r="B3345" s="59"/>
    </row>
    <row r="3346" spans="1:2" x14ac:dyDescent="0.25">
      <c r="A3346" s="61"/>
      <c r="B3346" s="59"/>
    </row>
    <row r="3347" spans="1:2" x14ac:dyDescent="0.25">
      <c r="A3347" s="61"/>
      <c r="B3347" s="59"/>
    </row>
    <row r="3348" spans="1:2" x14ac:dyDescent="0.25">
      <c r="A3348" s="61"/>
      <c r="B3348" s="59"/>
    </row>
    <row r="3349" spans="1:2" x14ac:dyDescent="0.25">
      <c r="A3349" s="61"/>
      <c r="B3349" s="59"/>
    </row>
    <row r="3350" spans="1:2" x14ac:dyDescent="0.25">
      <c r="A3350" s="61"/>
      <c r="B3350" s="59"/>
    </row>
    <row r="3351" spans="1:2" x14ac:dyDescent="0.25">
      <c r="A3351" s="61"/>
      <c r="B3351" s="59"/>
    </row>
    <row r="3352" spans="1:2" x14ac:dyDescent="0.25">
      <c r="A3352" s="61"/>
      <c r="B3352" s="59"/>
    </row>
    <row r="3353" spans="1:2" x14ac:dyDescent="0.25">
      <c r="A3353" s="61"/>
      <c r="B3353" s="59"/>
    </row>
    <row r="3354" spans="1:2" x14ac:dyDescent="0.25">
      <c r="A3354" s="61"/>
      <c r="B3354" s="59"/>
    </row>
    <row r="3355" spans="1:2" x14ac:dyDescent="0.25">
      <c r="A3355" s="61"/>
      <c r="B3355" s="59"/>
    </row>
    <row r="3356" spans="1:2" x14ac:dyDescent="0.25">
      <c r="A3356" s="61"/>
      <c r="B3356" s="59"/>
    </row>
    <row r="3357" spans="1:2" x14ac:dyDescent="0.25">
      <c r="A3357" s="61"/>
      <c r="B3357" s="59"/>
    </row>
    <row r="3358" spans="1:2" x14ac:dyDescent="0.25">
      <c r="A3358" s="61"/>
      <c r="B3358" s="59"/>
    </row>
    <row r="3359" spans="1:2" x14ac:dyDescent="0.25">
      <c r="A3359" s="61"/>
      <c r="B3359" s="59"/>
    </row>
    <row r="3360" spans="1:2" x14ac:dyDescent="0.25">
      <c r="A3360" s="61"/>
      <c r="B3360" s="59"/>
    </row>
    <row r="3361" spans="1:2" x14ac:dyDescent="0.25">
      <c r="A3361" s="61"/>
      <c r="B3361" s="59"/>
    </row>
    <row r="3362" spans="1:2" x14ac:dyDescent="0.25">
      <c r="A3362" s="61"/>
      <c r="B3362" s="59"/>
    </row>
    <row r="3363" spans="1:2" x14ac:dyDescent="0.25">
      <c r="A3363" s="61"/>
      <c r="B3363" s="59"/>
    </row>
    <row r="3364" spans="1:2" x14ac:dyDescent="0.25">
      <c r="A3364" s="61"/>
      <c r="B3364" s="59"/>
    </row>
    <row r="3365" spans="1:2" x14ac:dyDescent="0.25">
      <c r="A3365" s="61"/>
      <c r="B3365" s="59"/>
    </row>
    <row r="3366" spans="1:2" x14ac:dyDescent="0.25">
      <c r="A3366" s="61"/>
      <c r="B3366" s="59"/>
    </row>
    <row r="3367" spans="1:2" x14ac:dyDescent="0.25">
      <c r="A3367" s="61"/>
      <c r="B3367" s="59"/>
    </row>
    <row r="3368" spans="1:2" x14ac:dyDescent="0.25">
      <c r="A3368" s="61"/>
      <c r="B3368" s="59"/>
    </row>
    <row r="3369" spans="1:2" x14ac:dyDescent="0.25">
      <c r="A3369" s="61"/>
      <c r="B3369" s="59"/>
    </row>
    <row r="3370" spans="1:2" x14ac:dyDescent="0.25">
      <c r="A3370" s="61"/>
      <c r="B3370" s="59"/>
    </row>
    <row r="3371" spans="1:2" x14ac:dyDescent="0.25">
      <c r="A3371" s="61"/>
      <c r="B3371" s="59"/>
    </row>
    <row r="3372" spans="1:2" x14ac:dyDescent="0.25">
      <c r="A3372" s="61"/>
      <c r="B3372" s="59"/>
    </row>
    <row r="3373" spans="1:2" x14ac:dyDescent="0.25">
      <c r="A3373" s="61"/>
      <c r="B3373" s="59"/>
    </row>
    <row r="3374" spans="1:2" x14ac:dyDescent="0.25">
      <c r="A3374" s="61"/>
      <c r="B3374" s="59"/>
    </row>
    <row r="3375" spans="1:2" x14ac:dyDescent="0.25">
      <c r="A3375" s="61"/>
      <c r="B3375" s="59"/>
    </row>
    <row r="3376" spans="1:2" x14ac:dyDescent="0.25">
      <c r="A3376" s="61"/>
      <c r="B3376" s="59"/>
    </row>
    <row r="3377" spans="1:2" x14ac:dyDescent="0.25">
      <c r="A3377" s="61"/>
      <c r="B3377" s="59"/>
    </row>
    <row r="3378" spans="1:2" x14ac:dyDescent="0.25">
      <c r="A3378" s="61"/>
      <c r="B3378" s="59"/>
    </row>
    <row r="3379" spans="1:2" x14ac:dyDescent="0.25">
      <c r="A3379" s="61"/>
      <c r="B3379" s="59"/>
    </row>
    <row r="3380" spans="1:2" x14ac:dyDescent="0.25">
      <c r="A3380" s="61"/>
      <c r="B3380" s="59"/>
    </row>
    <row r="3381" spans="1:2" x14ac:dyDescent="0.25">
      <c r="A3381" s="61"/>
      <c r="B3381" s="59"/>
    </row>
    <row r="3382" spans="1:2" x14ac:dyDescent="0.25">
      <c r="A3382" s="61"/>
      <c r="B3382" s="59"/>
    </row>
    <row r="3383" spans="1:2" x14ac:dyDescent="0.25">
      <c r="A3383" s="61"/>
      <c r="B3383" s="59"/>
    </row>
    <row r="3384" spans="1:2" x14ac:dyDescent="0.25">
      <c r="A3384" s="61"/>
      <c r="B3384" s="59"/>
    </row>
    <row r="3385" spans="1:2" x14ac:dyDescent="0.25">
      <c r="A3385" s="61"/>
      <c r="B3385" s="59"/>
    </row>
    <row r="3386" spans="1:2" x14ac:dyDescent="0.25">
      <c r="A3386" s="61"/>
      <c r="B3386" s="59"/>
    </row>
    <row r="3387" spans="1:2" x14ac:dyDescent="0.25">
      <c r="A3387" s="61"/>
      <c r="B3387" s="59"/>
    </row>
    <row r="3388" spans="1:2" x14ac:dyDescent="0.25">
      <c r="A3388" s="61"/>
      <c r="B3388" s="59"/>
    </row>
    <row r="3389" spans="1:2" x14ac:dyDescent="0.25">
      <c r="A3389" s="61"/>
      <c r="B3389" s="59"/>
    </row>
    <row r="3390" spans="1:2" x14ac:dyDescent="0.25">
      <c r="A3390" s="61"/>
      <c r="B3390" s="59"/>
    </row>
    <row r="3391" spans="1:2" x14ac:dyDescent="0.25">
      <c r="A3391" s="61"/>
      <c r="B3391" s="59"/>
    </row>
    <row r="3392" spans="1:2" x14ac:dyDescent="0.25">
      <c r="A3392" s="61"/>
      <c r="B3392" s="59"/>
    </row>
    <row r="3393" spans="1:2" x14ac:dyDescent="0.25">
      <c r="A3393" s="61"/>
      <c r="B3393" s="59"/>
    </row>
    <row r="3394" spans="1:2" x14ac:dyDescent="0.25">
      <c r="A3394" s="61"/>
      <c r="B3394" s="59"/>
    </row>
    <row r="3395" spans="1:2" x14ac:dyDescent="0.25">
      <c r="A3395" s="61"/>
      <c r="B3395" s="59"/>
    </row>
    <row r="3396" spans="1:2" x14ac:dyDescent="0.25">
      <c r="A3396" s="61"/>
      <c r="B3396" s="59"/>
    </row>
    <row r="3397" spans="1:2" x14ac:dyDescent="0.25">
      <c r="A3397" s="61"/>
      <c r="B3397" s="59"/>
    </row>
    <row r="3398" spans="1:2" x14ac:dyDescent="0.25">
      <c r="A3398" s="61"/>
      <c r="B3398" s="59"/>
    </row>
    <row r="3399" spans="1:2" x14ac:dyDescent="0.25">
      <c r="A3399" s="61"/>
      <c r="B3399" s="59"/>
    </row>
    <row r="3400" spans="1:2" x14ac:dyDescent="0.25">
      <c r="A3400" s="61"/>
      <c r="B3400" s="59"/>
    </row>
    <row r="3401" spans="1:2" x14ac:dyDescent="0.25">
      <c r="A3401" s="61"/>
      <c r="B3401" s="59"/>
    </row>
    <row r="3402" spans="1:2" x14ac:dyDescent="0.25">
      <c r="A3402" s="61"/>
      <c r="B3402" s="59"/>
    </row>
    <row r="3403" spans="1:2" x14ac:dyDescent="0.25">
      <c r="A3403" s="61"/>
      <c r="B3403" s="59"/>
    </row>
    <row r="3404" spans="1:2" x14ac:dyDescent="0.25">
      <c r="A3404" s="61"/>
      <c r="B3404" s="59"/>
    </row>
    <row r="3405" spans="1:2" x14ac:dyDescent="0.25">
      <c r="A3405" s="61"/>
      <c r="B3405" s="59"/>
    </row>
    <row r="3406" spans="1:2" x14ac:dyDescent="0.25">
      <c r="A3406" s="61"/>
      <c r="B3406" s="59"/>
    </row>
    <row r="3407" spans="1:2" x14ac:dyDescent="0.25">
      <c r="A3407" s="61"/>
      <c r="B3407" s="59"/>
    </row>
    <row r="3408" spans="1:2" x14ac:dyDescent="0.25">
      <c r="A3408" s="61"/>
      <c r="B3408" s="59"/>
    </row>
    <row r="3409" spans="1:2" x14ac:dyDescent="0.25">
      <c r="A3409" s="61"/>
      <c r="B3409" s="59"/>
    </row>
    <row r="3410" spans="1:2" x14ac:dyDescent="0.25">
      <c r="A3410" s="61"/>
      <c r="B3410" s="59"/>
    </row>
    <row r="3411" spans="1:2" x14ac:dyDescent="0.25">
      <c r="A3411" s="61"/>
      <c r="B3411" s="59"/>
    </row>
    <row r="3412" spans="1:2" x14ac:dyDescent="0.25">
      <c r="A3412" s="61"/>
      <c r="B3412" s="59"/>
    </row>
    <row r="3413" spans="1:2" x14ac:dyDescent="0.25">
      <c r="A3413" s="61"/>
      <c r="B3413" s="59"/>
    </row>
    <row r="3414" spans="1:2" x14ac:dyDescent="0.25">
      <c r="A3414" s="61"/>
      <c r="B3414" s="59"/>
    </row>
    <row r="3415" spans="1:2" x14ac:dyDescent="0.25">
      <c r="A3415" s="61"/>
      <c r="B3415" s="59"/>
    </row>
    <row r="3416" spans="1:2" x14ac:dyDescent="0.25">
      <c r="A3416" s="61"/>
      <c r="B3416" s="59"/>
    </row>
    <row r="3417" spans="1:2" x14ac:dyDescent="0.25">
      <c r="A3417" s="61"/>
      <c r="B3417" s="59"/>
    </row>
    <row r="3418" spans="1:2" x14ac:dyDescent="0.25">
      <c r="A3418" s="61"/>
      <c r="B3418" s="59"/>
    </row>
    <row r="3419" spans="1:2" x14ac:dyDescent="0.25">
      <c r="A3419" s="61"/>
      <c r="B3419" s="59"/>
    </row>
    <row r="3420" spans="1:2" x14ac:dyDescent="0.25">
      <c r="A3420" s="61"/>
      <c r="B3420" s="59"/>
    </row>
    <row r="3421" spans="1:2" x14ac:dyDescent="0.25">
      <c r="A3421" s="61"/>
      <c r="B3421" s="59"/>
    </row>
    <row r="3422" spans="1:2" x14ac:dyDescent="0.25">
      <c r="A3422" s="61"/>
      <c r="B3422" s="59"/>
    </row>
    <row r="3423" spans="1:2" x14ac:dyDescent="0.25">
      <c r="A3423" s="61"/>
      <c r="B3423" s="59"/>
    </row>
    <row r="3424" spans="1:2" x14ac:dyDescent="0.25">
      <c r="A3424" s="61"/>
      <c r="B3424" s="59"/>
    </row>
    <row r="3425" spans="1:2" x14ac:dyDescent="0.25">
      <c r="A3425" s="61"/>
      <c r="B3425" s="59"/>
    </row>
    <row r="3426" spans="1:2" x14ac:dyDescent="0.25">
      <c r="A3426" s="61"/>
      <c r="B3426" s="59"/>
    </row>
    <row r="3427" spans="1:2" x14ac:dyDescent="0.25">
      <c r="A3427" s="61"/>
      <c r="B3427" s="59"/>
    </row>
    <row r="3428" spans="1:2" x14ac:dyDescent="0.25">
      <c r="A3428" s="61"/>
      <c r="B3428" s="59"/>
    </row>
    <row r="3429" spans="1:2" x14ac:dyDescent="0.25">
      <c r="A3429" s="61"/>
      <c r="B3429" s="59"/>
    </row>
    <row r="3430" spans="1:2" x14ac:dyDescent="0.25">
      <c r="A3430" s="61"/>
      <c r="B3430" s="59"/>
    </row>
    <row r="3431" spans="1:2" x14ac:dyDescent="0.25">
      <c r="A3431" s="61"/>
      <c r="B3431" s="59"/>
    </row>
    <row r="3432" spans="1:2" x14ac:dyDescent="0.25">
      <c r="A3432" s="61"/>
      <c r="B3432" s="59"/>
    </row>
    <row r="3433" spans="1:2" x14ac:dyDescent="0.25">
      <c r="A3433" s="61"/>
      <c r="B3433" s="59"/>
    </row>
    <row r="3434" spans="1:2" x14ac:dyDescent="0.25">
      <c r="A3434" s="61"/>
      <c r="B3434" s="59"/>
    </row>
    <row r="3435" spans="1:2" x14ac:dyDescent="0.25">
      <c r="A3435" s="61"/>
      <c r="B3435" s="59"/>
    </row>
    <row r="3436" spans="1:2" x14ac:dyDescent="0.25">
      <c r="A3436" s="61"/>
      <c r="B3436" s="59"/>
    </row>
    <row r="3437" spans="1:2" x14ac:dyDescent="0.25">
      <c r="A3437" s="61"/>
      <c r="B3437" s="59"/>
    </row>
    <row r="3438" spans="1:2" x14ac:dyDescent="0.25">
      <c r="A3438" s="61"/>
      <c r="B3438" s="59"/>
    </row>
    <row r="3439" spans="1:2" x14ac:dyDescent="0.25">
      <c r="A3439" s="61"/>
      <c r="B3439" s="59"/>
    </row>
    <row r="3440" spans="1:2" x14ac:dyDescent="0.25">
      <c r="A3440" s="61"/>
      <c r="B3440" s="59"/>
    </row>
    <row r="3441" spans="1:2" x14ac:dyDescent="0.25">
      <c r="A3441" s="61"/>
      <c r="B3441" s="59"/>
    </row>
    <row r="3442" spans="1:2" x14ac:dyDescent="0.25">
      <c r="A3442" s="61"/>
      <c r="B3442" s="59"/>
    </row>
    <row r="3443" spans="1:2" x14ac:dyDescent="0.25">
      <c r="A3443" s="61"/>
      <c r="B3443" s="59"/>
    </row>
    <row r="3444" spans="1:2" x14ac:dyDescent="0.25">
      <c r="A3444" s="61"/>
      <c r="B3444" s="59"/>
    </row>
    <row r="3445" spans="1:2" x14ac:dyDescent="0.25">
      <c r="A3445" s="61"/>
      <c r="B3445" s="59"/>
    </row>
    <row r="3446" spans="1:2" x14ac:dyDescent="0.25">
      <c r="A3446" s="61"/>
      <c r="B3446" s="59"/>
    </row>
    <row r="3447" spans="1:2" x14ac:dyDescent="0.25">
      <c r="A3447" s="61"/>
      <c r="B3447" s="59"/>
    </row>
    <row r="3448" spans="1:2" x14ac:dyDescent="0.25">
      <c r="A3448" s="61"/>
      <c r="B3448" s="59"/>
    </row>
    <row r="3449" spans="1:2" x14ac:dyDescent="0.25">
      <c r="A3449" s="61"/>
      <c r="B3449" s="59"/>
    </row>
    <row r="3450" spans="1:2" x14ac:dyDescent="0.25">
      <c r="A3450" s="61"/>
      <c r="B3450" s="59"/>
    </row>
    <row r="3451" spans="1:2" x14ac:dyDescent="0.25">
      <c r="A3451" s="61"/>
      <c r="B3451" s="59"/>
    </row>
    <row r="3452" spans="1:2" x14ac:dyDescent="0.25">
      <c r="A3452" s="61"/>
      <c r="B3452" s="59"/>
    </row>
    <row r="3453" spans="1:2" x14ac:dyDescent="0.25">
      <c r="A3453" s="61"/>
      <c r="B3453" s="59"/>
    </row>
    <row r="3454" spans="1:2" x14ac:dyDescent="0.25">
      <c r="A3454" s="61"/>
      <c r="B3454" s="59"/>
    </row>
    <row r="3455" spans="1:2" x14ac:dyDescent="0.25">
      <c r="A3455" s="61"/>
      <c r="B3455" s="59"/>
    </row>
    <row r="3456" spans="1:2" x14ac:dyDescent="0.25">
      <c r="A3456" s="61"/>
      <c r="B3456" s="59"/>
    </row>
    <row r="3457" spans="1:2" x14ac:dyDescent="0.25">
      <c r="A3457" s="61"/>
      <c r="B3457" s="59"/>
    </row>
    <row r="3458" spans="1:2" x14ac:dyDescent="0.25">
      <c r="A3458" s="61"/>
      <c r="B3458" s="59"/>
    </row>
    <row r="3459" spans="1:2" x14ac:dyDescent="0.25">
      <c r="A3459" s="61"/>
      <c r="B3459" s="59"/>
    </row>
    <row r="3460" spans="1:2" x14ac:dyDescent="0.25">
      <c r="A3460" s="61"/>
      <c r="B3460" s="59"/>
    </row>
    <row r="3461" spans="1:2" x14ac:dyDescent="0.25">
      <c r="A3461" s="61"/>
      <c r="B3461" s="59"/>
    </row>
    <row r="3462" spans="1:2" x14ac:dyDescent="0.25">
      <c r="A3462" s="61"/>
      <c r="B3462" s="59"/>
    </row>
    <row r="3463" spans="1:2" x14ac:dyDescent="0.25">
      <c r="A3463" s="61"/>
      <c r="B3463" s="59"/>
    </row>
    <row r="3464" spans="1:2" x14ac:dyDescent="0.25">
      <c r="A3464" s="61"/>
      <c r="B3464" s="59"/>
    </row>
    <row r="3465" spans="1:2" x14ac:dyDescent="0.25">
      <c r="A3465" s="61"/>
      <c r="B3465" s="59"/>
    </row>
    <row r="3466" spans="1:2" x14ac:dyDescent="0.25">
      <c r="A3466" s="61"/>
      <c r="B3466" s="59"/>
    </row>
    <row r="3467" spans="1:2" x14ac:dyDescent="0.25">
      <c r="A3467" s="61"/>
      <c r="B3467" s="59"/>
    </row>
    <row r="3468" spans="1:2" x14ac:dyDescent="0.25">
      <c r="A3468" s="61"/>
      <c r="B3468" s="59"/>
    </row>
    <row r="3469" spans="1:2" x14ac:dyDescent="0.25">
      <c r="A3469" s="61"/>
      <c r="B3469" s="59"/>
    </row>
    <row r="3470" spans="1:2" x14ac:dyDescent="0.25">
      <c r="A3470" s="61"/>
      <c r="B3470" s="59"/>
    </row>
    <row r="3471" spans="1:2" x14ac:dyDescent="0.25">
      <c r="A3471" s="61"/>
      <c r="B3471" s="59"/>
    </row>
    <row r="3472" spans="1:2" x14ac:dyDescent="0.25">
      <c r="A3472" s="61"/>
      <c r="B3472" s="59"/>
    </row>
    <row r="3473" spans="1:2" x14ac:dyDescent="0.25">
      <c r="A3473" s="61"/>
      <c r="B3473" s="59"/>
    </row>
    <row r="3474" spans="1:2" x14ac:dyDescent="0.25">
      <c r="A3474" s="61"/>
      <c r="B3474" s="59"/>
    </row>
    <row r="3475" spans="1:2" x14ac:dyDescent="0.25">
      <c r="A3475" s="61"/>
      <c r="B3475" s="59"/>
    </row>
    <row r="3476" spans="1:2" x14ac:dyDescent="0.25">
      <c r="A3476" s="61"/>
      <c r="B3476" s="59"/>
    </row>
    <row r="3477" spans="1:2" x14ac:dyDescent="0.25">
      <c r="A3477" s="61"/>
      <c r="B3477" s="59"/>
    </row>
    <row r="3478" spans="1:2" x14ac:dyDescent="0.25">
      <c r="A3478" s="61"/>
      <c r="B3478" s="59"/>
    </row>
    <row r="3479" spans="1:2" x14ac:dyDescent="0.25">
      <c r="A3479" s="61"/>
      <c r="B3479" s="59"/>
    </row>
    <row r="3480" spans="1:2" x14ac:dyDescent="0.25">
      <c r="A3480" s="61"/>
      <c r="B3480" s="59"/>
    </row>
    <row r="3481" spans="1:2" x14ac:dyDescent="0.25">
      <c r="A3481" s="61"/>
      <c r="B3481" s="59"/>
    </row>
    <row r="3482" spans="1:2" x14ac:dyDescent="0.25">
      <c r="A3482" s="61"/>
      <c r="B3482" s="59"/>
    </row>
    <row r="3483" spans="1:2" x14ac:dyDescent="0.25">
      <c r="A3483" s="61"/>
      <c r="B3483" s="59"/>
    </row>
    <row r="3484" spans="1:2" x14ac:dyDescent="0.25">
      <c r="A3484" s="61"/>
      <c r="B3484" s="59"/>
    </row>
    <row r="3485" spans="1:2" x14ac:dyDescent="0.25">
      <c r="A3485" s="61"/>
      <c r="B3485" s="59"/>
    </row>
    <row r="3486" spans="1:2" x14ac:dyDescent="0.25">
      <c r="A3486" s="61"/>
      <c r="B3486" s="59"/>
    </row>
    <row r="3487" spans="1:2" x14ac:dyDescent="0.25">
      <c r="A3487" s="61"/>
      <c r="B3487" s="59"/>
    </row>
    <row r="3488" spans="1:2" x14ac:dyDescent="0.25">
      <c r="A3488" s="61"/>
      <c r="B3488" s="59"/>
    </row>
    <row r="3489" spans="1:2" x14ac:dyDescent="0.25">
      <c r="A3489" s="61"/>
      <c r="B3489" s="59"/>
    </row>
    <row r="3490" spans="1:2" x14ac:dyDescent="0.25">
      <c r="A3490" s="61"/>
      <c r="B3490" s="59"/>
    </row>
    <row r="3491" spans="1:2" x14ac:dyDescent="0.25">
      <c r="A3491" s="61"/>
      <c r="B3491" s="59"/>
    </row>
    <row r="3492" spans="1:2" x14ac:dyDescent="0.25">
      <c r="A3492" s="61"/>
      <c r="B3492" s="59"/>
    </row>
    <row r="3493" spans="1:2" x14ac:dyDescent="0.25">
      <c r="A3493" s="61"/>
      <c r="B3493" s="59"/>
    </row>
    <row r="3494" spans="1:2" x14ac:dyDescent="0.25">
      <c r="A3494" s="61"/>
      <c r="B3494" s="59"/>
    </row>
    <row r="3495" spans="1:2" x14ac:dyDescent="0.25">
      <c r="A3495" s="61"/>
      <c r="B3495" s="59"/>
    </row>
    <row r="3496" spans="1:2" x14ac:dyDescent="0.25">
      <c r="A3496" s="61"/>
      <c r="B3496" s="59"/>
    </row>
    <row r="3497" spans="1:2" x14ac:dyDescent="0.25">
      <c r="A3497" s="61"/>
      <c r="B3497" s="59"/>
    </row>
    <row r="3498" spans="1:2" x14ac:dyDescent="0.25">
      <c r="A3498" s="61"/>
      <c r="B3498" s="59"/>
    </row>
    <row r="3499" spans="1:2" x14ac:dyDescent="0.25">
      <c r="A3499" s="61"/>
      <c r="B3499" s="59"/>
    </row>
    <row r="3500" spans="1:2" x14ac:dyDescent="0.25">
      <c r="A3500" s="61"/>
      <c r="B3500" s="59"/>
    </row>
    <row r="3501" spans="1:2" x14ac:dyDescent="0.25">
      <c r="A3501" s="61"/>
      <c r="B3501" s="59"/>
    </row>
    <row r="3502" spans="1:2" x14ac:dyDescent="0.25">
      <c r="A3502" s="61"/>
      <c r="B3502" s="59"/>
    </row>
    <row r="3503" spans="1:2" x14ac:dyDescent="0.25">
      <c r="A3503" s="61"/>
      <c r="B3503" s="59"/>
    </row>
    <row r="3504" spans="1:2" x14ac:dyDescent="0.25">
      <c r="A3504" s="61"/>
      <c r="B3504" s="59"/>
    </row>
    <row r="3505" spans="1:2" x14ac:dyDescent="0.25">
      <c r="A3505" s="61"/>
      <c r="B3505" s="59"/>
    </row>
    <row r="3506" spans="1:2" x14ac:dyDescent="0.25">
      <c r="A3506" s="61"/>
      <c r="B3506" s="59"/>
    </row>
    <row r="3507" spans="1:2" x14ac:dyDescent="0.25">
      <c r="A3507" s="61"/>
      <c r="B3507" s="59"/>
    </row>
    <row r="3508" spans="1:2" x14ac:dyDescent="0.25">
      <c r="A3508" s="61"/>
      <c r="B3508" s="59"/>
    </row>
    <row r="3509" spans="1:2" x14ac:dyDescent="0.25">
      <c r="A3509" s="61"/>
      <c r="B3509" s="59"/>
    </row>
    <row r="3510" spans="1:2" x14ac:dyDescent="0.25">
      <c r="A3510" s="61"/>
      <c r="B3510" s="59"/>
    </row>
    <row r="3511" spans="1:2" x14ac:dyDescent="0.25">
      <c r="A3511" s="61"/>
      <c r="B3511" s="59"/>
    </row>
    <row r="3512" spans="1:2" x14ac:dyDescent="0.25">
      <c r="A3512" s="61"/>
      <c r="B3512" s="59"/>
    </row>
    <row r="3513" spans="1:2" x14ac:dyDescent="0.25">
      <c r="A3513" s="61"/>
      <c r="B3513" s="59"/>
    </row>
    <row r="3514" spans="1:2" x14ac:dyDescent="0.25">
      <c r="A3514" s="61"/>
      <c r="B3514" s="59"/>
    </row>
    <row r="3515" spans="1:2" x14ac:dyDescent="0.25">
      <c r="A3515" s="61"/>
      <c r="B3515" s="59"/>
    </row>
    <row r="3516" spans="1:2" x14ac:dyDescent="0.25">
      <c r="A3516" s="61"/>
      <c r="B3516" s="59"/>
    </row>
    <row r="3517" spans="1:2" x14ac:dyDescent="0.25">
      <c r="A3517" s="61"/>
      <c r="B3517" s="59"/>
    </row>
    <row r="3518" spans="1:2" x14ac:dyDescent="0.25">
      <c r="A3518" s="61"/>
      <c r="B3518" s="59"/>
    </row>
    <row r="3519" spans="1:2" x14ac:dyDescent="0.25">
      <c r="A3519" s="61"/>
      <c r="B3519" s="59"/>
    </row>
    <row r="3520" spans="1:2" x14ac:dyDescent="0.25">
      <c r="A3520" s="61"/>
      <c r="B3520" s="59"/>
    </row>
    <row r="3521" spans="1:2" x14ac:dyDescent="0.25">
      <c r="A3521" s="61"/>
      <c r="B3521" s="59"/>
    </row>
    <row r="3522" spans="1:2" x14ac:dyDescent="0.25">
      <c r="A3522" s="61"/>
      <c r="B3522" s="59"/>
    </row>
    <row r="3523" spans="1:2" x14ac:dyDescent="0.25">
      <c r="A3523" s="61"/>
      <c r="B3523" s="59"/>
    </row>
    <row r="3524" spans="1:2" x14ac:dyDescent="0.25">
      <c r="A3524" s="61"/>
      <c r="B3524" s="59"/>
    </row>
    <row r="3525" spans="1:2" x14ac:dyDescent="0.25">
      <c r="A3525" s="61"/>
      <c r="B3525" s="59"/>
    </row>
    <row r="3526" spans="1:2" x14ac:dyDescent="0.25">
      <c r="A3526" s="61"/>
      <c r="B3526" s="59"/>
    </row>
    <row r="3527" spans="1:2" x14ac:dyDescent="0.25">
      <c r="A3527" s="61"/>
      <c r="B3527" s="59"/>
    </row>
    <row r="3528" spans="1:2" x14ac:dyDescent="0.25">
      <c r="A3528" s="61"/>
      <c r="B3528" s="59"/>
    </row>
    <row r="3529" spans="1:2" x14ac:dyDescent="0.25">
      <c r="A3529" s="61"/>
      <c r="B3529" s="59"/>
    </row>
    <row r="3530" spans="1:2" x14ac:dyDescent="0.25">
      <c r="A3530" s="61"/>
      <c r="B3530" s="59"/>
    </row>
    <row r="3531" spans="1:2" x14ac:dyDescent="0.25">
      <c r="A3531" s="61"/>
      <c r="B3531" s="59"/>
    </row>
    <row r="3532" spans="1:2" x14ac:dyDescent="0.25">
      <c r="A3532" s="61"/>
      <c r="B3532" s="59"/>
    </row>
    <row r="3533" spans="1:2" x14ac:dyDescent="0.25">
      <c r="A3533" s="61"/>
      <c r="B3533" s="59"/>
    </row>
    <row r="3534" spans="1:2" x14ac:dyDescent="0.25">
      <c r="A3534" s="61"/>
      <c r="B3534" s="59"/>
    </row>
    <row r="3535" spans="1:2" x14ac:dyDescent="0.25">
      <c r="A3535" s="61"/>
      <c r="B3535" s="59"/>
    </row>
    <row r="3536" spans="1:2" x14ac:dyDescent="0.25">
      <c r="A3536" s="61"/>
      <c r="B3536" s="59"/>
    </row>
    <row r="3537" spans="1:2" x14ac:dyDescent="0.25">
      <c r="A3537" s="61"/>
      <c r="B3537" s="59"/>
    </row>
    <row r="3538" spans="1:2" x14ac:dyDescent="0.25">
      <c r="A3538" s="61"/>
      <c r="B3538" s="59"/>
    </row>
    <row r="3539" spans="1:2" x14ac:dyDescent="0.25">
      <c r="A3539" s="61"/>
      <c r="B3539" s="59"/>
    </row>
    <row r="3540" spans="1:2" x14ac:dyDescent="0.25">
      <c r="A3540" s="61"/>
      <c r="B3540" s="59"/>
    </row>
    <row r="3541" spans="1:2" x14ac:dyDescent="0.25">
      <c r="A3541" s="61"/>
      <c r="B3541" s="59"/>
    </row>
    <row r="3542" spans="1:2" x14ac:dyDescent="0.25">
      <c r="A3542" s="61"/>
      <c r="B3542" s="59"/>
    </row>
    <row r="3543" spans="1:2" x14ac:dyDescent="0.25">
      <c r="A3543" s="61"/>
      <c r="B3543" s="59"/>
    </row>
    <row r="3544" spans="1:2" x14ac:dyDescent="0.25">
      <c r="A3544" s="61"/>
      <c r="B3544" s="59"/>
    </row>
    <row r="3545" spans="1:2" x14ac:dyDescent="0.25">
      <c r="A3545" s="61"/>
      <c r="B3545" s="59"/>
    </row>
    <row r="3546" spans="1:2" x14ac:dyDescent="0.25">
      <c r="A3546" s="61"/>
      <c r="B3546" s="59"/>
    </row>
    <row r="3547" spans="1:2" x14ac:dyDescent="0.25">
      <c r="A3547" s="61"/>
      <c r="B3547" s="59"/>
    </row>
    <row r="3548" spans="1:2" x14ac:dyDescent="0.25">
      <c r="A3548" s="61"/>
      <c r="B3548" s="59"/>
    </row>
    <row r="3549" spans="1:2" x14ac:dyDescent="0.25">
      <c r="A3549" s="61"/>
      <c r="B3549" s="59"/>
    </row>
    <row r="3550" spans="1:2" x14ac:dyDescent="0.25">
      <c r="A3550" s="61"/>
      <c r="B3550" s="59"/>
    </row>
    <row r="3551" spans="1:2" x14ac:dyDescent="0.25">
      <c r="A3551" s="61"/>
      <c r="B3551" s="59"/>
    </row>
    <row r="3552" spans="1:2" x14ac:dyDescent="0.25">
      <c r="A3552" s="61"/>
      <c r="B3552" s="59"/>
    </row>
    <row r="3553" spans="1:2" x14ac:dyDescent="0.25">
      <c r="A3553" s="61"/>
      <c r="B3553" s="59"/>
    </row>
    <row r="3554" spans="1:2" x14ac:dyDescent="0.25">
      <c r="A3554" s="61"/>
      <c r="B3554" s="59"/>
    </row>
    <row r="3555" spans="1:2" x14ac:dyDescent="0.25">
      <c r="A3555" s="61"/>
      <c r="B3555" s="59"/>
    </row>
    <row r="3556" spans="1:2" x14ac:dyDescent="0.25">
      <c r="A3556" s="61"/>
      <c r="B3556" s="59"/>
    </row>
    <row r="3557" spans="1:2" x14ac:dyDescent="0.25">
      <c r="A3557" s="61"/>
      <c r="B3557" s="59"/>
    </row>
    <row r="3558" spans="1:2" x14ac:dyDescent="0.25">
      <c r="A3558" s="61"/>
      <c r="B3558" s="59"/>
    </row>
    <row r="3559" spans="1:2" x14ac:dyDescent="0.25">
      <c r="A3559" s="61"/>
      <c r="B3559" s="59"/>
    </row>
    <row r="3560" spans="1:2" x14ac:dyDescent="0.25">
      <c r="A3560" s="61"/>
      <c r="B3560" s="59"/>
    </row>
    <row r="3561" spans="1:2" x14ac:dyDescent="0.25">
      <c r="A3561" s="61"/>
      <c r="B3561" s="59"/>
    </row>
    <row r="3562" spans="1:2" x14ac:dyDescent="0.25">
      <c r="A3562" s="61"/>
      <c r="B3562" s="59"/>
    </row>
    <row r="3563" spans="1:2" x14ac:dyDescent="0.25">
      <c r="A3563" s="61"/>
      <c r="B3563" s="59"/>
    </row>
    <row r="3564" spans="1:2" x14ac:dyDescent="0.25">
      <c r="A3564" s="61"/>
      <c r="B3564" s="59"/>
    </row>
    <row r="3565" spans="1:2" x14ac:dyDescent="0.25">
      <c r="A3565" s="61"/>
      <c r="B3565" s="59"/>
    </row>
    <row r="3566" spans="1:2" x14ac:dyDescent="0.25">
      <c r="A3566" s="61"/>
      <c r="B3566" s="59"/>
    </row>
    <row r="3567" spans="1:2" x14ac:dyDescent="0.25">
      <c r="A3567" s="61"/>
      <c r="B3567" s="59"/>
    </row>
    <row r="3568" spans="1:2" x14ac:dyDescent="0.25">
      <c r="A3568" s="61"/>
      <c r="B3568" s="59"/>
    </row>
    <row r="3569" spans="1:2" x14ac:dyDescent="0.25">
      <c r="A3569" s="61"/>
      <c r="B3569" s="59"/>
    </row>
    <row r="3570" spans="1:2" x14ac:dyDescent="0.25">
      <c r="A3570" s="61"/>
      <c r="B3570" s="59"/>
    </row>
    <row r="3571" spans="1:2" x14ac:dyDescent="0.25">
      <c r="A3571" s="61"/>
      <c r="B3571" s="59"/>
    </row>
    <row r="3572" spans="1:2" x14ac:dyDescent="0.25">
      <c r="A3572" s="61"/>
      <c r="B3572" s="59"/>
    </row>
    <row r="3573" spans="1:2" x14ac:dyDescent="0.25">
      <c r="A3573" s="61"/>
      <c r="B3573" s="59"/>
    </row>
    <row r="3574" spans="1:2" x14ac:dyDescent="0.25">
      <c r="A3574" s="61"/>
      <c r="B3574" s="59"/>
    </row>
    <row r="3575" spans="1:2" x14ac:dyDescent="0.25">
      <c r="A3575" s="61"/>
      <c r="B3575" s="59"/>
    </row>
    <row r="3576" spans="1:2" x14ac:dyDescent="0.25">
      <c r="A3576" s="61"/>
      <c r="B3576" s="59"/>
    </row>
    <row r="3577" spans="1:2" x14ac:dyDescent="0.25">
      <c r="A3577" s="61"/>
      <c r="B3577" s="59"/>
    </row>
    <row r="3578" spans="1:2" x14ac:dyDescent="0.25">
      <c r="A3578" s="61"/>
      <c r="B3578" s="59"/>
    </row>
    <row r="3579" spans="1:2" x14ac:dyDescent="0.25">
      <c r="A3579" s="61"/>
      <c r="B3579" s="59"/>
    </row>
    <row r="3580" spans="1:2" x14ac:dyDescent="0.25">
      <c r="A3580" s="61"/>
      <c r="B3580" s="59"/>
    </row>
    <row r="3581" spans="1:2" x14ac:dyDescent="0.25">
      <c r="A3581" s="61"/>
      <c r="B3581" s="59"/>
    </row>
    <row r="3582" spans="1:2" x14ac:dyDescent="0.25">
      <c r="A3582" s="61"/>
      <c r="B3582" s="59"/>
    </row>
    <row r="3583" spans="1:2" x14ac:dyDescent="0.25">
      <c r="A3583" s="61"/>
      <c r="B3583" s="59"/>
    </row>
    <row r="3584" spans="1:2" x14ac:dyDescent="0.25">
      <c r="A3584" s="61"/>
      <c r="B3584" s="59"/>
    </row>
    <row r="3585" spans="1:2" x14ac:dyDescent="0.25">
      <c r="A3585" s="61"/>
      <c r="B3585" s="59"/>
    </row>
    <row r="3586" spans="1:2" x14ac:dyDescent="0.25">
      <c r="A3586" s="61"/>
      <c r="B3586" s="59"/>
    </row>
    <row r="3587" spans="1:2" x14ac:dyDescent="0.25">
      <c r="A3587" s="61"/>
      <c r="B3587" s="59"/>
    </row>
    <row r="3588" spans="1:2" x14ac:dyDescent="0.25">
      <c r="A3588" s="61"/>
      <c r="B3588" s="59"/>
    </row>
    <row r="3589" spans="1:2" x14ac:dyDescent="0.25">
      <c r="A3589" s="61"/>
      <c r="B3589" s="59"/>
    </row>
    <row r="3590" spans="1:2" x14ac:dyDescent="0.25">
      <c r="A3590" s="61"/>
      <c r="B3590" s="59"/>
    </row>
    <row r="3591" spans="1:2" x14ac:dyDescent="0.25">
      <c r="A3591" s="61"/>
      <c r="B3591" s="59"/>
    </row>
    <row r="3592" spans="1:2" x14ac:dyDescent="0.25">
      <c r="A3592" s="61"/>
      <c r="B3592" s="59"/>
    </row>
    <row r="3593" spans="1:2" x14ac:dyDescent="0.25">
      <c r="A3593" s="61"/>
      <c r="B3593" s="59"/>
    </row>
    <row r="3594" spans="1:2" x14ac:dyDescent="0.25">
      <c r="A3594" s="61"/>
      <c r="B3594" s="59"/>
    </row>
    <row r="3595" spans="1:2" x14ac:dyDescent="0.25">
      <c r="A3595" s="61"/>
      <c r="B3595" s="59"/>
    </row>
    <row r="3596" spans="1:2" x14ac:dyDescent="0.25">
      <c r="A3596" s="61"/>
      <c r="B3596" s="59"/>
    </row>
    <row r="3597" spans="1:2" x14ac:dyDescent="0.25">
      <c r="A3597" s="61"/>
      <c r="B3597" s="59"/>
    </row>
    <row r="3598" spans="1:2" x14ac:dyDescent="0.25">
      <c r="A3598" s="61"/>
      <c r="B3598" s="59"/>
    </row>
    <row r="3599" spans="1:2" x14ac:dyDescent="0.25">
      <c r="A3599" s="61"/>
      <c r="B3599" s="59"/>
    </row>
    <row r="3600" spans="1:2" x14ac:dyDescent="0.25">
      <c r="A3600" s="61"/>
      <c r="B3600" s="59"/>
    </row>
    <row r="3601" spans="1:2" x14ac:dyDescent="0.25">
      <c r="A3601" s="61"/>
      <c r="B3601" s="59"/>
    </row>
    <row r="3602" spans="1:2" x14ac:dyDescent="0.25">
      <c r="A3602" s="61"/>
      <c r="B3602" s="59"/>
    </row>
    <row r="3603" spans="1:2" x14ac:dyDescent="0.25">
      <c r="A3603" s="61"/>
      <c r="B3603" s="59"/>
    </row>
    <row r="3604" spans="1:2" x14ac:dyDescent="0.25">
      <c r="A3604" s="61"/>
      <c r="B3604" s="59"/>
    </row>
    <row r="3605" spans="1:2" x14ac:dyDescent="0.25">
      <c r="A3605" s="61"/>
      <c r="B3605" s="59"/>
    </row>
    <row r="3606" spans="1:2" x14ac:dyDescent="0.25">
      <c r="A3606" s="61"/>
      <c r="B3606" s="59"/>
    </row>
    <row r="3607" spans="1:2" x14ac:dyDescent="0.25">
      <c r="A3607" s="61"/>
      <c r="B3607" s="59"/>
    </row>
    <row r="3608" spans="1:2" x14ac:dyDescent="0.25">
      <c r="A3608" s="61"/>
      <c r="B3608" s="59"/>
    </row>
    <row r="3609" spans="1:2" x14ac:dyDescent="0.25">
      <c r="A3609" s="61"/>
      <c r="B3609" s="59"/>
    </row>
    <row r="3610" spans="1:2" x14ac:dyDescent="0.25">
      <c r="A3610" s="61"/>
      <c r="B3610" s="59"/>
    </row>
    <row r="3611" spans="1:2" x14ac:dyDescent="0.25">
      <c r="A3611" s="61"/>
      <c r="B3611" s="59"/>
    </row>
    <row r="3612" spans="1:2" x14ac:dyDescent="0.25">
      <c r="A3612" s="61"/>
      <c r="B3612" s="59"/>
    </row>
    <row r="3613" spans="1:2" x14ac:dyDescent="0.25">
      <c r="A3613" s="61"/>
      <c r="B3613" s="59"/>
    </row>
    <row r="3614" spans="1:2" x14ac:dyDescent="0.25">
      <c r="A3614" s="61"/>
      <c r="B3614" s="59"/>
    </row>
    <row r="3615" spans="1:2" x14ac:dyDescent="0.25">
      <c r="A3615" s="61"/>
      <c r="B3615" s="59"/>
    </row>
    <row r="3616" spans="1:2" x14ac:dyDescent="0.25">
      <c r="A3616" s="61"/>
      <c r="B3616" s="59"/>
    </row>
    <row r="3617" spans="1:2" x14ac:dyDescent="0.25">
      <c r="A3617" s="61"/>
      <c r="B3617" s="59"/>
    </row>
    <row r="3618" spans="1:2" x14ac:dyDescent="0.25">
      <c r="A3618" s="61"/>
      <c r="B3618" s="59"/>
    </row>
    <row r="3619" spans="1:2" x14ac:dyDescent="0.25">
      <c r="A3619" s="61"/>
      <c r="B3619" s="59"/>
    </row>
    <row r="3620" spans="1:2" x14ac:dyDescent="0.25">
      <c r="A3620" s="61"/>
      <c r="B3620" s="59"/>
    </row>
    <row r="3621" spans="1:2" x14ac:dyDescent="0.25">
      <c r="A3621" s="61"/>
      <c r="B3621" s="59"/>
    </row>
    <row r="3622" spans="1:2" x14ac:dyDescent="0.25">
      <c r="A3622" s="61"/>
      <c r="B3622" s="59"/>
    </row>
    <row r="3623" spans="1:2" x14ac:dyDescent="0.25">
      <c r="A3623" s="61"/>
      <c r="B3623" s="59"/>
    </row>
    <row r="3624" spans="1:2" x14ac:dyDescent="0.25">
      <c r="A3624" s="61"/>
      <c r="B3624" s="59"/>
    </row>
    <row r="3625" spans="1:2" x14ac:dyDescent="0.25">
      <c r="A3625" s="61"/>
      <c r="B3625" s="59"/>
    </row>
    <row r="3626" spans="1:2" x14ac:dyDescent="0.25">
      <c r="A3626" s="61"/>
      <c r="B3626" s="59"/>
    </row>
    <row r="3627" spans="1:2" x14ac:dyDescent="0.25">
      <c r="A3627" s="61"/>
      <c r="B3627" s="59"/>
    </row>
    <row r="3628" spans="1:2" x14ac:dyDescent="0.25">
      <c r="A3628" s="61"/>
      <c r="B3628" s="59"/>
    </row>
    <row r="3629" spans="1:2" x14ac:dyDescent="0.25">
      <c r="A3629" s="61"/>
      <c r="B3629" s="59"/>
    </row>
    <row r="3630" spans="1:2" x14ac:dyDescent="0.25">
      <c r="A3630" s="61"/>
      <c r="B3630" s="59"/>
    </row>
    <row r="3631" spans="1:2" x14ac:dyDescent="0.25">
      <c r="A3631" s="61"/>
      <c r="B3631" s="59"/>
    </row>
    <row r="3632" spans="1:2" x14ac:dyDescent="0.25">
      <c r="A3632" s="61"/>
      <c r="B3632" s="59"/>
    </row>
    <row r="3633" spans="1:2" x14ac:dyDescent="0.25">
      <c r="A3633" s="61"/>
      <c r="B3633" s="59"/>
    </row>
    <row r="3634" spans="1:2" x14ac:dyDescent="0.25">
      <c r="A3634" s="61"/>
      <c r="B3634" s="59"/>
    </row>
    <row r="3635" spans="1:2" x14ac:dyDescent="0.25">
      <c r="A3635" s="61"/>
      <c r="B3635" s="59"/>
    </row>
    <row r="3636" spans="1:2" x14ac:dyDescent="0.25">
      <c r="A3636" s="61"/>
      <c r="B3636" s="59"/>
    </row>
    <row r="3637" spans="1:2" x14ac:dyDescent="0.25">
      <c r="A3637" s="61"/>
      <c r="B3637" s="59"/>
    </row>
    <row r="3638" spans="1:2" x14ac:dyDescent="0.25">
      <c r="A3638" s="61"/>
      <c r="B3638" s="59"/>
    </row>
    <row r="3639" spans="1:2" x14ac:dyDescent="0.25">
      <c r="A3639" s="61"/>
      <c r="B3639" s="59"/>
    </row>
    <row r="3640" spans="1:2" x14ac:dyDescent="0.25">
      <c r="A3640" s="61"/>
      <c r="B3640" s="59"/>
    </row>
    <row r="3641" spans="1:2" x14ac:dyDescent="0.25">
      <c r="A3641" s="61"/>
      <c r="B3641" s="59"/>
    </row>
    <row r="3642" spans="1:2" x14ac:dyDescent="0.25">
      <c r="A3642" s="61"/>
      <c r="B3642" s="59"/>
    </row>
    <row r="3643" spans="1:2" x14ac:dyDescent="0.25">
      <c r="A3643" s="61"/>
      <c r="B3643" s="59"/>
    </row>
    <row r="3644" spans="1:2" x14ac:dyDescent="0.25">
      <c r="A3644" s="61"/>
      <c r="B3644" s="59"/>
    </row>
    <row r="3645" spans="1:2" x14ac:dyDescent="0.25">
      <c r="A3645" s="61"/>
      <c r="B3645" s="59"/>
    </row>
    <row r="3646" spans="1:2" x14ac:dyDescent="0.25">
      <c r="A3646" s="61"/>
      <c r="B3646" s="59"/>
    </row>
    <row r="3647" spans="1:2" x14ac:dyDescent="0.25">
      <c r="A3647" s="61"/>
      <c r="B3647" s="59"/>
    </row>
    <row r="3648" spans="1:2" x14ac:dyDescent="0.25">
      <c r="A3648" s="61"/>
      <c r="B3648" s="59"/>
    </row>
    <row r="3649" spans="1:2" x14ac:dyDescent="0.25">
      <c r="A3649" s="61"/>
      <c r="B3649" s="59"/>
    </row>
    <row r="3650" spans="1:2" x14ac:dyDescent="0.25">
      <c r="A3650" s="61"/>
      <c r="B3650" s="59"/>
    </row>
    <row r="3651" spans="1:2" x14ac:dyDescent="0.25">
      <c r="A3651" s="61"/>
      <c r="B3651" s="59"/>
    </row>
    <row r="3652" spans="1:2" x14ac:dyDescent="0.25">
      <c r="A3652" s="61"/>
      <c r="B3652" s="59"/>
    </row>
    <row r="3653" spans="1:2" x14ac:dyDescent="0.25">
      <c r="A3653" s="61"/>
      <c r="B3653" s="59"/>
    </row>
    <row r="3654" spans="1:2" x14ac:dyDescent="0.25">
      <c r="A3654" s="61"/>
      <c r="B3654" s="59"/>
    </row>
    <row r="3655" spans="1:2" x14ac:dyDescent="0.25">
      <c r="A3655" s="61"/>
      <c r="B3655" s="59"/>
    </row>
    <row r="3656" spans="1:2" x14ac:dyDescent="0.25">
      <c r="A3656" s="61"/>
      <c r="B3656" s="59"/>
    </row>
    <row r="3657" spans="1:2" x14ac:dyDescent="0.25">
      <c r="A3657" s="61"/>
      <c r="B3657" s="59"/>
    </row>
    <row r="3658" spans="1:2" x14ac:dyDescent="0.25">
      <c r="A3658" s="61"/>
      <c r="B3658" s="59"/>
    </row>
    <row r="3659" spans="1:2" x14ac:dyDescent="0.25">
      <c r="A3659" s="61"/>
      <c r="B3659" s="59"/>
    </row>
    <row r="3660" spans="1:2" x14ac:dyDescent="0.25">
      <c r="A3660" s="61"/>
      <c r="B3660" s="59"/>
    </row>
    <row r="3661" spans="1:2" x14ac:dyDescent="0.25">
      <c r="A3661" s="61"/>
      <c r="B3661" s="59"/>
    </row>
    <row r="3662" spans="1:2" x14ac:dyDescent="0.25">
      <c r="A3662" s="61"/>
      <c r="B3662" s="59"/>
    </row>
    <row r="3663" spans="1:2" x14ac:dyDescent="0.25">
      <c r="A3663" s="61"/>
      <c r="B3663" s="59"/>
    </row>
    <row r="3664" spans="1:2" x14ac:dyDescent="0.25">
      <c r="A3664" s="61"/>
      <c r="B3664" s="59"/>
    </row>
    <row r="3665" spans="1:2" x14ac:dyDescent="0.25">
      <c r="A3665" s="61"/>
      <c r="B3665" s="59"/>
    </row>
    <row r="3666" spans="1:2" x14ac:dyDescent="0.25">
      <c r="A3666" s="61"/>
      <c r="B3666" s="59"/>
    </row>
    <row r="3667" spans="1:2" x14ac:dyDescent="0.25">
      <c r="A3667" s="61"/>
      <c r="B3667" s="59"/>
    </row>
    <row r="3668" spans="1:2" x14ac:dyDescent="0.25">
      <c r="A3668" s="61"/>
      <c r="B3668" s="59"/>
    </row>
    <row r="3669" spans="1:2" x14ac:dyDescent="0.25">
      <c r="A3669" s="61"/>
      <c r="B3669" s="59"/>
    </row>
    <row r="3670" spans="1:2" x14ac:dyDescent="0.25">
      <c r="A3670" s="61"/>
      <c r="B3670" s="59"/>
    </row>
    <row r="3671" spans="1:2" x14ac:dyDescent="0.25">
      <c r="A3671" s="61"/>
      <c r="B3671" s="59"/>
    </row>
    <row r="3672" spans="1:2" x14ac:dyDescent="0.25">
      <c r="A3672" s="61"/>
      <c r="B3672" s="59"/>
    </row>
    <row r="3673" spans="1:2" x14ac:dyDescent="0.25">
      <c r="A3673" s="61"/>
      <c r="B3673" s="59"/>
    </row>
    <row r="3674" spans="1:2" x14ac:dyDescent="0.25">
      <c r="A3674" s="61"/>
      <c r="B3674" s="59"/>
    </row>
    <row r="3675" spans="1:2" x14ac:dyDescent="0.25">
      <c r="A3675" s="61"/>
      <c r="B3675" s="59"/>
    </row>
    <row r="3676" spans="1:2" x14ac:dyDescent="0.25">
      <c r="A3676" s="61"/>
      <c r="B3676" s="59"/>
    </row>
    <row r="3677" spans="1:2" x14ac:dyDescent="0.25">
      <c r="A3677" s="61"/>
      <c r="B3677" s="59"/>
    </row>
    <row r="3678" spans="1:2" x14ac:dyDescent="0.25">
      <c r="A3678" s="61"/>
      <c r="B3678" s="59"/>
    </row>
    <row r="3679" spans="1:2" x14ac:dyDescent="0.25">
      <c r="A3679" s="61"/>
      <c r="B3679" s="59"/>
    </row>
    <row r="3680" spans="1:2" x14ac:dyDescent="0.25">
      <c r="A3680" s="61"/>
      <c r="B3680" s="59"/>
    </row>
    <row r="3681" spans="1:2" x14ac:dyDescent="0.25">
      <c r="A3681" s="61"/>
      <c r="B3681" s="59"/>
    </row>
    <row r="3682" spans="1:2" x14ac:dyDescent="0.25">
      <c r="A3682" s="61"/>
      <c r="B3682" s="59"/>
    </row>
    <row r="3683" spans="1:2" x14ac:dyDescent="0.25">
      <c r="A3683" s="61"/>
      <c r="B3683" s="59"/>
    </row>
    <row r="3684" spans="1:2" x14ac:dyDescent="0.25">
      <c r="A3684" s="61"/>
      <c r="B3684" s="59"/>
    </row>
    <row r="3685" spans="1:2" x14ac:dyDescent="0.25">
      <c r="A3685" s="61"/>
      <c r="B3685" s="59"/>
    </row>
    <row r="3686" spans="1:2" x14ac:dyDescent="0.25">
      <c r="A3686" s="61"/>
      <c r="B3686" s="59"/>
    </row>
    <row r="3687" spans="1:2" x14ac:dyDescent="0.25">
      <c r="A3687" s="61"/>
      <c r="B3687" s="59"/>
    </row>
    <row r="3688" spans="1:2" x14ac:dyDescent="0.25">
      <c r="A3688" s="61"/>
      <c r="B3688" s="59"/>
    </row>
    <row r="3689" spans="1:2" x14ac:dyDescent="0.25">
      <c r="A3689" s="61"/>
      <c r="B3689" s="59"/>
    </row>
    <row r="3690" spans="1:2" x14ac:dyDescent="0.25">
      <c r="A3690" s="61"/>
      <c r="B3690" s="59"/>
    </row>
    <row r="3691" spans="1:2" x14ac:dyDescent="0.25">
      <c r="A3691" s="61"/>
      <c r="B3691" s="59"/>
    </row>
    <row r="3692" spans="1:2" x14ac:dyDescent="0.25">
      <c r="A3692" s="61"/>
      <c r="B3692" s="59"/>
    </row>
    <row r="3693" spans="1:2" x14ac:dyDescent="0.25">
      <c r="A3693" s="61"/>
      <c r="B3693" s="59"/>
    </row>
    <row r="3694" spans="1:2" x14ac:dyDescent="0.25">
      <c r="A3694" s="61"/>
      <c r="B3694" s="59"/>
    </row>
    <row r="3695" spans="1:2" x14ac:dyDescent="0.25">
      <c r="A3695" s="61"/>
      <c r="B3695" s="59"/>
    </row>
    <row r="3696" spans="1:2" x14ac:dyDescent="0.25">
      <c r="A3696" s="61"/>
      <c r="B3696" s="59"/>
    </row>
    <row r="3697" spans="1:2" x14ac:dyDescent="0.25">
      <c r="A3697" s="61"/>
      <c r="B3697" s="59"/>
    </row>
    <row r="3698" spans="1:2" x14ac:dyDescent="0.25">
      <c r="A3698" s="61"/>
      <c r="B3698" s="59"/>
    </row>
    <row r="3699" spans="1:2" x14ac:dyDescent="0.25">
      <c r="A3699" s="61"/>
      <c r="B3699" s="59"/>
    </row>
    <row r="3700" spans="1:2" x14ac:dyDescent="0.25">
      <c r="A3700" s="61"/>
      <c r="B3700" s="59"/>
    </row>
    <row r="3701" spans="1:2" x14ac:dyDescent="0.25">
      <c r="A3701" s="61"/>
      <c r="B3701" s="59"/>
    </row>
    <row r="3702" spans="1:2" x14ac:dyDescent="0.25">
      <c r="A3702" s="61"/>
      <c r="B3702" s="59"/>
    </row>
    <row r="3703" spans="1:2" x14ac:dyDescent="0.25">
      <c r="A3703" s="61"/>
      <c r="B3703" s="59"/>
    </row>
    <row r="3704" spans="1:2" x14ac:dyDescent="0.25">
      <c r="A3704" s="61"/>
      <c r="B3704" s="59"/>
    </row>
    <row r="3705" spans="1:2" x14ac:dyDescent="0.25">
      <c r="A3705" s="61"/>
      <c r="B3705" s="59"/>
    </row>
    <row r="3706" spans="1:2" x14ac:dyDescent="0.25">
      <c r="A3706" s="61"/>
      <c r="B3706" s="59"/>
    </row>
    <row r="3707" spans="1:2" x14ac:dyDescent="0.25">
      <c r="A3707" s="61"/>
      <c r="B3707" s="59"/>
    </row>
    <row r="3708" spans="1:2" x14ac:dyDescent="0.25">
      <c r="A3708" s="61"/>
      <c r="B3708" s="59"/>
    </row>
    <row r="3709" spans="1:2" x14ac:dyDescent="0.25">
      <c r="A3709" s="61"/>
      <c r="B3709" s="59"/>
    </row>
    <row r="3710" spans="1:2" x14ac:dyDescent="0.25">
      <c r="A3710" s="61"/>
      <c r="B3710" s="59"/>
    </row>
    <row r="3711" spans="1:2" x14ac:dyDescent="0.25">
      <c r="A3711" s="61"/>
      <c r="B3711" s="59"/>
    </row>
    <row r="3712" spans="1:2" x14ac:dyDescent="0.25">
      <c r="A3712" s="61"/>
      <c r="B3712" s="59"/>
    </row>
    <row r="3713" spans="1:2" x14ac:dyDescent="0.25">
      <c r="A3713" s="61"/>
      <c r="B3713" s="59"/>
    </row>
    <row r="3714" spans="1:2" x14ac:dyDescent="0.25">
      <c r="A3714" s="61"/>
      <c r="B3714" s="59"/>
    </row>
    <row r="3715" spans="1:2" x14ac:dyDescent="0.25">
      <c r="A3715" s="61"/>
      <c r="B3715" s="59"/>
    </row>
    <row r="3716" spans="1:2" x14ac:dyDescent="0.25">
      <c r="A3716" s="61"/>
      <c r="B3716" s="59"/>
    </row>
    <row r="3717" spans="1:2" x14ac:dyDescent="0.25">
      <c r="A3717" s="61"/>
      <c r="B3717" s="59"/>
    </row>
    <row r="3718" spans="1:2" x14ac:dyDescent="0.25">
      <c r="A3718" s="61"/>
      <c r="B3718" s="59"/>
    </row>
    <row r="3719" spans="1:2" x14ac:dyDescent="0.25">
      <c r="A3719" s="61"/>
      <c r="B3719" s="59"/>
    </row>
    <row r="3720" spans="1:2" x14ac:dyDescent="0.25">
      <c r="A3720" s="61"/>
      <c r="B3720" s="59"/>
    </row>
    <row r="3721" spans="1:2" x14ac:dyDescent="0.25">
      <c r="A3721" s="61"/>
      <c r="B3721" s="59"/>
    </row>
    <row r="3722" spans="1:2" x14ac:dyDescent="0.25">
      <c r="A3722" s="61"/>
      <c r="B3722" s="59"/>
    </row>
    <row r="3723" spans="1:2" x14ac:dyDescent="0.25">
      <c r="A3723" s="61"/>
      <c r="B3723" s="59"/>
    </row>
    <row r="3724" spans="1:2" x14ac:dyDescent="0.25">
      <c r="A3724" s="61"/>
      <c r="B3724" s="59"/>
    </row>
    <row r="3725" spans="1:2" x14ac:dyDescent="0.25">
      <c r="A3725" s="61"/>
      <c r="B3725" s="59"/>
    </row>
    <row r="3726" spans="1:2" x14ac:dyDescent="0.25">
      <c r="A3726" s="61"/>
      <c r="B3726" s="59"/>
    </row>
    <row r="3727" spans="1:2" x14ac:dyDescent="0.25">
      <c r="A3727" s="61"/>
      <c r="B3727" s="59"/>
    </row>
    <row r="3728" spans="1:2" x14ac:dyDescent="0.25">
      <c r="A3728" s="61"/>
      <c r="B3728" s="59"/>
    </row>
    <row r="3729" spans="1:2" x14ac:dyDescent="0.25">
      <c r="A3729" s="61"/>
      <c r="B3729" s="59"/>
    </row>
    <row r="3730" spans="1:2" x14ac:dyDescent="0.25">
      <c r="A3730" s="61"/>
      <c r="B3730" s="59"/>
    </row>
    <row r="3731" spans="1:2" x14ac:dyDescent="0.25">
      <c r="A3731" s="61"/>
      <c r="B3731" s="59"/>
    </row>
    <row r="3732" spans="1:2" x14ac:dyDescent="0.25">
      <c r="A3732" s="61"/>
      <c r="B3732" s="59"/>
    </row>
    <row r="3733" spans="1:2" x14ac:dyDescent="0.25">
      <c r="A3733" s="61"/>
      <c r="B3733" s="59"/>
    </row>
    <row r="3734" spans="1:2" x14ac:dyDescent="0.25">
      <c r="A3734" s="61"/>
      <c r="B3734" s="59"/>
    </row>
    <row r="3735" spans="1:2" x14ac:dyDescent="0.25">
      <c r="A3735" s="61"/>
      <c r="B3735" s="59"/>
    </row>
    <row r="3736" spans="1:2" x14ac:dyDescent="0.25">
      <c r="A3736" s="61"/>
      <c r="B3736" s="59"/>
    </row>
    <row r="3737" spans="1:2" x14ac:dyDescent="0.25">
      <c r="A3737" s="61"/>
      <c r="B3737" s="59"/>
    </row>
    <row r="3738" spans="1:2" x14ac:dyDescent="0.25">
      <c r="A3738" s="61"/>
      <c r="B3738" s="59"/>
    </row>
    <row r="3739" spans="1:2" x14ac:dyDescent="0.25">
      <c r="A3739" s="61"/>
      <c r="B3739" s="59"/>
    </row>
    <row r="3740" spans="1:2" x14ac:dyDescent="0.25">
      <c r="A3740" s="61"/>
      <c r="B3740" s="59"/>
    </row>
    <row r="3741" spans="1:2" x14ac:dyDescent="0.25">
      <c r="A3741" s="61"/>
      <c r="B3741" s="59"/>
    </row>
    <row r="3742" spans="1:2" x14ac:dyDescent="0.25">
      <c r="A3742" s="61"/>
      <c r="B3742" s="59"/>
    </row>
    <row r="3743" spans="1:2" x14ac:dyDescent="0.25">
      <c r="A3743" s="61"/>
      <c r="B3743" s="59"/>
    </row>
    <row r="3744" spans="1:2" x14ac:dyDescent="0.25">
      <c r="A3744" s="61"/>
      <c r="B3744" s="59"/>
    </row>
    <row r="3745" spans="1:2" x14ac:dyDescent="0.25">
      <c r="A3745" s="61"/>
      <c r="B3745" s="59"/>
    </row>
    <row r="3746" spans="1:2" x14ac:dyDescent="0.25">
      <c r="A3746" s="61"/>
      <c r="B3746" s="59"/>
    </row>
    <row r="3747" spans="1:2" x14ac:dyDescent="0.25">
      <c r="A3747" s="61"/>
      <c r="B3747" s="59"/>
    </row>
    <row r="3748" spans="1:2" x14ac:dyDescent="0.25">
      <c r="A3748" s="61"/>
      <c r="B3748" s="59"/>
    </row>
    <row r="3749" spans="1:2" x14ac:dyDescent="0.25">
      <c r="A3749" s="61"/>
      <c r="B3749" s="59"/>
    </row>
    <row r="3750" spans="1:2" x14ac:dyDescent="0.25">
      <c r="A3750" s="61"/>
      <c r="B3750" s="59"/>
    </row>
    <row r="3751" spans="1:2" x14ac:dyDescent="0.25">
      <c r="A3751" s="61"/>
      <c r="B3751" s="59"/>
    </row>
    <row r="3752" spans="1:2" x14ac:dyDescent="0.25">
      <c r="A3752" s="61"/>
      <c r="B3752" s="59"/>
    </row>
    <row r="3753" spans="1:2" x14ac:dyDescent="0.25">
      <c r="A3753" s="61"/>
      <c r="B3753" s="59"/>
    </row>
    <row r="3754" spans="1:2" x14ac:dyDescent="0.25">
      <c r="A3754" s="61"/>
      <c r="B3754" s="59"/>
    </row>
    <row r="3755" spans="1:2" x14ac:dyDescent="0.25">
      <c r="A3755" s="61"/>
      <c r="B3755" s="59"/>
    </row>
    <row r="3756" spans="1:2" x14ac:dyDescent="0.25">
      <c r="A3756" s="61"/>
      <c r="B3756" s="59"/>
    </row>
    <row r="3757" spans="1:2" x14ac:dyDescent="0.25">
      <c r="A3757" s="61"/>
      <c r="B3757" s="59"/>
    </row>
    <row r="3758" spans="1:2" x14ac:dyDescent="0.25">
      <c r="A3758" s="61"/>
      <c r="B3758" s="59"/>
    </row>
    <row r="3759" spans="1:2" x14ac:dyDescent="0.25">
      <c r="A3759" s="61"/>
      <c r="B3759" s="59"/>
    </row>
    <row r="3760" spans="1:2" x14ac:dyDescent="0.25">
      <c r="A3760" s="61"/>
      <c r="B3760" s="59"/>
    </row>
    <row r="3761" spans="1:2" x14ac:dyDescent="0.25">
      <c r="A3761" s="61"/>
      <c r="B3761" s="59"/>
    </row>
    <row r="3762" spans="1:2" x14ac:dyDescent="0.25">
      <c r="A3762" s="61"/>
      <c r="B3762" s="59"/>
    </row>
    <row r="3763" spans="1:2" x14ac:dyDescent="0.25">
      <c r="A3763" s="61"/>
      <c r="B3763" s="59"/>
    </row>
    <row r="3764" spans="1:2" x14ac:dyDescent="0.25">
      <c r="A3764" s="61"/>
      <c r="B3764" s="59"/>
    </row>
    <row r="3765" spans="1:2" x14ac:dyDescent="0.25">
      <c r="A3765" s="61"/>
      <c r="B3765" s="59"/>
    </row>
    <row r="3766" spans="1:2" x14ac:dyDescent="0.25">
      <c r="A3766" s="61"/>
      <c r="B3766" s="59"/>
    </row>
    <row r="3767" spans="1:2" x14ac:dyDescent="0.25">
      <c r="A3767" s="61"/>
      <c r="B3767" s="59"/>
    </row>
    <row r="3768" spans="1:2" x14ac:dyDescent="0.25">
      <c r="A3768" s="61"/>
      <c r="B3768" s="59"/>
    </row>
    <row r="3769" spans="1:2" x14ac:dyDescent="0.25">
      <c r="A3769" s="61"/>
      <c r="B3769" s="59"/>
    </row>
    <row r="3770" spans="1:2" x14ac:dyDescent="0.25">
      <c r="A3770" s="61"/>
      <c r="B3770" s="59"/>
    </row>
    <row r="3771" spans="1:2" x14ac:dyDescent="0.25">
      <c r="A3771" s="61"/>
      <c r="B3771" s="59"/>
    </row>
    <row r="3772" spans="1:2" x14ac:dyDescent="0.25">
      <c r="A3772" s="61"/>
      <c r="B3772" s="59"/>
    </row>
    <row r="3773" spans="1:2" x14ac:dyDescent="0.25">
      <c r="A3773" s="61"/>
      <c r="B3773" s="59"/>
    </row>
    <row r="3774" spans="1:2" x14ac:dyDescent="0.25">
      <c r="A3774" s="61"/>
      <c r="B3774" s="59"/>
    </row>
    <row r="3775" spans="1:2" x14ac:dyDescent="0.25">
      <c r="A3775" s="61"/>
      <c r="B3775" s="59"/>
    </row>
    <row r="3776" spans="1:2" x14ac:dyDescent="0.25">
      <c r="A3776" s="61"/>
      <c r="B3776" s="59"/>
    </row>
    <row r="3777" spans="1:2" x14ac:dyDescent="0.25">
      <c r="A3777" s="61"/>
      <c r="B3777" s="59"/>
    </row>
    <row r="3778" spans="1:2" x14ac:dyDescent="0.25">
      <c r="A3778" s="61"/>
      <c r="B3778" s="59"/>
    </row>
    <row r="3779" spans="1:2" x14ac:dyDescent="0.25">
      <c r="A3779" s="61"/>
      <c r="B3779" s="59"/>
    </row>
    <row r="3780" spans="1:2" x14ac:dyDescent="0.25">
      <c r="A3780" s="61"/>
      <c r="B3780" s="59"/>
    </row>
    <row r="3781" spans="1:2" x14ac:dyDescent="0.25">
      <c r="A3781" s="61"/>
      <c r="B3781" s="59"/>
    </row>
    <row r="3782" spans="1:2" x14ac:dyDescent="0.25">
      <c r="A3782" s="61"/>
      <c r="B3782" s="59"/>
    </row>
    <row r="3783" spans="1:2" x14ac:dyDescent="0.25">
      <c r="A3783" s="61"/>
      <c r="B3783" s="59"/>
    </row>
    <row r="3784" spans="1:2" x14ac:dyDescent="0.25">
      <c r="A3784" s="61"/>
      <c r="B3784" s="59"/>
    </row>
    <row r="3785" spans="1:2" x14ac:dyDescent="0.25">
      <c r="A3785" s="61"/>
      <c r="B3785" s="59"/>
    </row>
    <row r="3786" spans="1:2" x14ac:dyDescent="0.25">
      <c r="A3786" s="61"/>
      <c r="B3786" s="59"/>
    </row>
    <row r="3787" spans="1:2" x14ac:dyDescent="0.25">
      <c r="A3787" s="61"/>
      <c r="B3787" s="59"/>
    </row>
    <row r="3788" spans="1:2" x14ac:dyDescent="0.25">
      <c r="A3788" s="61"/>
      <c r="B3788" s="59"/>
    </row>
    <row r="3789" spans="1:2" x14ac:dyDescent="0.25">
      <c r="A3789" s="61"/>
      <c r="B3789" s="59"/>
    </row>
    <row r="3790" spans="1:2" x14ac:dyDescent="0.25">
      <c r="A3790" s="61"/>
      <c r="B3790" s="59"/>
    </row>
    <row r="3791" spans="1:2" x14ac:dyDescent="0.25">
      <c r="A3791" s="61"/>
      <c r="B3791" s="59"/>
    </row>
    <row r="3792" spans="1:2" x14ac:dyDescent="0.25">
      <c r="A3792" s="61"/>
      <c r="B3792" s="59"/>
    </row>
    <row r="3793" spans="1:2" x14ac:dyDescent="0.25">
      <c r="A3793" s="61"/>
      <c r="B3793" s="59"/>
    </row>
    <row r="3794" spans="1:2" x14ac:dyDescent="0.25">
      <c r="A3794" s="61"/>
      <c r="B3794" s="59"/>
    </row>
    <row r="3795" spans="1:2" x14ac:dyDescent="0.25">
      <c r="A3795" s="61"/>
      <c r="B3795" s="59"/>
    </row>
    <row r="3796" spans="1:2" x14ac:dyDescent="0.25">
      <c r="A3796" s="61"/>
      <c r="B3796" s="59"/>
    </row>
    <row r="3797" spans="1:2" x14ac:dyDescent="0.25">
      <c r="A3797" s="61"/>
      <c r="B3797" s="59"/>
    </row>
    <row r="3798" spans="1:2" x14ac:dyDescent="0.25">
      <c r="A3798" s="61"/>
      <c r="B3798" s="59"/>
    </row>
    <row r="3799" spans="1:2" x14ac:dyDescent="0.25">
      <c r="A3799" s="61"/>
      <c r="B3799" s="59"/>
    </row>
    <row r="3800" spans="1:2" x14ac:dyDescent="0.25">
      <c r="A3800" s="61"/>
      <c r="B3800" s="59"/>
    </row>
    <row r="3801" spans="1:2" x14ac:dyDescent="0.25">
      <c r="A3801" s="61"/>
      <c r="B3801" s="59"/>
    </row>
    <row r="3802" spans="1:2" x14ac:dyDescent="0.25">
      <c r="A3802" s="61"/>
      <c r="B3802" s="59"/>
    </row>
    <row r="3803" spans="1:2" x14ac:dyDescent="0.25">
      <c r="A3803" s="61"/>
      <c r="B3803" s="59"/>
    </row>
    <row r="3804" spans="1:2" x14ac:dyDescent="0.25">
      <c r="A3804" s="61"/>
      <c r="B3804" s="59"/>
    </row>
    <row r="3805" spans="1:2" x14ac:dyDescent="0.25">
      <c r="A3805" s="61"/>
      <c r="B3805" s="59"/>
    </row>
    <row r="3806" spans="1:2" x14ac:dyDescent="0.25">
      <c r="A3806" s="61"/>
      <c r="B3806" s="59"/>
    </row>
    <row r="3807" spans="1:2" x14ac:dyDescent="0.25">
      <c r="A3807" s="61"/>
      <c r="B3807" s="59"/>
    </row>
    <row r="3808" spans="1:2" x14ac:dyDescent="0.25">
      <c r="A3808" s="61"/>
      <c r="B3808" s="59"/>
    </row>
    <row r="3809" spans="1:2" x14ac:dyDescent="0.25">
      <c r="A3809" s="61"/>
      <c r="B3809" s="59"/>
    </row>
    <row r="3810" spans="1:2" x14ac:dyDescent="0.25">
      <c r="A3810" s="61"/>
      <c r="B3810" s="59"/>
    </row>
    <row r="3811" spans="1:2" x14ac:dyDescent="0.25">
      <c r="A3811" s="61"/>
      <c r="B3811" s="59"/>
    </row>
    <row r="3812" spans="1:2" x14ac:dyDescent="0.25">
      <c r="A3812" s="61"/>
      <c r="B3812" s="59"/>
    </row>
    <row r="3813" spans="1:2" x14ac:dyDescent="0.25">
      <c r="A3813" s="61"/>
      <c r="B3813" s="59"/>
    </row>
    <row r="3814" spans="1:2" x14ac:dyDescent="0.25">
      <c r="A3814" s="61"/>
      <c r="B3814" s="59"/>
    </row>
    <row r="3815" spans="1:2" x14ac:dyDescent="0.25">
      <c r="A3815" s="61"/>
      <c r="B3815" s="59"/>
    </row>
    <row r="3816" spans="1:2" x14ac:dyDescent="0.25">
      <c r="A3816" s="61"/>
      <c r="B3816" s="59"/>
    </row>
    <row r="3817" spans="1:2" x14ac:dyDescent="0.25">
      <c r="A3817" s="61"/>
      <c r="B3817" s="59"/>
    </row>
    <row r="3818" spans="1:2" x14ac:dyDescent="0.25">
      <c r="A3818" s="61"/>
      <c r="B3818" s="59"/>
    </row>
    <row r="3819" spans="1:2" x14ac:dyDescent="0.25">
      <c r="A3819" s="61"/>
      <c r="B3819" s="59"/>
    </row>
    <row r="3820" spans="1:2" x14ac:dyDescent="0.25">
      <c r="A3820" s="61"/>
      <c r="B3820" s="59"/>
    </row>
    <row r="3821" spans="1:2" x14ac:dyDescent="0.25">
      <c r="A3821" s="61"/>
      <c r="B3821" s="59"/>
    </row>
    <row r="3822" spans="1:2" x14ac:dyDescent="0.25">
      <c r="A3822" s="61"/>
      <c r="B3822" s="59"/>
    </row>
    <row r="3823" spans="1:2" x14ac:dyDescent="0.25">
      <c r="A3823" s="61"/>
      <c r="B3823" s="59"/>
    </row>
    <row r="3824" spans="1:2" x14ac:dyDescent="0.25">
      <c r="A3824" s="61"/>
      <c r="B3824" s="59"/>
    </row>
    <row r="3825" spans="1:2" x14ac:dyDescent="0.25">
      <c r="A3825" s="61"/>
      <c r="B3825" s="59"/>
    </row>
    <row r="3826" spans="1:2" x14ac:dyDescent="0.25">
      <c r="A3826" s="61"/>
      <c r="B3826" s="59"/>
    </row>
    <row r="3827" spans="1:2" x14ac:dyDescent="0.25">
      <c r="A3827" s="61"/>
      <c r="B3827" s="59"/>
    </row>
    <row r="3828" spans="1:2" x14ac:dyDescent="0.25">
      <c r="A3828" s="61"/>
      <c r="B3828" s="59"/>
    </row>
    <row r="3829" spans="1:2" x14ac:dyDescent="0.25">
      <c r="A3829" s="61"/>
      <c r="B3829" s="59"/>
    </row>
    <row r="3830" spans="1:2" x14ac:dyDescent="0.25">
      <c r="A3830" s="61"/>
      <c r="B3830" s="59"/>
    </row>
    <row r="3831" spans="1:2" x14ac:dyDescent="0.25">
      <c r="A3831" s="61"/>
      <c r="B3831" s="59"/>
    </row>
    <row r="3832" spans="1:2" x14ac:dyDescent="0.25">
      <c r="A3832" s="61"/>
      <c r="B3832" s="59"/>
    </row>
    <row r="3833" spans="1:2" x14ac:dyDescent="0.25">
      <c r="A3833" s="61"/>
      <c r="B3833" s="59"/>
    </row>
    <row r="3834" spans="1:2" x14ac:dyDescent="0.25">
      <c r="A3834" s="61"/>
      <c r="B3834" s="59"/>
    </row>
    <row r="3835" spans="1:2" x14ac:dyDescent="0.25">
      <c r="A3835" s="61"/>
      <c r="B3835" s="59"/>
    </row>
    <row r="3836" spans="1:2" x14ac:dyDescent="0.25">
      <c r="A3836" s="61"/>
      <c r="B3836" s="59"/>
    </row>
    <row r="3837" spans="1:2" x14ac:dyDescent="0.25">
      <c r="A3837" s="61"/>
      <c r="B3837" s="59"/>
    </row>
    <row r="3838" spans="1:2" x14ac:dyDescent="0.25">
      <c r="A3838" s="61"/>
      <c r="B3838" s="59"/>
    </row>
    <row r="3839" spans="1:2" x14ac:dyDescent="0.25">
      <c r="A3839" s="61"/>
      <c r="B3839" s="59"/>
    </row>
    <row r="3840" spans="1:2" x14ac:dyDescent="0.25">
      <c r="A3840" s="61"/>
      <c r="B3840" s="59"/>
    </row>
    <row r="3841" spans="1:2" x14ac:dyDescent="0.25">
      <c r="A3841" s="61"/>
      <c r="B3841" s="59"/>
    </row>
    <row r="3842" spans="1:2" x14ac:dyDescent="0.25">
      <c r="A3842" s="61"/>
      <c r="B3842" s="59"/>
    </row>
    <row r="3843" spans="1:2" x14ac:dyDescent="0.25">
      <c r="A3843" s="61"/>
      <c r="B3843" s="59"/>
    </row>
    <row r="3844" spans="1:2" x14ac:dyDescent="0.25">
      <c r="A3844" s="61"/>
      <c r="B3844" s="59"/>
    </row>
    <row r="3845" spans="1:2" x14ac:dyDescent="0.25">
      <c r="A3845" s="61"/>
      <c r="B3845" s="59"/>
    </row>
    <row r="3846" spans="1:2" x14ac:dyDescent="0.25">
      <c r="A3846" s="61"/>
      <c r="B3846" s="59"/>
    </row>
    <row r="3847" spans="1:2" x14ac:dyDescent="0.25">
      <c r="A3847" s="61"/>
      <c r="B3847" s="59"/>
    </row>
    <row r="3848" spans="1:2" x14ac:dyDescent="0.25">
      <c r="A3848" s="61"/>
      <c r="B3848" s="59"/>
    </row>
    <row r="3849" spans="1:2" x14ac:dyDescent="0.25">
      <c r="A3849" s="61"/>
      <c r="B3849" s="59"/>
    </row>
    <row r="3850" spans="1:2" x14ac:dyDescent="0.25">
      <c r="A3850" s="61"/>
      <c r="B3850" s="59"/>
    </row>
    <row r="3851" spans="1:2" x14ac:dyDescent="0.25">
      <c r="A3851" s="61"/>
      <c r="B3851" s="59"/>
    </row>
    <row r="3852" spans="1:2" x14ac:dyDescent="0.25">
      <c r="A3852" s="61"/>
      <c r="B3852" s="59"/>
    </row>
    <row r="3853" spans="1:2" x14ac:dyDescent="0.25">
      <c r="A3853" s="61"/>
      <c r="B3853" s="59"/>
    </row>
    <row r="3854" spans="1:2" x14ac:dyDescent="0.25">
      <c r="A3854" s="61"/>
      <c r="B3854" s="59"/>
    </row>
    <row r="3855" spans="1:2" x14ac:dyDescent="0.25">
      <c r="A3855" s="61"/>
      <c r="B3855" s="59"/>
    </row>
    <row r="3856" spans="1:2" x14ac:dyDescent="0.25">
      <c r="A3856" s="61"/>
      <c r="B3856" s="59"/>
    </row>
    <row r="3857" spans="1:2" x14ac:dyDescent="0.25">
      <c r="A3857" s="61"/>
      <c r="B3857" s="59"/>
    </row>
    <row r="3858" spans="1:2" x14ac:dyDescent="0.25">
      <c r="A3858" s="61"/>
      <c r="B3858" s="59"/>
    </row>
    <row r="3859" spans="1:2" x14ac:dyDescent="0.25">
      <c r="A3859" s="61"/>
      <c r="B3859" s="59"/>
    </row>
    <row r="3860" spans="1:2" x14ac:dyDescent="0.25">
      <c r="A3860" s="61"/>
      <c r="B3860" s="59"/>
    </row>
    <row r="3861" spans="1:2" x14ac:dyDescent="0.25">
      <c r="A3861" s="61"/>
      <c r="B3861" s="59"/>
    </row>
    <row r="3862" spans="1:2" x14ac:dyDescent="0.25">
      <c r="A3862" s="61"/>
      <c r="B3862" s="59"/>
    </row>
    <row r="3863" spans="1:2" x14ac:dyDescent="0.25">
      <c r="A3863" s="61"/>
      <c r="B3863" s="59"/>
    </row>
    <row r="3864" spans="1:2" x14ac:dyDescent="0.25">
      <c r="A3864" s="61"/>
      <c r="B3864" s="59"/>
    </row>
    <row r="3865" spans="1:2" x14ac:dyDescent="0.25">
      <c r="A3865" s="61"/>
      <c r="B3865" s="59"/>
    </row>
    <row r="3866" spans="1:2" x14ac:dyDescent="0.25">
      <c r="A3866" s="61"/>
      <c r="B3866" s="59"/>
    </row>
    <row r="3867" spans="1:2" x14ac:dyDescent="0.25">
      <c r="A3867" s="61"/>
      <c r="B3867" s="59"/>
    </row>
    <row r="3868" spans="1:2" x14ac:dyDescent="0.25">
      <c r="A3868" s="61"/>
      <c r="B3868" s="59"/>
    </row>
    <row r="3869" spans="1:2" x14ac:dyDescent="0.25">
      <c r="A3869" s="61"/>
      <c r="B3869" s="59"/>
    </row>
    <row r="3870" spans="1:2" x14ac:dyDescent="0.25">
      <c r="A3870" s="61"/>
      <c r="B3870" s="59"/>
    </row>
    <row r="3871" spans="1:2" x14ac:dyDescent="0.25">
      <c r="A3871" s="61"/>
      <c r="B3871" s="59"/>
    </row>
    <row r="3872" spans="1:2" x14ac:dyDescent="0.25">
      <c r="A3872" s="61"/>
      <c r="B3872" s="59"/>
    </row>
    <row r="3873" spans="1:2" x14ac:dyDescent="0.25">
      <c r="A3873" s="61"/>
      <c r="B3873" s="59"/>
    </row>
    <row r="3874" spans="1:2" x14ac:dyDescent="0.25">
      <c r="A3874" s="61"/>
      <c r="B3874" s="59"/>
    </row>
    <row r="3875" spans="1:2" x14ac:dyDescent="0.25">
      <c r="A3875" s="61"/>
      <c r="B3875" s="59"/>
    </row>
    <row r="3876" spans="1:2" x14ac:dyDescent="0.25">
      <c r="A3876" s="61"/>
      <c r="B3876" s="59"/>
    </row>
    <row r="3877" spans="1:2" x14ac:dyDescent="0.25">
      <c r="A3877" s="61"/>
      <c r="B3877" s="59"/>
    </row>
    <row r="3878" spans="1:2" x14ac:dyDescent="0.25">
      <c r="A3878" s="61"/>
      <c r="B3878" s="59"/>
    </row>
    <row r="3879" spans="1:2" x14ac:dyDescent="0.25">
      <c r="A3879" s="61"/>
      <c r="B3879" s="59"/>
    </row>
    <row r="3880" spans="1:2" x14ac:dyDescent="0.25">
      <c r="A3880" s="61"/>
      <c r="B3880" s="59"/>
    </row>
    <row r="3881" spans="1:2" x14ac:dyDescent="0.25">
      <c r="A3881" s="61"/>
      <c r="B3881" s="59"/>
    </row>
    <row r="3882" spans="1:2" x14ac:dyDescent="0.25">
      <c r="A3882" s="61"/>
      <c r="B3882" s="59"/>
    </row>
    <row r="3883" spans="1:2" x14ac:dyDescent="0.25">
      <c r="A3883" s="61"/>
      <c r="B3883" s="59"/>
    </row>
    <row r="3884" spans="1:2" x14ac:dyDescent="0.25">
      <c r="A3884" s="61"/>
      <c r="B3884" s="59"/>
    </row>
    <row r="3885" spans="1:2" x14ac:dyDescent="0.25">
      <c r="A3885" s="61"/>
      <c r="B3885" s="59"/>
    </row>
    <row r="3886" spans="1:2" x14ac:dyDescent="0.25">
      <c r="A3886" s="61"/>
      <c r="B3886" s="59"/>
    </row>
    <row r="3887" spans="1:2" x14ac:dyDescent="0.25">
      <c r="A3887" s="61"/>
      <c r="B3887" s="59"/>
    </row>
    <row r="3888" spans="1:2" x14ac:dyDescent="0.25">
      <c r="A3888" s="61"/>
      <c r="B3888" s="59"/>
    </row>
    <row r="3889" spans="1:2" x14ac:dyDescent="0.25">
      <c r="A3889" s="61"/>
      <c r="B3889" s="59"/>
    </row>
    <row r="3890" spans="1:2" x14ac:dyDescent="0.25">
      <c r="A3890" s="61"/>
      <c r="B3890" s="59"/>
    </row>
    <row r="3891" spans="1:2" x14ac:dyDescent="0.25">
      <c r="A3891" s="61"/>
      <c r="B3891" s="59"/>
    </row>
    <row r="3892" spans="1:2" x14ac:dyDescent="0.25">
      <c r="A3892" s="61"/>
      <c r="B3892" s="59"/>
    </row>
    <row r="3893" spans="1:2" x14ac:dyDescent="0.25">
      <c r="A3893" s="61"/>
      <c r="B3893" s="59"/>
    </row>
    <row r="3894" spans="1:2" x14ac:dyDescent="0.25">
      <c r="A3894" s="61"/>
      <c r="B3894" s="59"/>
    </row>
    <row r="3895" spans="1:2" x14ac:dyDescent="0.25">
      <c r="A3895" s="61"/>
      <c r="B3895" s="59"/>
    </row>
    <row r="3896" spans="1:2" x14ac:dyDescent="0.25">
      <c r="A3896" s="61"/>
      <c r="B3896" s="59"/>
    </row>
    <row r="3897" spans="1:2" x14ac:dyDescent="0.25">
      <c r="A3897" s="61"/>
      <c r="B3897" s="59"/>
    </row>
    <row r="3898" spans="1:2" x14ac:dyDescent="0.25">
      <c r="A3898" s="61"/>
      <c r="B3898" s="59"/>
    </row>
    <row r="3899" spans="1:2" x14ac:dyDescent="0.25">
      <c r="A3899" s="61"/>
      <c r="B3899" s="59"/>
    </row>
    <row r="3900" spans="1:2" x14ac:dyDescent="0.25">
      <c r="A3900" s="61"/>
      <c r="B3900" s="59"/>
    </row>
    <row r="3901" spans="1:2" x14ac:dyDescent="0.25">
      <c r="A3901" s="61"/>
      <c r="B3901" s="59"/>
    </row>
    <row r="3902" spans="1:2" x14ac:dyDescent="0.25">
      <c r="A3902" s="61"/>
      <c r="B3902" s="59"/>
    </row>
    <row r="3903" spans="1:2" x14ac:dyDescent="0.25">
      <c r="A3903" s="61"/>
      <c r="B3903" s="59"/>
    </row>
    <row r="3904" spans="1:2" x14ac:dyDescent="0.25">
      <c r="A3904" s="61"/>
      <c r="B3904" s="59"/>
    </row>
    <row r="3905" spans="1:2" x14ac:dyDescent="0.25">
      <c r="A3905" s="61"/>
      <c r="B3905" s="59"/>
    </row>
    <row r="3906" spans="1:2" x14ac:dyDescent="0.25">
      <c r="A3906" s="61"/>
      <c r="B3906" s="59"/>
    </row>
    <row r="3907" spans="1:2" x14ac:dyDescent="0.25">
      <c r="A3907" s="61"/>
      <c r="B3907" s="59"/>
    </row>
    <row r="3908" spans="1:2" x14ac:dyDescent="0.25">
      <c r="A3908" s="61"/>
      <c r="B3908" s="59"/>
    </row>
    <row r="3909" spans="1:2" x14ac:dyDescent="0.25">
      <c r="A3909" s="61"/>
      <c r="B3909" s="59"/>
    </row>
    <row r="3910" spans="1:2" x14ac:dyDescent="0.25">
      <c r="A3910" s="61"/>
      <c r="B3910" s="59"/>
    </row>
    <row r="3911" spans="1:2" x14ac:dyDescent="0.25">
      <c r="A3911" s="61"/>
      <c r="B3911" s="59"/>
    </row>
    <row r="3912" spans="1:2" x14ac:dyDescent="0.25">
      <c r="A3912" s="61"/>
      <c r="B3912" s="59"/>
    </row>
    <row r="3913" spans="1:2" x14ac:dyDescent="0.25">
      <c r="A3913" s="61"/>
      <c r="B3913" s="59"/>
    </row>
    <row r="3914" spans="1:2" x14ac:dyDescent="0.25">
      <c r="A3914" s="61"/>
      <c r="B3914" s="59"/>
    </row>
    <row r="3915" spans="1:2" x14ac:dyDescent="0.25">
      <c r="A3915" s="61"/>
      <c r="B3915" s="59"/>
    </row>
    <row r="3916" spans="1:2" x14ac:dyDescent="0.25">
      <c r="A3916" s="61"/>
      <c r="B3916" s="59"/>
    </row>
    <row r="3917" spans="1:2" x14ac:dyDescent="0.25">
      <c r="A3917" s="61"/>
      <c r="B3917" s="59"/>
    </row>
    <row r="3918" spans="1:2" x14ac:dyDescent="0.25">
      <c r="A3918" s="61"/>
      <c r="B3918" s="59"/>
    </row>
    <row r="3919" spans="1:2" x14ac:dyDescent="0.25">
      <c r="A3919" s="61"/>
      <c r="B3919" s="59"/>
    </row>
    <row r="3920" spans="1:2" x14ac:dyDescent="0.25">
      <c r="A3920" s="61"/>
      <c r="B3920" s="59"/>
    </row>
    <row r="3921" spans="1:2" x14ac:dyDescent="0.25">
      <c r="A3921" s="61"/>
      <c r="B3921" s="59"/>
    </row>
    <row r="3922" spans="1:2" x14ac:dyDescent="0.25">
      <c r="A3922" s="61"/>
      <c r="B3922" s="59"/>
    </row>
    <row r="3923" spans="1:2" x14ac:dyDescent="0.25">
      <c r="A3923" s="61"/>
      <c r="B3923" s="59"/>
    </row>
    <row r="3924" spans="1:2" x14ac:dyDescent="0.25">
      <c r="A3924" s="61"/>
      <c r="B3924" s="59"/>
    </row>
    <row r="3925" spans="1:2" x14ac:dyDescent="0.25">
      <c r="A3925" s="61"/>
      <c r="B3925" s="59"/>
    </row>
    <row r="3926" spans="1:2" x14ac:dyDescent="0.25">
      <c r="A3926" s="61"/>
      <c r="B3926" s="59"/>
    </row>
    <row r="3927" spans="1:2" x14ac:dyDescent="0.25">
      <c r="A3927" s="61"/>
      <c r="B3927" s="59"/>
    </row>
    <row r="3928" spans="1:2" x14ac:dyDescent="0.25">
      <c r="A3928" s="61"/>
      <c r="B3928" s="59"/>
    </row>
    <row r="3929" spans="1:2" x14ac:dyDescent="0.25">
      <c r="A3929" s="61"/>
      <c r="B3929" s="59"/>
    </row>
    <row r="3930" spans="1:2" x14ac:dyDescent="0.25">
      <c r="A3930" s="61"/>
      <c r="B3930" s="59"/>
    </row>
    <row r="3931" spans="1:2" x14ac:dyDescent="0.25">
      <c r="A3931" s="61"/>
      <c r="B3931" s="59"/>
    </row>
    <row r="3932" spans="1:2" x14ac:dyDescent="0.25">
      <c r="A3932" s="61"/>
      <c r="B3932" s="59"/>
    </row>
    <row r="3933" spans="1:2" x14ac:dyDescent="0.25">
      <c r="A3933" s="61"/>
      <c r="B3933" s="59"/>
    </row>
    <row r="3934" spans="1:2" x14ac:dyDescent="0.25">
      <c r="A3934" s="61"/>
      <c r="B3934" s="59"/>
    </row>
    <row r="3935" spans="1:2" x14ac:dyDescent="0.25">
      <c r="A3935" s="61"/>
      <c r="B3935" s="59"/>
    </row>
    <row r="3936" spans="1:2" x14ac:dyDescent="0.25">
      <c r="A3936" s="61"/>
      <c r="B3936" s="59"/>
    </row>
    <row r="3937" spans="1:2" x14ac:dyDescent="0.25">
      <c r="A3937" s="61"/>
      <c r="B3937" s="59"/>
    </row>
    <row r="3938" spans="1:2" x14ac:dyDescent="0.25">
      <c r="A3938" s="61"/>
      <c r="B3938" s="59"/>
    </row>
    <row r="3939" spans="1:2" x14ac:dyDescent="0.25">
      <c r="A3939" s="61"/>
      <c r="B3939" s="59"/>
    </row>
    <row r="3940" spans="1:2" x14ac:dyDescent="0.25">
      <c r="A3940" s="61"/>
      <c r="B3940" s="59"/>
    </row>
    <row r="3941" spans="1:2" x14ac:dyDescent="0.25">
      <c r="A3941" s="61"/>
      <c r="B3941" s="59"/>
    </row>
    <row r="3942" spans="1:2" x14ac:dyDescent="0.25">
      <c r="A3942" s="61"/>
      <c r="B3942" s="59"/>
    </row>
    <row r="3943" spans="1:2" x14ac:dyDescent="0.25">
      <c r="A3943" s="61"/>
      <c r="B3943" s="59"/>
    </row>
    <row r="3944" spans="1:2" x14ac:dyDescent="0.25">
      <c r="A3944" s="61"/>
      <c r="B3944" s="59"/>
    </row>
    <row r="3945" spans="1:2" x14ac:dyDescent="0.25">
      <c r="A3945" s="61"/>
      <c r="B3945" s="59"/>
    </row>
    <row r="3946" spans="1:2" x14ac:dyDescent="0.25">
      <c r="A3946" s="61"/>
      <c r="B3946" s="59"/>
    </row>
    <row r="3947" spans="1:2" x14ac:dyDescent="0.25">
      <c r="A3947" s="61"/>
      <c r="B3947" s="59"/>
    </row>
    <row r="3948" spans="1:2" x14ac:dyDescent="0.25">
      <c r="A3948" s="61"/>
      <c r="B3948" s="59"/>
    </row>
    <row r="3949" spans="1:2" x14ac:dyDescent="0.25">
      <c r="A3949" s="61"/>
      <c r="B3949" s="59"/>
    </row>
    <row r="3950" spans="1:2" x14ac:dyDescent="0.25">
      <c r="A3950" s="61"/>
      <c r="B3950" s="59"/>
    </row>
    <row r="3951" spans="1:2" x14ac:dyDescent="0.25">
      <c r="A3951" s="61"/>
      <c r="B3951" s="59"/>
    </row>
    <row r="3952" spans="1:2" x14ac:dyDescent="0.25">
      <c r="A3952" s="61"/>
      <c r="B3952" s="59"/>
    </row>
    <row r="3953" spans="1:2" x14ac:dyDescent="0.25">
      <c r="A3953" s="61"/>
      <c r="B3953" s="59"/>
    </row>
    <row r="3954" spans="1:2" x14ac:dyDescent="0.25">
      <c r="A3954" s="61"/>
      <c r="B3954" s="59"/>
    </row>
    <row r="3955" spans="1:2" x14ac:dyDescent="0.25">
      <c r="A3955" s="61"/>
      <c r="B3955" s="59"/>
    </row>
    <row r="3956" spans="1:2" x14ac:dyDescent="0.25">
      <c r="A3956" s="61"/>
      <c r="B3956" s="59"/>
    </row>
    <row r="3957" spans="1:2" x14ac:dyDescent="0.25">
      <c r="A3957" s="61"/>
      <c r="B3957" s="59"/>
    </row>
    <row r="3958" spans="1:2" x14ac:dyDescent="0.25">
      <c r="A3958" s="61"/>
      <c r="B3958" s="59"/>
    </row>
    <row r="3959" spans="1:2" x14ac:dyDescent="0.25">
      <c r="A3959" s="61"/>
      <c r="B3959" s="59"/>
    </row>
    <row r="3960" spans="1:2" x14ac:dyDescent="0.25">
      <c r="A3960" s="61"/>
      <c r="B3960" s="59"/>
    </row>
    <row r="3961" spans="1:2" x14ac:dyDescent="0.25">
      <c r="A3961" s="61"/>
      <c r="B3961" s="59"/>
    </row>
    <row r="3962" spans="1:2" x14ac:dyDescent="0.25">
      <c r="A3962" s="61"/>
      <c r="B3962" s="59"/>
    </row>
    <row r="3963" spans="1:2" x14ac:dyDescent="0.25">
      <c r="A3963" s="61"/>
      <c r="B3963" s="59"/>
    </row>
    <row r="3964" spans="1:2" x14ac:dyDescent="0.25">
      <c r="A3964" s="61"/>
      <c r="B3964" s="59"/>
    </row>
    <row r="3965" spans="1:2" x14ac:dyDescent="0.25">
      <c r="A3965" s="61"/>
      <c r="B3965" s="59"/>
    </row>
    <row r="3966" spans="1:2" x14ac:dyDescent="0.25">
      <c r="A3966" s="61"/>
      <c r="B3966" s="59"/>
    </row>
    <row r="3967" spans="1:2" x14ac:dyDescent="0.25">
      <c r="A3967" s="61"/>
      <c r="B3967" s="59"/>
    </row>
    <row r="3968" spans="1:2" x14ac:dyDescent="0.25">
      <c r="A3968" s="61"/>
      <c r="B3968" s="59"/>
    </row>
    <row r="3969" spans="1:2" x14ac:dyDescent="0.25">
      <c r="A3969" s="61"/>
      <c r="B3969" s="59"/>
    </row>
    <row r="3970" spans="1:2" x14ac:dyDescent="0.25">
      <c r="A3970" s="61"/>
      <c r="B3970" s="59"/>
    </row>
    <row r="3971" spans="1:2" x14ac:dyDescent="0.25">
      <c r="A3971" s="61"/>
      <c r="B3971" s="59"/>
    </row>
    <row r="3972" spans="1:2" x14ac:dyDescent="0.25">
      <c r="A3972" s="61"/>
      <c r="B3972" s="59"/>
    </row>
    <row r="3973" spans="1:2" x14ac:dyDescent="0.25">
      <c r="A3973" s="61"/>
      <c r="B3973" s="59"/>
    </row>
    <row r="3974" spans="1:2" x14ac:dyDescent="0.25">
      <c r="A3974" s="61"/>
      <c r="B3974" s="59"/>
    </row>
    <row r="3975" spans="1:2" x14ac:dyDescent="0.25">
      <c r="A3975" s="61"/>
      <c r="B3975" s="59"/>
    </row>
    <row r="3976" spans="1:2" x14ac:dyDescent="0.25">
      <c r="A3976" s="61"/>
      <c r="B3976" s="59"/>
    </row>
    <row r="3977" spans="1:2" x14ac:dyDescent="0.25">
      <c r="A3977" s="61"/>
      <c r="B3977" s="59"/>
    </row>
    <row r="3978" spans="1:2" x14ac:dyDescent="0.25">
      <c r="A3978" s="61"/>
      <c r="B3978" s="59"/>
    </row>
    <row r="3979" spans="1:2" x14ac:dyDescent="0.25">
      <c r="A3979" s="61"/>
      <c r="B3979" s="59"/>
    </row>
    <row r="3980" spans="1:2" x14ac:dyDescent="0.25">
      <c r="A3980" s="61"/>
      <c r="B3980" s="59"/>
    </row>
    <row r="3981" spans="1:2" x14ac:dyDescent="0.25">
      <c r="A3981" s="61"/>
      <c r="B3981" s="59"/>
    </row>
    <row r="3982" spans="1:2" x14ac:dyDescent="0.25">
      <c r="A3982" s="61"/>
      <c r="B3982" s="59"/>
    </row>
    <row r="3983" spans="1:2" x14ac:dyDescent="0.25">
      <c r="A3983" s="61"/>
      <c r="B3983" s="59"/>
    </row>
    <row r="3984" spans="1:2" x14ac:dyDescent="0.25">
      <c r="A3984" s="61"/>
      <c r="B3984" s="59"/>
    </row>
    <row r="3985" spans="1:2" x14ac:dyDescent="0.25">
      <c r="A3985" s="61"/>
      <c r="B3985" s="59"/>
    </row>
    <row r="3986" spans="1:2" x14ac:dyDescent="0.25">
      <c r="A3986" s="61"/>
      <c r="B3986" s="59"/>
    </row>
    <row r="3987" spans="1:2" x14ac:dyDescent="0.25">
      <c r="A3987" s="61"/>
      <c r="B3987" s="59"/>
    </row>
    <row r="3988" spans="1:2" x14ac:dyDescent="0.25">
      <c r="A3988" s="61"/>
      <c r="B3988" s="59"/>
    </row>
    <row r="3989" spans="1:2" x14ac:dyDescent="0.25">
      <c r="A3989" s="61"/>
      <c r="B3989" s="59"/>
    </row>
    <row r="3990" spans="1:2" x14ac:dyDescent="0.25">
      <c r="A3990" s="61"/>
      <c r="B3990" s="59"/>
    </row>
    <row r="3991" spans="1:2" x14ac:dyDescent="0.25">
      <c r="A3991" s="61"/>
      <c r="B3991" s="59"/>
    </row>
    <row r="3992" spans="1:2" x14ac:dyDescent="0.25">
      <c r="A3992" s="61"/>
      <c r="B3992" s="59"/>
    </row>
    <row r="3993" spans="1:2" x14ac:dyDescent="0.25">
      <c r="A3993" s="61"/>
      <c r="B3993" s="59"/>
    </row>
    <row r="3994" spans="1:2" x14ac:dyDescent="0.25">
      <c r="A3994" s="61"/>
      <c r="B3994" s="59"/>
    </row>
    <row r="3995" spans="1:2" x14ac:dyDescent="0.25">
      <c r="A3995" s="61"/>
      <c r="B3995" s="59"/>
    </row>
    <row r="3996" spans="1:2" x14ac:dyDescent="0.25">
      <c r="A3996" s="61"/>
      <c r="B3996" s="59"/>
    </row>
    <row r="3997" spans="1:2" x14ac:dyDescent="0.25">
      <c r="A3997" s="61"/>
      <c r="B3997" s="59"/>
    </row>
    <row r="3998" spans="1:2" x14ac:dyDescent="0.25">
      <c r="A3998" s="61"/>
      <c r="B3998" s="59"/>
    </row>
    <row r="3999" spans="1:2" x14ac:dyDescent="0.25">
      <c r="A3999" s="61"/>
      <c r="B3999" s="59"/>
    </row>
    <row r="4000" spans="1:2" x14ac:dyDescent="0.25">
      <c r="A4000" s="61"/>
      <c r="B4000" s="59"/>
    </row>
    <row r="4001" spans="1:2" x14ac:dyDescent="0.25">
      <c r="A4001" s="61"/>
      <c r="B4001" s="59"/>
    </row>
    <row r="4002" spans="1:2" x14ac:dyDescent="0.25">
      <c r="A4002" s="61"/>
      <c r="B4002" s="59"/>
    </row>
    <row r="4003" spans="1:2" x14ac:dyDescent="0.25">
      <c r="A4003" s="61"/>
      <c r="B4003" s="59"/>
    </row>
    <row r="4004" spans="1:2" x14ac:dyDescent="0.25">
      <c r="A4004" s="61"/>
      <c r="B4004" s="59"/>
    </row>
    <row r="4005" spans="1:2" x14ac:dyDescent="0.25">
      <c r="A4005" s="61"/>
      <c r="B4005" s="59"/>
    </row>
    <row r="4006" spans="1:2" x14ac:dyDescent="0.25">
      <c r="A4006" s="61"/>
      <c r="B4006" s="59"/>
    </row>
    <row r="4007" spans="1:2" x14ac:dyDescent="0.25">
      <c r="A4007" s="61"/>
      <c r="B4007" s="59"/>
    </row>
    <row r="4008" spans="1:2" x14ac:dyDescent="0.25">
      <c r="A4008" s="61"/>
      <c r="B4008" s="59"/>
    </row>
    <row r="4009" spans="1:2" x14ac:dyDescent="0.25">
      <c r="A4009" s="61"/>
      <c r="B4009" s="59"/>
    </row>
    <row r="4010" spans="1:2" x14ac:dyDescent="0.25">
      <c r="A4010" s="61"/>
      <c r="B4010" s="59"/>
    </row>
    <row r="4011" spans="1:2" x14ac:dyDescent="0.25">
      <c r="A4011" s="61"/>
      <c r="B4011" s="59"/>
    </row>
    <row r="4012" spans="1:2" x14ac:dyDescent="0.25">
      <c r="A4012" s="61"/>
      <c r="B4012" s="59"/>
    </row>
    <row r="4013" spans="1:2" x14ac:dyDescent="0.25">
      <c r="A4013" s="61"/>
      <c r="B4013" s="59"/>
    </row>
    <row r="4014" spans="1:2" x14ac:dyDescent="0.25">
      <c r="A4014" s="61"/>
      <c r="B4014" s="59"/>
    </row>
    <row r="4015" spans="1:2" x14ac:dyDescent="0.25">
      <c r="A4015" s="61"/>
      <c r="B4015" s="59"/>
    </row>
    <row r="4016" spans="1:2" x14ac:dyDescent="0.25">
      <c r="A4016" s="61"/>
      <c r="B4016" s="59"/>
    </row>
    <row r="4017" spans="1:2" x14ac:dyDescent="0.25">
      <c r="A4017" s="61"/>
      <c r="B4017" s="59"/>
    </row>
    <row r="4018" spans="1:2" x14ac:dyDescent="0.25">
      <c r="A4018" s="61"/>
      <c r="B4018" s="59"/>
    </row>
    <row r="4019" spans="1:2" x14ac:dyDescent="0.25">
      <c r="A4019" s="61"/>
      <c r="B4019" s="59"/>
    </row>
    <row r="4020" spans="1:2" x14ac:dyDescent="0.25">
      <c r="A4020" s="61"/>
      <c r="B4020" s="59"/>
    </row>
    <row r="4021" spans="1:2" x14ac:dyDescent="0.25">
      <c r="A4021" s="61"/>
      <c r="B4021" s="59"/>
    </row>
    <row r="4022" spans="1:2" x14ac:dyDescent="0.25">
      <c r="A4022" s="61"/>
      <c r="B4022" s="59"/>
    </row>
    <row r="4023" spans="1:2" x14ac:dyDescent="0.25">
      <c r="A4023" s="61"/>
      <c r="B4023" s="59"/>
    </row>
    <row r="4024" spans="1:2" x14ac:dyDescent="0.25">
      <c r="A4024" s="61"/>
      <c r="B4024" s="59"/>
    </row>
    <row r="4025" spans="1:2" x14ac:dyDescent="0.25">
      <c r="A4025" s="61"/>
      <c r="B4025" s="59"/>
    </row>
    <row r="4026" spans="1:2" x14ac:dyDescent="0.25">
      <c r="A4026" s="61"/>
      <c r="B4026" s="59"/>
    </row>
    <row r="4027" spans="1:2" x14ac:dyDescent="0.25">
      <c r="A4027" s="61"/>
      <c r="B4027" s="59"/>
    </row>
    <row r="4028" spans="1:2" x14ac:dyDescent="0.25">
      <c r="A4028" s="61"/>
      <c r="B4028" s="59"/>
    </row>
    <row r="4029" spans="1:2" x14ac:dyDescent="0.25">
      <c r="A4029" s="61"/>
      <c r="B4029" s="59"/>
    </row>
    <row r="4030" spans="1:2" x14ac:dyDescent="0.25">
      <c r="A4030" s="61"/>
      <c r="B4030" s="59"/>
    </row>
    <row r="4031" spans="1:2" x14ac:dyDescent="0.25">
      <c r="A4031" s="61"/>
      <c r="B4031" s="59"/>
    </row>
    <row r="4032" spans="1:2" x14ac:dyDescent="0.25">
      <c r="A4032" s="61"/>
      <c r="B4032" s="59"/>
    </row>
    <row r="4033" spans="1:2" x14ac:dyDescent="0.25">
      <c r="A4033" s="61"/>
      <c r="B4033" s="59"/>
    </row>
    <row r="4034" spans="1:2" x14ac:dyDescent="0.25">
      <c r="A4034" s="61"/>
      <c r="B4034" s="59"/>
    </row>
    <row r="4035" spans="1:2" x14ac:dyDescent="0.25">
      <c r="A4035" s="61"/>
      <c r="B4035" s="59"/>
    </row>
    <row r="4036" spans="1:2" x14ac:dyDescent="0.25">
      <c r="A4036" s="61"/>
      <c r="B4036" s="59"/>
    </row>
    <row r="4037" spans="1:2" x14ac:dyDescent="0.25">
      <c r="A4037" s="61"/>
      <c r="B4037" s="59"/>
    </row>
    <row r="4038" spans="1:2" x14ac:dyDescent="0.25">
      <c r="A4038" s="61"/>
      <c r="B4038" s="59"/>
    </row>
    <row r="4039" spans="1:2" x14ac:dyDescent="0.25">
      <c r="A4039" s="61"/>
      <c r="B4039" s="59"/>
    </row>
    <row r="4040" spans="1:2" x14ac:dyDescent="0.25">
      <c r="A4040" s="61"/>
      <c r="B4040" s="59"/>
    </row>
    <row r="4041" spans="1:2" x14ac:dyDescent="0.25">
      <c r="A4041" s="61"/>
      <c r="B4041" s="59"/>
    </row>
    <row r="4042" spans="1:2" x14ac:dyDescent="0.25">
      <c r="A4042" s="61"/>
      <c r="B4042" s="59"/>
    </row>
    <row r="4043" spans="1:2" x14ac:dyDescent="0.25">
      <c r="A4043" s="61"/>
      <c r="B4043" s="59"/>
    </row>
    <row r="4044" spans="1:2" x14ac:dyDescent="0.25">
      <c r="A4044" s="61"/>
      <c r="B4044" s="59"/>
    </row>
    <row r="4045" spans="1:2" x14ac:dyDescent="0.25">
      <c r="A4045" s="61"/>
      <c r="B4045" s="59"/>
    </row>
    <row r="4046" spans="1:2" x14ac:dyDescent="0.25">
      <c r="A4046" s="61"/>
      <c r="B4046" s="59"/>
    </row>
    <row r="4047" spans="1:2" x14ac:dyDescent="0.25">
      <c r="A4047" s="61"/>
      <c r="B4047" s="59"/>
    </row>
    <row r="4048" spans="1:2" x14ac:dyDescent="0.25">
      <c r="A4048" s="61"/>
      <c r="B4048" s="59"/>
    </row>
    <row r="4049" spans="1:2" x14ac:dyDescent="0.25">
      <c r="A4049" s="61"/>
      <c r="B4049" s="59"/>
    </row>
    <row r="4050" spans="1:2" x14ac:dyDescent="0.25">
      <c r="A4050" s="61"/>
      <c r="B4050" s="59"/>
    </row>
    <row r="4051" spans="1:2" x14ac:dyDescent="0.25">
      <c r="A4051" s="61"/>
      <c r="B4051" s="59"/>
    </row>
    <row r="4052" spans="1:2" x14ac:dyDescent="0.25">
      <c r="A4052" s="61"/>
      <c r="B4052" s="59"/>
    </row>
    <row r="4053" spans="1:2" x14ac:dyDescent="0.25">
      <c r="A4053" s="61"/>
      <c r="B4053" s="59"/>
    </row>
    <row r="4054" spans="1:2" x14ac:dyDescent="0.25">
      <c r="A4054" s="61"/>
      <c r="B4054" s="59"/>
    </row>
    <row r="4055" spans="1:2" x14ac:dyDescent="0.25">
      <c r="A4055" s="61"/>
      <c r="B4055" s="59"/>
    </row>
    <row r="4056" spans="1:2" x14ac:dyDescent="0.25">
      <c r="A4056" s="61"/>
      <c r="B4056" s="59"/>
    </row>
    <row r="4057" spans="1:2" x14ac:dyDescent="0.25">
      <c r="A4057" s="61"/>
      <c r="B4057" s="59"/>
    </row>
    <row r="4058" spans="1:2" x14ac:dyDescent="0.25">
      <c r="A4058" s="61"/>
      <c r="B4058" s="59"/>
    </row>
    <row r="4059" spans="1:2" x14ac:dyDescent="0.25">
      <c r="A4059" s="61"/>
      <c r="B4059" s="59"/>
    </row>
    <row r="4060" spans="1:2" x14ac:dyDescent="0.25">
      <c r="A4060" s="61"/>
      <c r="B4060" s="59"/>
    </row>
    <row r="4061" spans="1:2" x14ac:dyDescent="0.25">
      <c r="A4061" s="61"/>
      <c r="B4061" s="59"/>
    </row>
    <row r="4062" spans="1:2" x14ac:dyDescent="0.25">
      <c r="A4062" s="61"/>
      <c r="B4062" s="59"/>
    </row>
    <row r="4063" spans="1:2" x14ac:dyDescent="0.25">
      <c r="A4063" s="61"/>
      <c r="B4063" s="59"/>
    </row>
    <row r="4064" spans="1:2" x14ac:dyDescent="0.25">
      <c r="A4064" s="61"/>
      <c r="B4064" s="59"/>
    </row>
    <row r="4065" spans="1:2" x14ac:dyDescent="0.25">
      <c r="A4065" s="61"/>
      <c r="B4065" s="59"/>
    </row>
    <row r="4066" spans="1:2" x14ac:dyDescent="0.25">
      <c r="A4066" s="61"/>
      <c r="B4066" s="59"/>
    </row>
    <row r="4067" spans="1:2" x14ac:dyDescent="0.25">
      <c r="A4067" s="61"/>
      <c r="B4067" s="59"/>
    </row>
    <row r="4068" spans="1:2" x14ac:dyDescent="0.25">
      <c r="A4068" s="61"/>
      <c r="B4068" s="59"/>
    </row>
    <row r="4069" spans="1:2" x14ac:dyDescent="0.25">
      <c r="A4069" s="61"/>
      <c r="B4069" s="59"/>
    </row>
    <row r="4070" spans="1:2" x14ac:dyDescent="0.25">
      <c r="A4070" s="61"/>
      <c r="B4070" s="59"/>
    </row>
    <row r="4071" spans="1:2" x14ac:dyDescent="0.25">
      <c r="A4071" s="61"/>
      <c r="B4071" s="59"/>
    </row>
    <row r="4072" spans="1:2" x14ac:dyDescent="0.25">
      <c r="A4072" s="61"/>
      <c r="B4072" s="59"/>
    </row>
    <row r="4073" spans="1:2" x14ac:dyDescent="0.25">
      <c r="A4073" s="61"/>
      <c r="B4073" s="59"/>
    </row>
    <row r="4074" spans="1:2" x14ac:dyDescent="0.25">
      <c r="A4074" s="61"/>
      <c r="B4074" s="59"/>
    </row>
    <row r="4075" spans="1:2" x14ac:dyDescent="0.25">
      <c r="A4075" s="61"/>
      <c r="B4075" s="59"/>
    </row>
    <row r="4076" spans="1:2" x14ac:dyDescent="0.25">
      <c r="A4076" s="61"/>
      <c r="B4076" s="59"/>
    </row>
    <row r="4077" spans="1:2" x14ac:dyDescent="0.25">
      <c r="A4077" s="61"/>
      <c r="B4077" s="59"/>
    </row>
    <row r="4078" spans="1:2" x14ac:dyDescent="0.25">
      <c r="A4078" s="61"/>
      <c r="B4078" s="59"/>
    </row>
    <row r="4079" spans="1:2" x14ac:dyDescent="0.25">
      <c r="A4079" s="61"/>
      <c r="B4079" s="59"/>
    </row>
    <row r="4080" spans="1:2" x14ac:dyDescent="0.25">
      <c r="A4080" s="61"/>
      <c r="B4080" s="59"/>
    </row>
    <row r="4081" spans="1:2" x14ac:dyDescent="0.25">
      <c r="A4081" s="61"/>
      <c r="B4081" s="59"/>
    </row>
    <row r="4082" spans="1:2" x14ac:dyDescent="0.25">
      <c r="A4082" s="61"/>
      <c r="B4082" s="59"/>
    </row>
    <row r="4083" spans="1:2" x14ac:dyDescent="0.25">
      <c r="A4083" s="61"/>
      <c r="B4083" s="59"/>
    </row>
    <row r="4084" spans="1:2" x14ac:dyDescent="0.25">
      <c r="A4084" s="61"/>
      <c r="B4084" s="59"/>
    </row>
    <row r="4085" spans="1:2" x14ac:dyDescent="0.25">
      <c r="A4085" s="61"/>
      <c r="B4085" s="59"/>
    </row>
    <row r="4086" spans="1:2" x14ac:dyDescent="0.25">
      <c r="A4086" s="61"/>
      <c r="B4086" s="59"/>
    </row>
    <row r="4087" spans="1:2" x14ac:dyDescent="0.25">
      <c r="A4087" s="61"/>
      <c r="B4087" s="59"/>
    </row>
    <row r="4088" spans="1:2" x14ac:dyDescent="0.25">
      <c r="A4088" s="61"/>
      <c r="B4088" s="59"/>
    </row>
    <row r="4089" spans="1:2" x14ac:dyDescent="0.25">
      <c r="A4089" s="61"/>
      <c r="B4089" s="59"/>
    </row>
    <row r="4090" spans="1:2" x14ac:dyDescent="0.25">
      <c r="A4090" s="61"/>
      <c r="B4090" s="59"/>
    </row>
    <row r="4091" spans="1:2" x14ac:dyDescent="0.25">
      <c r="A4091" s="61"/>
      <c r="B4091" s="59"/>
    </row>
    <row r="4092" spans="1:2" x14ac:dyDescent="0.25">
      <c r="A4092" s="61"/>
      <c r="B4092" s="59"/>
    </row>
    <row r="4093" spans="1:2" x14ac:dyDescent="0.25">
      <c r="A4093" s="61"/>
      <c r="B4093" s="59"/>
    </row>
    <row r="4094" spans="1:2" x14ac:dyDescent="0.25">
      <c r="A4094" s="61"/>
      <c r="B4094" s="59"/>
    </row>
    <row r="4095" spans="1:2" x14ac:dyDescent="0.25">
      <c r="A4095" s="61"/>
      <c r="B4095" s="59"/>
    </row>
    <row r="4096" spans="1:2" x14ac:dyDescent="0.25">
      <c r="A4096" s="61"/>
      <c r="B4096" s="59"/>
    </row>
    <row r="4097" spans="1:2" x14ac:dyDescent="0.25">
      <c r="A4097" s="61"/>
      <c r="B4097" s="59"/>
    </row>
    <row r="4098" spans="1:2" x14ac:dyDescent="0.25">
      <c r="A4098" s="61"/>
      <c r="B4098" s="59"/>
    </row>
    <row r="4099" spans="1:2" x14ac:dyDescent="0.25">
      <c r="A4099" s="61"/>
      <c r="B4099" s="59"/>
    </row>
    <row r="4100" spans="1:2" x14ac:dyDescent="0.25">
      <c r="A4100" s="61"/>
      <c r="B4100" s="59"/>
    </row>
    <row r="4101" spans="1:2" x14ac:dyDescent="0.25">
      <c r="A4101" s="61"/>
      <c r="B4101" s="59"/>
    </row>
    <row r="4102" spans="1:2" x14ac:dyDescent="0.25">
      <c r="A4102" s="61"/>
      <c r="B4102" s="59"/>
    </row>
    <row r="4103" spans="1:2" x14ac:dyDescent="0.25">
      <c r="A4103" s="61"/>
      <c r="B4103" s="59"/>
    </row>
    <row r="4104" spans="1:2" x14ac:dyDescent="0.25">
      <c r="A4104" s="61"/>
      <c r="B4104" s="59"/>
    </row>
    <row r="4105" spans="1:2" x14ac:dyDescent="0.25">
      <c r="A4105" s="61"/>
      <c r="B4105" s="59"/>
    </row>
    <row r="4106" spans="1:2" x14ac:dyDescent="0.25">
      <c r="A4106" s="61"/>
      <c r="B4106" s="59"/>
    </row>
    <row r="4107" spans="1:2" x14ac:dyDescent="0.25">
      <c r="A4107" s="61"/>
      <c r="B4107" s="59"/>
    </row>
    <row r="4108" spans="1:2" x14ac:dyDescent="0.25">
      <c r="A4108" s="61"/>
      <c r="B4108" s="59"/>
    </row>
    <row r="4109" spans="1:2" x14ac:dyDescent="0.25">
      <c r="A4109" s="61"/>
      <c r="B4109" s="59"/>
    </row>
    <row r="4110" spans="1:2" x14ac:dyDescent="0.25">
      <c r="A4110" s="61"/>
      <c r="B4110" s="59"/>
    </row>
    <row r="4111" spans="1:2" x14ac:dyDescent="0.25">
      <c r="A4111" s="61"/>
      <c r="B4111" s="59"/>
    </row>
    <row r="4112" spans="1:2" x14ac:dyDescent="0.25">
      <c r="A4112" s="61"/>
      <c r="B4112" s="59"/>
    </row>
    <row r="4113" spans="1:2" x14ac:dyDescent="0.25">
      <c r="A4113" s="61"/>
      <c r="B4113" s="59"/>
    </row>
    <row r="4114" spans="1:2" x14ac:dyDescent="0.25">
      <c r="A4114" s="61"/>
      <c r="B4114" s="59"/>
    </row>
    <row r="4115" spans="1:2" x14ac:dyDescent="0.25">
      <c r="A4115" s="61"/>
      <c r="B4115" s="59"/>
    </row>
    <row r="4116" spans="1:2" x14ac:dyDescent="0.25">
      <c r="A4116" s="61"/>
      <c r="B4116" s="59"/>
    </row>
    <row r="4117" spans="1:2" x14ac:dyDescent="0.25">
      <c r="A4117" s="61"/>
      <c r="B4117" s="59"/>
    </row>
    <row r="4118" spans="1:2" x14ac:dyDescent="0.25">
      <c r="A4118" s="61"/>
      <c r="B4118" s="59"/>
    </row>
    <row r="4119" spans="1:2" x14ac:dyDescent="0.25">
      <c r="A4119" s="61"/>
      <c r="B4119" s="59"/>
    </row>
    <row r="4120" spans="1:2" x14ac:dyDescent="0.25">
      <c r="A4120" s="61"/>
      <c r="B4120" s="59"/>
    </row>
    <row r="4121" spans="1:2" x14ac:dyDescent="0.25">
      <c r="A4121" s="61"/>
      <c r="B4121" s="59"/>
    </row>
    <row r="4122" spans="1:2" x14ac:dyDescent="0.25">
      <c r="A4122" s="61"/>
      <c r="B4122" s="59"/>
    </row>
    <row r="4123" spans="1:2" x14ac:dyDescent="0.25">
      <c r="A4123" s="61"/>
      <c r="B4123" s="59"/>
    </row>
    <row r="4124" spans="1:2" x14ac:dyDescent="0.25">
      <c r="A4124" s="61"/>
      <c r="B4124" s="59"/>
    </row>
    <row r="4125" spans="1:2" x14ac:dyDescent="0.25">
      <c r="A4125" s="61"/>
      <c r="B4125" s="59"/>
    </row>
    <row r="4126" spans="1:2" x14ac:dyDescent="0.25">
      <c r="A4126" s="61"/>
      <c r="B4126" s="59"/>
    </row>
    <row r="4127" spans="1:2" x14ac:dyDescent="0.25">
      <c r="A4127" s="61"/>
      <c r="B4127" s="59"/>
    </row>
    <row r="4128" spans="1:2" x14ac:dyDescent="0.25">
      <c r="A4128" s="61"/>
      <c r="B4128" s="59"/>
    </row>
    <row r="4129" spans="1:2" x14ac:dyDescent="0.25">
      <c r="A4129" s="61"/>
      <c r="B4129" s="59"/>
    </row>
    <row r="4130" spans="1:2" x14ac:dyDescent="0.25">
      <c r="A4130" s="61"/>
      <c r="B4130" s="59"/>
    </row>
    <row r="4131" spans="1:2" x14ac:dyDescent="0.25">
      <c r="A4131" s="61"/>
      <c r="B4131" s="59"/>
    </row>
    <row r="4132" spans="1:2" x14ac:dyDescent="0.25">
      <c r="A4132" s="61"/>
      <c r="B4132" s="59"/>
    </row>
    <row r="4133" spans="1:2" x14ac:dyDescent="0.25">
      <c r="A4133" s="61"/>
      <c r="B4133" s="59"/>
    </row>
    <row r="4134" spans="1:2" x14ac:dyDescent="0.25">
      <c r="A4134" s="61"/>
      <c r="B4134" s="59"/>
    </row>
    <row r="4135" spans="1:2" x14ac:dyDescent="0.25">
      <c r="A4135" s="61"/>
      <c r="B4135" s="59"/>
    </row>
    <row r="4136" spans="1:2" x14ac:dyDescent="0.25">
      <c r="A4136" s="61"/>
      <c r="B4136" s="59"/>
    </row>
    <row r="4137" spans="1:2" x14ac:dyDescent="0.25">
      <c r="A4137" s="61"/>
      <c r="B4137" s="59"/>
    </row>
    <row r="4138" spans="1:2" x14ac:dyDescent="0.25">
      <c r="A4138" s="61"/>
      <c r="B4138" s="59"/>
    </row>
    <row r="4139" spans="1:2" x14ac:dyDescent="0.25">
      <c r="A4139" s="61"/>
      <c r="B4139" s="59"/>
    </row>
    <row r="4140" spans="1:2" x14ac:dyDescent="0.25">
      <c r="A4140" s="61"/>
      <c r="B4140" s="59"/>
    </row>
    <row r="4141" spans="1:2" x14ac:dyDescent="0.25">
      <c r="A4141" s="61"/>
      <c r="B4141" s="59"/>
    </row>
    <row r="4142" spans="1:2" x14ac:dyDescent="0.25">
      <c r="A4142" s="61"/>
      <c r="B4142" s="59"/>
    </row>
    <row r="4143" spans="1:2" x14ac:dyDescent="0.25">
      <c r="A4143" s="61"/>
      <c r="B4143" s="59"/>
    </row>
    <row r="4144" spans="1:2" x14ac:dyDescent="0.25">
      <c r="A4144" s="61"/>
      <c r="B4144" s="59"/>
    </row>
    <row r="4145" spans="1:2" x14ac:dyDescent="0.25">
      <c r="A4145" s="61"/>
      <c r="B4145" s="59"/>
    </row>
    <row r="4146" spans="1:2" x14ac:dyDescent="0.25">
      <c r="A4146" s="61"/>
      <c r="B4146" s="59"/>
    </row>
    <row r="4147" spans="1:2" x14ac:dyDescent="0.25">
      <c r="A4147" s="61"/>
      <c r="B4147" s="59"/>
    </row>
    <row r="4148" spans="1:2" x14ac:dyDescent="0.25">
      <c r="A4148" s="61"/>
      <c r="B4148" s="59"/>
    </row>
    <row r="4149" spans="1:2" x14ac:dyDescent="0.25">
      <c r="A4149" s="61"/>
      <c r="B4149" s="59"/>
    </row>
    <row r="4150" spans="1:2" x14ac:dyDescent="0.25">
      <c r="A4150" s="61"/>
      <c r="B4150" s="59"/>
    </row>
    <row r="4151" spans="1:2" x14ac:dyDescent="0.25">
      <c r="A4151" s="61"/>
      <c r="B4151" s="59"/>
    </row>
    <row r="4152" spans="1:2" x14ac:dyDescent="0.25">
      <c r="A4152" s="61"/>
      <c r="B4152" s="59"/>
    </row>
    <row r="4153" spans="1:2" x14ac:dyDescent="0.25">
      <c r="A4153" s="61"/>
      <c r="B4153" s="59"/>
    </row>
    <row r="4154" spans="1:2" x14ac:dyDescent="0.25">
      <c r="A4154" s="61"/>
      <c r="B4154" s="59"/>
    </row>
    <row r="4155" spans="1:2" x14ac:dyDescent="0.25">
      <c r="A4155" s="61"/>
      <c r="B4155" s="59"/>
    </row>
    <row r="4156" spans="1:2" x14ac:dyDescent="0.25">
      <c r="A4156" s="61"/>
      <c r="B4156" s="59"/>
    </row>
    <row r="4157" spans="1:2" x14ac:dyDescent="0.25">
      <c r="A4157" s="61"/>
      <c r="B4157" s="59"/>
    </row>
    <row r="4158" spans="1:2" x14ac:dyDescent="0.25">
      <c r="A4158" s="61"/>
      <c r="B4158" s="59"/>
    </row>
    <row r="4159" spans="1:2" x14ac:dyDescent="0.25">
      <c r="A4159" s="61"/>
      <c r="B4159" s="59"/>
    </row>
    <row r="4160" spans="1:2" x14ac:dyDescent="0.25">
      <c r="A4160" s="61"/>
      <c r="B4160" s="59"/>
    </row>
    <row r="4161" spans="1:2" x14ac:dyDescent="0.25">
      <c r="A4161" s="61"/>
      <c r="B4161" s="59"/>
    </row>
    <row r="4162" spans="1:2" x14ac:dyDescent="0.25">
      <c r="A4162" s="61"/>
      <c r="B4162" s="59"/>
    </row>
    <row r="4163" spans="1:2" x14ac:dyDescent="0.25">
      <c r="A4163" s="61"/>
      <c r="B4163" s="59"/>
    </row>
    <row r="4164" spans="1:2" x14ac:dyDescent="0.25">
      <c r="A4164" s="61"/>
      <c r="B4164" s="59"/>
    </row>
    <row r="4165" spans="1:2" x14ac:dyDescent="0.25">
      <c r="A4165" s="61"/>
      <c r="B4165" s="59"/>
    </row>
    <row r="4166" spans="1:2" x14ac:dyDescent="0.25">
      <c r="A4166" s="61"/>
      <c r="B4166" s="59"/>
    </row>
    <row r="4167" spans="1:2" x14ac:dyDescent="0.25">
      <c r="A4167" s="61"/>
      <c r="B4167" s="59"/>
    </row>
    <row r="4168" spans="1:2" x14ac:dyDescent="0.25">
      <c r="A4168" s="61"/>
      <c r="B4168" s="59"/>
    </row>
    <row r="4169" spans="1:2" x14ac:dyDescent="0.25">
      <c r="A4169" s="61"/>
      <c r="B4169" s="59"/>
    </row>
    <row r="4170" spans="1:2" x14ac:dyDescent="0.25">
      <c r="A4170" s="61"/>
      <c r="B4170" s="59"/>
    </row>
    <row r="4171" spans="1:2" x14ac:dyDescent="0.25">
      <c r="A4171" s="61"/>
      <c r="B4171" s="59"/>
    </row>
    <row r="4172" spans="1:2" x14ac:dyDescent="0.25">
      <c r="A4172" s="61"/>
      <c r="B4172" s="59"/>
    </row>
    <row r="4173" spans="1:2" x14ac:dyDescent="0.25">
      <c r="A4173" s="61"/>
      <c r="B4173" s="59"/>
    </row>
    <row r="4174" spans="1:2" x14ac:dyDescent="0.25">
      <c r="A4174" s="61"/>
      <c r="B4174" s="59"/>
    </row>
    <row r="4175" spans="1:2" x14ac:dyDescent="0.25">
      <c r="A4175" s="61"/>
      <c r="B4175" s="59"/>
    </row>
    <row r="4176" spans="1:2" x14ac:dyDescent="0.25">
      <c r="A4176" s="61"/>
      <c r="B4176" s="59"/>
    </row>
    <row r="4177" spans="1:2" x14ac:dyDescent="0.25">
      <c r="A4177" s="61"/>
      <c r="B4177" s="59"/>
    </row>
    <row r="4178" spans="1:2" x14ac:dyDescent="0.25">
      <c r="A4178" s="61"/>
      <c r="B4178" s="59"/>
    </row>
    <row r="4179" spans="1:2" x14ac:dyDescent="0.25">
      <c r="A4179" s="61"/>
      <c r="B4179" s="59"/>
    </row>
    <row r="4180" spans="1:2" x14ac:dyDescent="0.25">
      <c r="A4180" s="61"/>
      <c r="B4180" s="59"/>
    </row>
    <row r="4181" spans="1:2" x14ac:dyDescent="0.25">
      <c r="A4181" s="61"/>
      <c r="B4181" s="59"/>
    </row>
    <row r="4182" spans="1:2" x14ac:dyDescent="0.25">
      <c r="A4182" s="61"/>
      <c r="B4182" s="59"/>
    </row>
    <row r="4183" spans="1:2" x14ac:dyDescent="0.25">
      <c r="A4183" s="61"/>
      <c r="B4183" s="59"/>
    </row>
    <row r="4184" spans="1:2" x14ac:dyDescent="0.25">
      <c r="A4184" s="61"/>
      <c r="B4184" s="59"/>
    </row>
    <row r="4185" spans="1:2" x14ac:dyDescent="0.25">
      <c r="A4185" s="61"/>
      <c r="B4185" s="59"/>
    </row>
    <row r="4186" spans="1:2" x14ac:dyDescent="0.25">
      <c r="A4186" s="61"/>
      <c r="B4186" s="59"/>
    </row>
    <row r="4187" spans="1:2" x14ac:dyDescent="0.25">
      <c r="A4187" s="61"/>
      <c r="B4187" s="59"/>
    </row>
    <row r="4188" spans="1:2" x14ac:dyDescent="0.25">
      <c r="A4188" s="61"/>
      <c r="B4188" s="59"/>
    </row>
    <row r="4189" spans="1:2" x14ac:dyDescent="0.25">
      <c r="A4189" s="61"/>
      <c r="B4189" s="59"/>
    </row>
    <row r="4190" spans="1:2" x14ac:dyDescent="0.25">
      <c r="A4190" s="61"/>
      <c r="B4190" s="59"/>
    </row>
    <row r="4191" spans="1:2" x14ac:dyDescent="0.25">
      <c r="A4191" s="61"/>
      <c r="B4191" s="59"/>
    </row>
    <row r="4192" spans="1:2" x14ac:dyDescent="0.25">
      <c r="A4192" s="61"/>
      <c r="B4192" s="59"/>
    </row>
    <row r="4193" spans="1:2" x14ac:dyDescent="0.25">
      <c r="A4193" s="61"/>
      <c r="B4193" s="59"/>
    </row>
    <row r="4194" spans="1:2" x14ac:dyDescent="0.25">
      <c r="A4194" s="61"/>
      <c r="B4194" s="59"/>
    </row>
    <row r="4195" spans="1:2" x14ac:dyDescent="0.25">
      <c r="A4195" s="61"/>
      <c r="B4195" s="59"/>
    </row>
    <row r="4196" spans="1:2" x14ac:dyDescent="0.25">
      <c r="A4196" s="61"/>
      <c r="B4196" s="59"/>
    </row>
    <row r="4197" spans="1:2" x14ac:dyDescent="0.25">
      <c r="A4197" s="61"/>
      <c r="B4197" s="59"/>
    </row>
    <row r="4198" spans="1:2" x14ac:dyDescent="0.25">
      <c r="A4198" s="61"/>
      <c r="B4198" s="59"/>
    </row>
    <row r="4199" spans="1:2" x14ac:dyDescent="0.25">
      <c r="A4199" s="61"/>
      <c r="B4199" s="59"/>
    </row>
    <row r="4200" spans="1:2" x14ac:dyDescent="0.25">
      <c r="A4200" s="61"/>
      <c r="B4200" s="59"/>
    </row>
    <row r="4201" spans="1:2" x14ac:dyDescent="0.25">
      <c r="A4201" s="61"/>
      <c r="B4201" s="59"/>
    </row>
    <row r="4202" spans="1:2" x14ac:dyDescent="0.25">
      <c r="A4202" s="61"/>
      <c r="B4202" s="59"/>
    </row>
    <row r="4203" spans="1:2" x14ac:dyDescent="0.25">
      <c r="A4203" s="61"/>
      <c r="B4203" s="59"/>
    </row>
    <row r="4204" spans="1:2" x14ac:dyDescent="0.25">
      <c r="A4204" s="61"/>
      <c r="B4204" s="59"/>
    </row>
    <row r="4205" spans="1:2" x14ac:dyDescent="0.25">
      <c r="A4205" s="61"/>
      <c r="B4205" s="59"/>
    </row>
    <row r="4206" spans="1:2" x14ac:dyDescent="0.25">
      <c r="A4206" s="61"/>
      <c r="B4206" s="59"/>
    </row>
    <row r="4207" spans="1:2" x14ac:dyDescent="0.25">
      <c r="A4207" s="61"/>
      <c r="B4207" s="59"/>
    </row>
    <row r="4208" spans="1:2" x14ac:dyDescent="0.25">
      <c r="A4208" s="61"/>
      <c r="B4208" s="59"/>
    </row>
    <row r="4209" spans="1:2" x14ac:dyDescent="0.25">
      <c r="A4209" s="61"/>
      <c r="B4209" s="59"/>
    </row>
    <row r="4210" spans="1:2" x14ac:dyDescent="0.25">
      <c r="A4210" s="61"/>
      <c r="B4210" s="59"/>
    </row>
    <row r="4211" spans="1:2" x14ac:dyDescent="0.25">
      <c r="A4211" s="61"/>
      <c r="B4211" s="59"/>
    </row>
    <row r="4212" spans="1:2" x14ac:dyDescent="0.25">
      <c r="A4212" s="61"/>
      <c r="B4212" s="59"/>
    </row>
    <row r="4213" spans="1:2" x14ac:dyDescent="0.25">
      <c r="A4213" s="61"/>
      <c r="B4213" s="59"/>
    </row>
    <row r="4214" spans="1:2" x14ac:dyDescent="0.25">
      <c r="A4214" s="61"/>
      <c r="B4214" s="59"/>
    </row>
    <row r="4215" spans="1:2" x14ac:dyDescent="0.25">
      <c r="A4215" s="61"/>
      <c r="B4215" s="59"/>
    </row>
    <row r="4216" spans="1:2" x14ac:dyDescent="0.25">
      <c r="A4216" s="61"/>
      <c r="B4216" s="59"/>
    </row>
    <row r="4217" spans="1:2" x14ac:dyDescent="0.25">
      <c r="A4217" s="61"/>
      <c r="B4217" s="59"/>
    </row>
    <row r="4218" spans="1:2" x14ac:dyDescent="0.25">
      <c r="A4218" s="61"/>
      <c r="B4218" s="59"/>
    </row>
    <row r="4219" spans="1:2" x14ac:dyDescent="0.25">
      <c r="A4219" s="61"/>
      <c r="B4219" s="59"/>
    </row>
    <row r="4220" spans="1:2" x14ac:dyDescent="0.25">
      <c r="A4220" s="61"/>
      <c r="B4220" s="59"/>
    </row>
    <row r="4221" spans="1:2" x14ac:dyDescent="0.25">
      <c r="A4221" s="61"/>
      <c r="B4221" s="59"/>
    </row>
    <row r="4222" spans="1:2" x14ac:dyDescent="0.25">
      <c r="A4222" s="61"/>
      <c r="B4222" s="59"/>
    </row>
    <row r="4223" spans="1:2" x14ac:dyDescent="0.25">
      <c r="A4223" s="61"/>
      <c r="B4223" s="59"/>
    </row>
    <row r="4224" spans="1:2" x14ac:dyDescent="0.25">
      <c r="A4224" s="61"/>
      <c r="B4224" s="59"/>
    </row>
    <row r="4225" spans="1:2" x14ac:dyDescent="0.25">
      <c r="A4225" s="61"/>
      <c r="B4225" s="59"/>
    </row>
    <row r="4226" spans="1:2" x14ac:dyDescent="0.25">
      <c r="A4226" s="61"/>
      <c r="B4226" s="59"/>
    </row>
    <row r="4227" spans="1:2" x14ac:dyDescent="0.25">
      <c r="A4227" s="61"/>
      <c r="B4227" s="59"/>
    </row>
    <row r="4228" spans="1:2" x14ac:dyDescent="0.25">
      <c r="A4228" s="61"/>
      <c r="B4228" s="59"/>
    </row>
    <row r="4229" spans="1:2" x14ac:dyDescent="0.25">
      <c r="A4229" s="61"/>
      <c r="B4229" s="59"/>
    </row>
    <row r="4230" spans="1:2" x14ac:dyDescent="0.25">
      <c r="A4230" s="61"/>
      <c r="B4230" s="59"/>
    </row>
    <row r="4231" spans="1:2" x14ac:dyDescent="0.25">
      <c r="A4231" s="61"/>
      <c r="B4231" s="59"/>
    </row>
    <row r="4232" spans="1:2" x14ac:dyDescent="0.25">
      <c r="A4232" s="61"/>
      <c r="B4232" s="59"/>
    </row>
    <row r="4233" spans="1:2" x14ac:dyDescent="0.25">
      <c r="A4233" s="61"/>
      <c r="B4233" s="59"/>
    </row>
    <row r="4234" spans="1:2" x14ac:dyDescent="0.25">
      <c r="A4234" s="61"/>
      <c r="B4234" s="59"/>
    </row>
    <row r="4235" spans="1:2" x14ac:dyDescent="0.25">
      <c r="A4235" s="61"/>
      <c r="B4235" s="59"/>
    </row>
    <row r="4236" spans="1:2" x14ac:dyDescent="0.25">
      <c r="A4236" s="61"/>
      <c r="B4236" s="59"/>
    </row>
    <row r="4237" spans="1:2" x14ac:dyDescent="0.25">
      <c r="A4237" s="61"/>
      <c r="B4237" s="59"/>
    </row>
    <row r="4238" spans="1:2" x14ac:dyDescent="0.25">
      <c r="A4238" s="61"/>
      <c r="B4238" s="59"/>
    </row>
    <row r="4239" spans="1:2" x14ac:dyDescent="0.25">
      <c r="A4239" s="61"/>
      <c r="B4239" s="59"/>
    </row>
    <row r="4240" spans="1:2" x14ac:dyDescent="0.25">
      <c r="A4240" s="61"/>
      <c r="B4240" s="59"/>
    </row>
    <row r="4241" spans="1:2" x14ac:dyDescent="0.25">
      <c r="A4241" s="61"/>
      <c r="B4241" s="59"/>
    </row>
    <row r="4242" spans="1:2" x14ac:dyDescent="0.25">
      <c r="A4242" s="61"/>
      <c r="B4242" s="59"/>
    </row>
    <row r="4243" spans="1:2" x14ac:dyDescent="0.25">
      <c r="A4243" s="61"/>
      <c r="B4243" s="59"/>
    </row>
    <row r="4244" spans="1:2" x14ac:dyDescent="0.25">
      <c r="A4244" s="61"/>
      <c r="B4244" s="59"/>
    </row>
    <row r="4245" spans="1:2" x14ac:dyDescent="0.25">
      <c r="A4245" s="61"/>
      <c r="B4245" s="59"/>
    </row>
    <row r="4246" spans="1:2" x14ac:dyDescent="0.25">
      <c r="A4246" s="61"/>
      <c r="B4246" s="59"/>
    </row>
    <row r="4247" spans="1:2" x14ac:dyDescent="0.25">
      <c r="A4247" s="61"/>
      <c r="B4247" s="59"/>
    </row>
    <row r="4248" spans="1:2" x14ac:dyDescent="0.25">
      <c r="A4248" s="61"/>
      <c r="B4248" s="59"/>
    </row>
    <row r="4249" spans="1:2" x14ac:dyDescent="0.25">
      <c r="A4249" s="61"/>
      <c r="B4249" s="59"/>
    </row>
    <row r="4250" spans="1:2" x14ac:dyDescent="0.25">
      <c r="A4250" s="61"/>
      <c r="B4250" s="59"/>
    </row>
    <row r="4251" spans="1:2" x14ac:dyDescent="0.25">
      <c r="A4251" s="61"/>
      <c r="B4251" s="59"/>
    </row>
    <row r="4252" spans="1:2" x14ac:dyDescent="0.25">
      <c r="A4252" s="61"/>
      <c r="B4252" s="59"/>
    </row>
    <row r="4253" spans="1:2" x14ac:dyDescent="0.25">
      <c r="A4253" s="61"/>
      <c r="B4253" s="59"/>
    </row>
    <row r="4254" spans="1:2" x14ac:dyDescent="0.25">
      <c r="A4254" s="61"/>
      <c r="B4254" s="59"/>
    </row>
    <row r="4255" spans="1:2" x14ac:dyDescent="0.25">
      <c r="A4255" s="61"/>
      <c r="B4255" s="59"/>
    </row>
    <row r="4256" spans="1:2" x14ac:dyDescent="0.25">
      <c r="A4256" s="61"/>
      <c r="B4256" s="59"/>
    </row>
    <row r="4257" spans="1:2" x14ac:dyDescent="0.25">
      <c r="A4257" s="61"/>
      <c r="B4257" s="59"/>
    </row>
    <row r="4258" spans="1:2" x14ac:dyDescent="0.25">
      <c r="A4258" s="61"/>
      <c r="B4258" s="59"/>
    </row>
    <row r="4259" spans="1:2" x14ac:dyDescent="0.25">
      <c r="A4259" s="61"/>
      <c r="B4259" s="59"/>
    </row>
    <row r="4260" spans="1:2" x14ac:dyDescent="0.25">
      <c r="A4260" s="61"/>
      <c r="B4260" s="59"/>
    </row>
    <row r="4261" spans="1:2" x14ac:dyDescent="0.25">
      <c r="A4261" s="61"/>
      <c r="B4261" s="59"/>
    </row>
    <row r="4262" spans="1:2" x14ac:dyDescent="0.25">
      <c r="A4262" s="61"/>
      <c r="B4262" s="59"/>
    </row>
    <row r="4263" spans="1:2" x14ac:dyDescent="0.25">
      <c r="A4263" s="61"/>
      <c r="B4263" s="59"/>
    </row>
    <row r="4264" spans="1:2" x14ac:dyDescent="0.25">
      <c r="A4264" s="61"/>
      <c r="B4264" s="59"/>
    </row>
    <row r="4265" spans="1:2" x14ac:dyDescent="0.25">
      <c r="A4265" s="61"/>
      <c r="B4265" s="59"/>
    </row>
    <row r="4266" spans="1:2" x14ac:dyDescent="0.25">
      <c r="A4266" s="61"/>
      <c r="B4266" s="59"/>
    </row>
    <row r="4267" spans="1:2" x14ac:dyDescent="0.25">
      <c r="A4267" s="61"/>
      <c r="B4267" s="59"/>
    </row>
    <row r="4268" spans="1:2" x14ac:dyDescent="0.25">
      <c r="A4268" s="61"/>
      <c r="B4268" s="59"/>
    </row>
    <row r="4269" spans="1:2" x14ac:dyDescent="0.25">
      <c r="A4269" s="61"/>
      <c r="B4269" s="59"/>
    </row>
    <row r="4270" spans="1:2" x14ac:dyDescent="0.25">
      <c r="A4270" s="61"/>
      <c r="B4270" s="59"/>
    </row>
    <row r="4271" spans="1:2" x14ac:dyDescent="0.25">
      <c r="A4271" s="61"/>
      <c r="B4271" s="59"/>
    </row>
    <row r="4272" spans="1:2" x14ac:dyDescent="0.25">
      <c r="A4272" s="61"/>
      <c r="B4272" s="59"/>
    </row>
    <row r="4273" spans="1:2" x14ac:dyDescent="0.25">
      <c r="A4273" s="61"/>
      <c r="B4273" s="59"/>
    </row>
    <row r="4274" spans="1:2" x14ac:dyDescent="0.25">
      <c r="A4274" s="61"/>
      <c r="B4274" s="59"/>
    </row>
    <row r="4275" spans="1:2" x14ac:dyDescent="0.25">
      <c r="A4275" s="61"/>
      <c r="B4275" s="59"/>
    </row>
    <row r="4276" spans="1:2" x14ac:dyDescent="0.25">
      <c r="A4276" s="61"/>
      <c r="B4276" s="59"/>
    </row>
    <row r="4277" spans="1:2" x14ac:dyDescent="0.25">
      <c r="A4277" s="61"/>
      <c r="B4277" s="59"/>
    </row>
    <row r="4278" spans="1:2" x14ac:dyDescent="0.25">
      <c r="A4278" s="61"/>
      <c r="B4278" s="59"/>
    </row>
    <row r="4279" spans="1:2" x14ac:dyDescent="0.25">
      <c r="A4279" s="61"/>
      <c r="B4279" s="59"/>
    </row>
    <row r="4280" spans="1:2" x14ac:dyDescent="0.25">
      <c r="A4280" s="61"/>
      <c r="B4280" s="59"/>
    </row>
    <row r="4281" spans="1:2" x14ac:dyDescent="0.25">
      <c r="A4281" s="61"/>
      <c r="B4281" s="59"/>
    </row>
    <row r="4282" spans="1:2" x14ac:dyDescent="0.25">
      <c r="A4282" s="61"/>
      <c r="B4282" s="59"/>
    </row>
    <row r="4283" spans="1:2" x14ac:dyDescent="0.25">
      <c r="A4283" s="61"/>
      <c r="B4283" s="59"/>
    </row>
    <row r="4284" spans="1:2" x14ac:dyDescent="0.25">
      <c r="A4284" s="61"/>
      <c r="B4284" s="59"/>
    </row>
    <row r="4285" spans="1:2" x14ac:dyDescent="0.25">
      <c r="A4285" s="61"/>
      <c r="B4285" s="59"/>
    </row>
    <row r="4286" spans="1:2" x14ac:dyDescent="0.25">
      <c r="A4286" s="61"/>
      <c r="B4286" s="59"/>
    </row>
    <row r="4287" spans="1:2" x14ac:dyDescent="0.25">
      <c r="A4287" s="61"/>
      <c r="B4287" s="59"/>
    </row>
    <row r="4288" spans="1:2" x14ac:dyDescent="0.25">
      <c r="A4288" s="61"/>
      <c r="B4288" s="59"/>
    </row>
    <row r="4289" spans="1:2" x14ac:dyDescent="0.25">
      <c r="A4289" s="61"/>
      <c r="B4289" s="59"/>
    </row>
    <row r="4290" spans="1:2" x14ac:dyDescent="0.25">
      <c r="A4290" s="61"/>
      <c r="B4290" s="59"/>
    </row>
    <row r="4291" spans="1:2" x14ac:dyDescent="0.25">
      <c r="A4291" s="61"/>
      <c r="B4291" s="59"/>
    </row>
    <row r="4292" spans="1:2" x14ac:dyDescent="0.25">
      <c r="A4292" s="61"/>
      <c r="B4292" s="59"/>
    </row>
    <row r="4293" spans="1:2" x14ac:dyDescent="0.25">
      <c r="A4293" s="61"/>
      <c r="B4293" s="59"/>
    </row>
    <row r="4294" spans="1:2" x14ac:dyDescent="0.25">
      <c r="A4294" s="61"/>
      <c r="B4294" s="59"/>
    </row>
    <row r="4295" spans="1:2" x14ac:dyDescent="0.25">
      <c r="A4295" s="61"/>
      <c r="B4295" s="59"/>
    </row>
    <row r="4296" spans="1:2" x14ac:dyDescent="0.25">
      <c r="A4296" s="61"/>
      <c r="B4296" s="59"/>
    </row>
    <row r="4297" spans="1:2" x14ac:dyDescent="0.25">
      <c r="A4297" s="61"/>
      <c r="B4297" s="59"/>
    </row>
    <row r="4298" spans="1:2" x14ac:dyDescent="0.25">
      <c r="A4298" s="61"/>
      <c r="B4298" s="59"/>
    </row>
    <row r="4299" spans="1:2" x14ac:dyDescent="0.25">
      <c r="A4299" s="61"/>
      <c r="B4299" s="59"/>
    </row>
    <row r="4300" spans="1:2" x14ac:dyDescent="0.25">
      <c r="A4300" s="61"/>
      <c r="B4300" s="59"/>
    </row>
    <row r="4301" spans="1:2" x14ac:dyDescent="0.25">
      <c r="A4301" s="61"/>
      <c r="B4301" s="59"/>
    </row>
    <row r="4302" spans="1:2" x14ac:dyDescent="0.25">
      <c r="A4302" s="61"/>
      <c r="B4302" s="59"/>
    </row>
    <row r="4303" spans="1:2" x14ac:dyDescent="0.25">
      <c r="A4303" s="61"/>
      <c r="B4303" s="59"/>
    </row>
    <row r="4304" spans="1:2" x14ac:dyDescent="0.25">
      <c r="A4304" s="61"/>
      <c r="B4304" s="59"/>
    </row>
    <row r="4305" spans="1:2" x14ac:dyDescent="0.25">
      <c r="A4305" s="61"/>
      <c r="B4305" s="59"/>
    </row>
    <row r="4306" spans="1:2" x14ac:dyDescent="0.25">
      <c r="A4306" s="61"/>
      <c r="B4306" s="59"/>
    </row>
    <row r="4307" spans="1:2" x14ac:dyDescent="0.25">
      <c r="A4307" s="61"/>
      <c r="B4307" s="59"/>
    </row>
    <row r="4308" spans="1:2" x14ac:dyDescent="0.25">
      <c r="A4308" s="61"/>
      <c r="B4308" s="59"/>
    </row>
    <row r="4309" spans="1:2" x14ac:dyDescent="0.25">
      <c r="A4309" s="61"/>
      <c r="B4309" s="59"/>
    </row>
    <row r="4310" spans="1:2" x14ac:dyDescent="0.25">
      <c r="A4310" s="61"/>
      <c r="B4310" s="59"/>
    </row>
    <row r="4311" spans="1:2" x14ac:dyDescent="0.25">
      <c r="A4311" s="61"/>
      <c r="B4311" s="59"/>
    </row>
    <row r="4312" spans="1:2" x14ac:dyDescent="0.25">
      <c r="A4312" s="61"/>
      <c r="B4312" s="59"/>
    </row>
    <row r="4313" spans="1:2" x14ac:dyDescent="0.25">
      <c r="A4313" s="61"/>
      <c r="B4313" s="59"/>
    </row>
    <row r="4314" spans="1:2" x14ac:dyDescent="0.25">
      <c r="A4314" s="61"/>
      <c r="B4314" s="59"/>
    </row>
    <row r="4315" spans="1:2" x14ac:dyDescent="0.25">
      <c r="A4315" s="61"/>
      <c r="B4315" s="59"/>
    </row>
    <row r="4316" spans="1:2" x14ac:dyDescent="0.25">
      <c r="A4316" s="61"/>
      <c r="B4316" s="59"/>
    </row>
    <row r="4317" spans="1:2" x14ac:dyDescent="0.25">
      <c r="A4317" s="61"/>
      <c r="B4317" s="59"/>
    </row>
    <row r="4318" spans="1:2" x14ac:dyDescent="0.25">
      <c r="A4318" s="61"/>
      <c r="B4318" s="59"/>
    </row>
    <row r="4319" spans="1:2" x14ac:dyDescent="0.25">
      <c r="A4319" s="61"/>
      <c r="B4319" s="59"/>
    </row>
    <row r="4320" spans="1:2" x14ac:dyDescent="0.25">
      <c r="A4320" s="61"/>
      <c r="B4320" s="59"/>
    </row>
    <row r="4321" spans="1:2" x14ac:dyDescent="0.25">
      <c r="A4321" s="61"/>
      <c r="B4321" s="59"/>
    </row>
    <row r="4322" spans="1:2" x14ac:dyDescent="0.25">
      <c r="A4322" s="61"/>
      <c r="B4322" s="59"/>
    </row>
    <row r="4323" spans="1:2" x14ac:dyDescent="0.25">
      <c r="A4323" s="61"/>
      <c r="B4323" s="59"/>
    </row>
    <row r="4324" spans="1:2" x14ac:dyDescent="0.25">
      <c r="A4324" s="61"/>
      <c r="B4324" s="59"/>
    </row>
    <row r="4325" spans="1:2" x14ac:dyDescent="0.25">
      <c r="A4325" s="61"/>
      <c r="B4325" s="59"/>
    </row>
    <row r="4326" spans="1:2" x14ac:dyDescent="0.25">
      <c r="A4326" s="61"/>
      <c r="B4326" s="59"/>
    </row>
    <row r="4327" spans="1:2" x14ac:dyDescent="0.25">
      <c r="A4327" s="61"/>
      <c r="B4327" s="59"/>
    </row>
    <row r="4328" spans="1:2" x14ac:dyDescent="0.25">
      <c r="A4328" s="61"/>
      <c r="B4328" s="59"/>
    </row>
    <row r="4329" spans="1:2" x14ac:dyDescent="0.25">
      <c r="A4329" s="61"/>
      <c r="B4329" s="59"/>
    </row>
    <row r="4330" spans="1:2" x14ac:dyDescent="0.25">
      <c r="A4330" s="61"/>
      <c r="B4330" s="59"/>
    </row>
    <row r="4331" spans="1:2" x14ac:dyDescent="0.25">
      <c r="A4331" s="61"/>
      <c r="B4331" s="59"/>
    </row>
    <row r="4332" spans="1:2" x14ac:dyDescent="0.25">
      <c r="A4332" s="61"/>
      <c r="B4332" s="59"/>
    </row>
    <row r="4333" spans="1:2" x14ac:dyDescent="0.25">
      <c r="A4333" s="61"/>
      <c r="B4333" s="59"/>
    </row>
    <row r="4334" spans="1:2" x14ac:dyDescent="0.25">
      <c r="A4334" s="61"/>
      <c r="B4334" s="59"/>
    </row>
    <row r="4335" spans="1:2" x14ac:dyDescent="0.25">
      <c r="A4335" s="61"/>
      <c r="B4335" s="59"/>
    </row>
    <row r="4336" spans="1:2" x14ac:dyDescent="0.25">
      <c r="A4336" s="61"/>
      <c r="B4336" s="59"/>
    </row>
    <row r="4337" spans="1:2" x14ac:dyDescent="0.25">
      <c r="A4337" s="61"/>
      <c r="B4337" s="59"/>
    </row>
    <row r="4338" spans="1:2" x14ac:dyDescent="0.25">
      <c r="A4338" s="61"/>
      <c r="B4338" s="59"/>
    </row>
    <row r="4339" spans="1:2" x14ac:dyDescent="0.25">
      <c r="A4339" s="61"/>
      <c r="B4339" s="59"/>
    </row>
    <row r="4340" spans="1:2" x14ac:dyDescent="0.25">
      <c r="A4340" s="61"/>
      <c r="B4340" s="59"/>
    </row>
    <row r="4341" spans="1:2" x14ac:dyDescent="0.25">
      <c r="A4341" s="61"/>
      <c r="B4341" s="59"/>
    </row>
    <row r="4342" spans="1:2" x14ac:dyDescent="0.25">
      <c r="A4342" s="61"/>
      <c r="B4342" s="59"/>
    </row>
    <row r="4343" spans="1:2" x14ac:dyDescent="0.25">
      <c r="A4343" s="61"/>
      <c r="B4343" s="59"/>
    </row>
    <row r="4344" spans="1:2" x14ac:dyDescent="0.25">
      <c r="A4344" s="61"/>
      <c r="B4344" s="59"/>
    </row>
    <row r="4345" spans="1:2" x14ac:dyDescent="0.25">
      <c r="A4345" s="61"/>
      <c r="B4345" s="59"/>
    </row>
    <row r="4346" spans="1:2" x14ac:dyDescent="0.25">
      <c r="A4346" s="61"/>
      <c r="B4346" s="59"/>
    </row>
    <row r="4347" spans="1:2" x14ac:dyDescent="0.25">
      <c r="A4347" s="61"/>
      <c r="B4347" s="59"/>
    </row>
    <row r="4348" spans="1:2" x14ac:dyDescent="0.25">
      <c r="A4348" s="61"/>
      <c r="B4348" s="59"/>
    </row>
    <row r="4349" spans="1:2" x14ac:dyDescent="0.25">
      <c r="A4349" s="61"/>
      <c r="B4349" s="59"/>
    </row>
    <row r="4350" spans="1:2" x14ac:dyDescent="0.25">
      <c r="A4350" s="61"/>
      <c r="B4350" s="59"/>
    </row>
    <row r="4351" spans="1:2" x14ac:dyDescent="0.25">
      <c r="A4351" s="61"/>
      <c r="B4351" s="59"/>
    </row>
    <row r="4352" spans="1:2" x14ac:dyDescent="0.25">
      <c r="A4352" s="61"/>
      <c r="B4352" s="59"/>
    </row>
    <row r="4353" spans="1:2" x14ac:dyDescent="0.25">
      <c r="A4353" s="61"/>
      <c r="B4353" s="59"/>
    </row>
    <row r="4354" spans="1:2" x14ac:dyDescent="0.25">
      <c r="A4354" s="61"/>
      <c r="B4354" s="59"/>
    </row>
    <row r="4355" spans="1:2" x14ac:dyDescent="0.25">
      <c r="A4355" s="61"/>
      <c r="B4355" s="59"/>
    </row>
    <row r="4356" spans="1:2" x14ac:dyDescent="0.25">
      <c r="A4356" s="61"/>
      <c r="B4356" s="59"/>
    </row>
    <row r="4357" spans="1:2" x14ac:dyDescent="0.25">
      <c r="A4357" s="61"/>
      <c r="B4357" s="59"/>
    </row>
    <row r="4358" spans="1:2" x14ac:dyDescent="0.25">
      <c r="A4358" s="61"/>
      <c r="B4358" s="59"/>
    </row>
    <row r="4359" spans="1:2" x14ac:dyDescent="0.25">
      <c r="A4359" s="61"/>
      <c r="B4359" s="59"/>
    </row>
    <row r="4360" spans="1:2" x14ac:dyDescent="0.25">
      <c r="A4360" s="61"/>
      <c r="B4360" s="59"/>
    </row>
    <row r="4361" spans="1:2" x14ac:dyDescent="0.25">
      <c r="A4361" s="61"/>
      <c r="B4361" s="59"/>
    </row>
    <row r="4362" spans="1:2" x14ac:dyDescent="0.25">
      <c r="A4362" s="61"/>
      <c r="B4362" s="59"/>
    </row>
    <row r="4363" spans="1:2" x14ac:dyDescent="0.25">
      <c r="A4363" s="61"/>
      <c r="B4363" s="59"/>
    </row>
    <row r="4364" spans="1:2" x14ac:dyDescent="0.25">
      <c r="A4364" s="61"/>
      <c r="B4364" s="59"/>
    </row>
    <row r="4365" spans="1:2" x14ac:dyDescent="0.25">
      <c r="A4365" s="61"/>
      <c r="B4365" s="59"/>
    </row>
    <row r="4366" spans="1:2" x14ac:dyDescent="0.25">
      <c r="A4366" s="61"/>
      <c r="B4366" s="59"/>
    </row>
    <row r="4367" spans="1:2" x14ac:dyDescent="0.25">
      <c r="A4367" s="61"/>
      <c r="B4367" s="59"/>
    </row>
    <row r="4368" spans="1:2" x14ac:dyDescent="0.25">
      <c r="A4368" s="61"/>
      <c r="B4368" s="59"/>
    </row>
    <row r="4369" spans="1:2" x14ac:dyDescent="0.25">
      <c r="A4369" s="61"/>
      <c r="B4369" s="59"/>
    </row>
    <row r="4370" spans="1:2" x14ac:dyDescent="0.25">
      <c r="A4370" s="61"/>
      <c r="B4370" s="59"/>
    </row>
    <row r="4371" spans="1:2" x14ac:dyDescent="0.25">
      <c r="A4371" s="61"/>
      <c r="B4371" s="59"/>
    </row>
    <row r="4372" spans="1:2" x14ac:dyDescent="0.25">
      <c r="A4372" s="61"/>
      <c r="B4372" s="59"/>
    </row>
    <row r="4373" spans="1:2" x14ac:dyDescent="0.25">
      <c r="A4373" s="61"/>
      <c r="B4373" s="59"/>
    </row>
    <row r="4374" spans="1:2" x14ac:dyDescent="0.25">
      <c r="A4374" s="61"/>
      <c r="B4374" s="59"/>
    </row>
    <row r="4375" spans="1:2" x14ac:dyDescent="0.25">
      <c r="A4375" s="61"/>
      <c r="B4375" s="59"/>
    </row>
    <row r="4376" spans="1:2" x14ac:dyDescent="0.25">
      <c r="A4376" s="61"/>
      <c r="B4376" s="59"/>
    </row>
    <row r="4377" spans="1:2" x14ac:dyDescent="0.25">
      <c r="A4377" s="61"/>
      <c r="B4377" s="59"/>
    </row>
    <row r="4378" spans="1:2" x14ac:dyDescent="0.25">
      <c r="A4378" s="61"/>
      <c r="B4378" s="59"/>
    </row>
    <row r="4379" spans="1:2" x14ac:dyDescent="0.25">
      <c r="A4379" s="61"/>
      <c r="B4379" s="59"/>
    </row>
    <row r="4380" spans="1:2" x14ac:dyDescent="0.25">
      <c r="A4380" s="61"/>
      <c r="B4380" s="59"/>
    </row>
    <row r="4381" spans="1:2" x14ac:dyDescent="0.25">
      <c r="A4381" s="61"/>
      <c r="B4381" s="59"/>
    </row>
    <row r="4382" spans="1:2" x14ac:dyDescent="0.25">
      <c r="A4382" s="61"/>
      <c r="B4382" s="59"/>
    </row>
    <row r="4383" spans="1:2" x14ac:dyDescent="0.25">
      <c r="A4383" s="61"/>
      <c r="B4383" s="59"/>
    </row>
    <row r="4384" spans="1:2" x14ac:dyDescent="0.25">
      <c r="A4384" s="61"/>
      <c r="B4384" s="59"/>
    </row>
    <row r="4385" spans="1:2" x14ac:dyDescent="0.25">
      <c r="A4385" s="61"/>
      <c r="B4385" s="59"/>
    </row>
    <row r="4386" spans="1:2" x14ac:dyDescent="0.25">
      <c r="A4386" s="61"/>
      <c r="B4386" s="59"/>
    </row>
    <row r="4387" spans="1:2" x14ac:dyDescent="0.25">
      <c r="A4387" s="61"/>
      <c r="B4387" s="59"/>
    </row>
    <row r="4388" spans="1:2" x14ac:dyDescent="0.25">
      <c r="A4388" s="61"/>
      <c r="B4388" s="59"/>
    </row>
    <row r="4389" spans="1:2" x14ac:dyDescent="0.25">
      <c r="A4389" s="61"/>
      <c r="B4389" s="59"/>
    </row>
    <row r="4390" spans="1:2" x14ac:dyDescent="0.25">
      <c r="A4390" s="61"/>
      <c r="B4390" s="59"/>
    </row>
    <row r="4391" spans="1:2" x14ac:dyDescent="0.25">
      <c r="A4391" s="61"/>
      <c r="B4391" s="59"/>
    </row>
    <row r="4392" spans="1:2" x14ac:dyDescent="0.25">
      <c r="A4392" s="61"/>
      <c r="B4392" s="59"/>
    </row>
    <row r="4393" spans="1:2" x14ac:dyDescent="0.25">
      <c r="A4393" s="61"/>
      <c r="B4393" s="59"/>
    </row>
    <row r="4394" spans="1:2" x14ac:dyDescent="0.25">
      <c r="A4394" s="61"/>
      <c r="B4394" s="59"/>
    </row>
    <row r="4395" spans="1:2" x14ac:dyDescent="0.25">
      <c r="A4395" s="61"/>
      <c r="B4395" s="59"/>
    </row>
    <row r="4396" spans="1:2" x14ac:dyDescent="0.25">
      <c r="A4396" s="61"/>
      <c r="B4396" s="59"/>
    </row>
    <row r="4397" spans="1:2" x14ac:dyDescent="0.25">
      <c r="A4397" s="61"/>
      <c r="B4397" s="59"/>
    </row>
    <row r="4398" spans="1:2" x14ac:dyDescent="0.25">
      <c r="A4398" s="61"/>
      <c r="B4398" s="59"/>
    </row>
    <row r="4399" spans="1:2" x14ac:dyDescent="0.25">
      <c r="A4399" s="61"/>
      <c r="B4399" s="59"/>
    </row>
    <row r="4400" spans="1:2" x14ac:dyDescent="0.25">
      <c r="A4400" s="61"/>
      <c r="B4400" s="59"/>
    </row>
    <row r="4401" spans="1:2" x14ac:dyDescent="0.25">
      <c r="A4401" s="61"/>
      <c r="B4401" s="59"/>
    </row>
    <row r="4402" spans="1:2" x14ac:dyDescent="0.25">
      <c r="A4402" s="61"/>
      <c r="B4402" s="59"/>
    </row>
    <row r="4403" spans="1:2" x14ac:dyDescent="0.25">
      <c r="A4403" s="61"/>
      <c r="B4403" s="59"/>
    </row>
    <row r="4404" spans="1:2" x14ac:dyDescent="0.25">
      <c r="A4404" s="61"/>
      <c r="B4404" s="59"/>
    </row>
    <row r="4405" spans="1:2" x14ac:dyDescent="0.25">
      <c r="A4405" s="61"/>
      <c r="B4405" s="59"/>
    </row>
    <row r="4406" spans="1:2" x14ac:dyDescent="0.25">
      <c r="A4406" s="61"/>
      <c r="B4406" s="59"/>
    </row>
    <row r="4407" spans="1:2" x14ac:dyDescent="0.25">
      <c r="A4407" s="61"/>
      <c r="B4407" s="59"/>
    </row>
    <row r="4408" spans="1:2" x14ac:dyDescent="0.25">
      <c r="A4408" s="61"/>
      <c r="B4408" s="59"/>
    </row>
    <row r="4409" spans="1:2" x14ac:dyDescent="0.25">
      <c r="A4409" s="61"/>
      <c r="B4409" s="59"/>
    </row>
    <row r="4410" spans="1:2" x14ac:dyDescent="0.25">
      <c r="A4410" s="61"/>
      <c r="B4410" s="59"/>
    </row>
    <row r="4411" spans="1:2" x14ac:dyDescent="0.25">
      <c r="A4411" s="61"/>
      <c r="B4411" s="59"/>
    </row>
    <row r="4412" spans="1:2" x14ac:dyDescent="0.25">
      <c r="A4412" s="61"/>
      <c r="B4412" s="59"/>
    </row>
    <row r="4413" spans="1:2" x14ac:dyDescent="0.25">
      <c r="A4413" s="61"/>
      <c r="B4413" s="59"/>
    </row>
    <row r="4414" spans="1:2" x14ac:dyDescent="0.25">
      <c r="A4414" s="61"/>
      <c r="B4414" s="59"/>
    </row>
    <row r="4415" spans="1:2" x14ac:dyDescent="0.25">
      <c r="A4415" s="61"/>
      <c r="B4415" s="59"/>
    </row>
    <row r="4416" spans="1:2" x14ac:dyDescent="0.25">
      <c r="A4416" s="61"/>
      <c r="B4416" s="59"/>
    </row>
    <row r="4417" spans="1:2" x14ac:dyDescent="0.25">
      <c r="A4417" s="61"/>
      <c r="B4417" s="59"/>
    </row>
    <row r="4418" spans="1:2" x14ac:dyDescent="0.25">
      <c r="A4418" s="61"/>
      <c r="B4418" s="59"/>
    </row>
    <row r="4419" spans="1:2" x14ac:dyDescent="0.25">
      <c r="A4419" s="61"/>
      <c r="B4419" s="59"/>
    </row>
    <row r="4420" spans="1:2" x14ac:dyDescent="0.25">
      <c r="A4420" s="61"/>
      <c r="B4420" s="59"/>
    </row>
    <row r="4421" spans="1:2" x14ac:dyDescent="0.25">
      <c r="A4421" s="61"/>
      <c r="B4421" s="59"/>
    </row>
    <row r="4422" spans="1:2" x14ac:dyDescent="0.25">
      <c r="A4422" s="61"/>
      <c r="B4422" s="59"/>
    </row>
    <row r="4423" spans="1:2" x14ac:dyDescent="0.25">
      <c r="A4423" s="61"/>
      <c r="B4423" s="59"/>
    </row>
    <row r="4424" spans="1:2" x14ac:dyDescent="0.25">
      <c r="A4424" s="61"/>
      <c r="B4424" s="59"/>
    </row>
    <row r="4425" spans="1:2" x14ac:dyDescent="0.25">
      <c r="A4425" s="61"/>
      <c r="B4425" s="59"/>
    </row>
    <row r="4426" spans="1:2" x14ac:dyDescent="0.25">
      <c r="A4426" s="61"/>
      <c r="B4426" s="59"/>
    </row>
    <row r="4427" spans="1:2" x14ac:dyDescent="0.25">
      <c r="A4427" s="61"/>
      <c r="B4427" s="59"/>
    </row>
    <row r="4428" spans="1:2" x14ac:dyDescent="0.25">
      <c r="A4428" s="61"/>
      <c r="B4428" s="59"/>
    </row>
    <row r="4429" spans="1:2" x14ac:dyDescent="0.25">
      <c r="A4429" s="61"/>
      <c r="B4429" s="59"/>
    </row>
    <row r="4430" spans="1:2" x14ac:dyDescent="0.25">
      <c r="A4430" s="61"/>
      <c r="B4430" s="59"/>
    </row>
    <row r="4431" spans="1:2" x14ac:dyDescent="0.25">
      <c r="A4431" s="61"/>
      <c r="B4431" s="59"/>
    </row>
    <row r="4432" spans="1:2" x14ac:dyDescent="0.25">
      <c r="A4432" s="61"/>
      <c r="B4432" s="59"/>
    </row>
    <row r="4433" spans="1:2" x14ac:dyDescent="0.25">
      <c r="A4433" s="61"/>
      <c r="B4433" s="59"/>
    </row>
    <row r="4434" spans="1:2" x14ac:dyDescent="0.25">
      <c r="A4434" s="61"/>
      <c r="B4434" s="59"/>
    </row>
    <row r="4435" spans="1:2" x14ac:dyDescent="0.25">
      <c r="A4435" s="61"/>
      <c r="B4435" s="59"/>
    </row>
    <row r="4436" spans="1:2" x14ac:dyDescent="0.25">
      <c r="A4436" s="61"/>
      <c r="B4436" s="59"/>
    </row>
    <row r="4437" spans="1:2" x14ac:dyDescent="0.25">
      <c r="A4437" s="61"/>
      <c r="B4437" s="59"/>
    </row>
    <row r="4438" spans="1:2" x14ac:dyDescent="0.25">
      <c r="A4438" s="61"/>
      <c r="B4438" s="59"/>
    </row>
    <row r="4439" spans="1:2" x14ac:dyDescent="0.25">
      <c r="A4439" s="61"/>
      <c r="B4439" s="59"/>
    </row>
    <row r="4440" spans="1:2" x14ac:dyDescent="0.25">
      <c r="A4440" s="61"/>
      <c r="B4440" s="59"/>
    </row>
    <row r="4441" spans="1:2" x14ac:dyDescent="0.25">
      <c r="A4441" s="61"/>
      <c r="B4441" s="59"/>
    </row>
    <row r="4442" spans="1:2" x14ac:dyDescent="0.25">
      <c r="A4442" s="61"/>
      <c r="B4442" s="59"/>
    </row>
    <row r="4443" spans="1:2" x14ac:dyDescent="0.25">
      <c r="A4443" s="61"/>
      <c r="B4443" s="59"/>
    </row>
    <row r="4444" spans="1:2" x14ac:dyDescent="0.25">
      <c r="A4444" s="61"/>
      <c r="B4444" s="59"/>
    </row>
    <row r="4445" spans="1:2" x14ac:dyDescent="0.25">
      <c r="A4445" s="61"/>
      <c r="B4445" s="59"/>
    </row>
    <row r="4446" spans="1:2" x14ac:dyDescent="0.25">
      <c r="A4446" s="61"/>
      <c r="B4446" s="59"/>
    </row>
    <row r="4447" spans="1:2" x14ac:dyDescent="0.25">
      <c r="A4447" s="61"/>
      <c r="B4447" s="59"/>
    </row>
    <row r="4448" spans="1:2" x14ac:dyDescent="0.25">
      <c r="A4448" s="61"/>
      <c r="B4448" s="59"/>
    </row>
    <row r="4449" spans="1:2" x14ac:dyDescent="0.25">
      <c r="A4449" s="61"/>
      <c r="B4449" s="59"/>
    </row>
    <row r="4450" spans="1:2" x14ac:dyDescent="0.25">
      <c r="A4450" s="61"/>
      <c r="B4450" s="59"/>
    </row>
    <row r="4451" spans="1:2" x14ac:dyDescent="0.25">
      <c r="A4451" s="61"/>
      <c r="B4451" s="59"/>
    </row>
    <row r="4452" spans="1:2" x14ac:dyDescent="0.25">
      <c r="A4452" s="61"/>
      <c r="B4452" s="59"/>
    </row>
    <row r="4453" spans="1:2" x14ac:dyDescent="0.25">
      <c r="A4453" s="61"/>
      <c r="B4453" s="59"/>
    </row>
    <row r="4454" spans="1:2" x14ac:dyDescent="0.25">
      <c r="A4454" s="61"/>
      <c r="B4454" s="59"/>
    </row>
    <row r="4455" spans="1:2" x14ac:dyDescent="0.25">
      <c r="A4455" s="61"/>
      <c r="B4455" s="59"/>
    </row>
    <row r="4456" spans="1:2" x14ac:dyDescent="0.25">
      <c r="A4456" s="61"/>
      <c r="B4456" s="59"/>
    </row>
    <row r="4457" spans="1:2" x14ac:dyDescent="0.25">
      <c r="A4457" s="61"/>
      <c r="B4457" s="59"/>
    </row>
    <row r="4458" spans="1:2" x14ac:dyDescent="0.25">
      <c r="A4458" s="61"/>
      <c r="B4458" s="59"/>
    </row>
    <row r="4459" spans="1:2" x14ac:dyDescent="0.25">
      <c r="A4459" s="61"/>
      <c r="B4459" s="59"/>
    </row>
    <row r="4460" spans="1:2" x14ac:dyDescent="0.25">
      <c r="A4460" s="61"/>
      <c r="B4460" s="59"/>
    </row>
    <row r="4461" spans="1:2" x14ac:dyDescent="0.25">
      <c r="A4461" s="61"/>
      <c r="B4461" s="59"/>
    </row>
    <row r="4462" spans="1:2" x14ac:dyDescent="0.25">
      <c r="A4462" s="61"/>
      <c r="B4462" s="59"/>
    </row>
    <row r="4463" spans="1:2" x14ac:dyDescent="0.25">
      <c r="A4463" s="61"/>
      <c r="B4463" s="59"/>
    </row>
    <row r="4464" spans="1:2" x14ac:dyDescent="0.25">
      <c r="A4464" s="61"/>
      <c r="B4464" s="59"/>
    </row>
    <row r="4465" spans="1:2" x14ac:dyDescent="0.25">
      <c r="A4465" s="61"/>
      <c r="B4465" s="59"/>
    </row>
    <row r="4466" spans="1:2" x14ac:dyDescent="0.25">
      <c r="A4466" s="61"/>
      <c r="B4466" s="59"/>
    </row>
    <row r="4467" spans="1:2" x14ac:dyDescent="0.25">
      <c r="A4467" s="61"/>
      <c r="B4467" s="59"/>
    </row>
    <row r="4468" spans="1:2" x14ac:dyDescent="0.25">
      <c r="A4468" s="61"/>
      <c r="B4468" s="59"/>
    </row>
    <row r="4469" spans="1:2" x14ac:dyDescent="0.25">
      <c r="A4469" s="61"/>
      <c r="B4469" s="59"/>
    </row>
    <row r="4470" spans="1:2" x14ac:dyDescent="0.25">
      <c r="A4470" s="61"/>
      <c r="B4470" s="59"/>
    </row>
    <row r="4471" spans="1:2" x14ac:dyDescent="0.25">
      <c r="A4471" s="61"/>
      <c r="B4471" s="59"/>
    </row>
    <row r="4472" spans="1:2" x14ac:dyDescent="0.25">
      <c r="A4472" s="61"/>
      <c r="B4472" s="59"/>
    </row>
    <row r="4473" spans="1:2" x14ac:dyDescent="0.25">
      <c r="A4473" s="61"/>
      <c r="B4473" s="59"/>
    </row>
    <row r="4474" spans="1:2" x14ac:dyDescent="0.25">
      <c r="A4474" s="61"/>
      <c r="B4474" s="59"/>
    </row>
    <row r="4475" spans="1:2" x14ac:dyDescent="0.25">
      <c r="A4475" s="61"/>
      <c r="B4475" s="59"/>
    </row>
    <row r="4476" spans="1:2" x14ac:dyDescent="0.25">
      <c r="A4476" s="61"/>
      <c r="B4476" s="59"/>
    </row>
    <row r="4477" spans="1:2" x14ac:dyDescent="0.25">
      <c r="A4477" s="61"/>
      <c r="B4477" s="59"/>
    </row>
    <row r="4478" spans="1:2" x14ac:dyDescent="0.25">
      <c r="A4478" s="61"/>
      <c r="B4478" s="59"/>
    </row>
    <row r="4479" spans="1:2" x14ac:dyDescent="0.25">
      <c r="A4479" s="61"/>
      <c r="B4479" s="59"/>
    </row>
    <row r="4480" spans="1:2" x14ac:dyDescent="0.25">
      <c r="A4480" s="61"/>
      <c r="B4480" s="59"/>
    </row>
    <row r="4481" spans="1:2" x14ac:dyDescent="0.25">
      <c r="A4481" s="61"/>
      <c r="B4481" s="59"/>
    </row>
    <row r="4482" spans="1:2" x14ac:dyDescent="0.25">
      <c r="A4482" s="61"/>
      <c r="B4482" s="59"/>
    </row>
    <row r="4483" spans="1:2" x14ac:dyDescent="0.25">
      <c r="A4483" s="61"/>
      <c r="B4483" s="59"/>
    </row>
    <row r="4484" spans="1:2" x14ac:dyDescent="0.25">
      <c r="A4484" s="61"/>
      <c r="B4484" s="59"/>
    </row>
    <row r="4485" spans="1:2" x14ac:dyDescent="0.25">
      <c r="A4485" s="61"/>
      <c r="B4485" s="59"/>
    </row>
    <row r="4486" spans="1:2" x14ac:dyDescent="0.25">
      <c r="A4486" s="61"/>
      <c r="B4486" s="59"/>
    </row>
    <row r="4487" spans="1:2" x14ac:dyDescent="0.25">
      <c r="A4487" s="61"/>
      <c r="B4487" s="59"/>
    </row>
    <row r="4488" spans="1:2" x14ac:dyDescent="0.25">
      <c r="A4488" s="61"/>
      <c r="B4488" s="59"/>
    </row>
    <row r="4489" spans="1:2" x14ac:dyDescent="0.25">
      <c r="A4489" s="61"/>
      <c r="B4489" s="59"/>
    </row>
    <row r="4490" spans="1:2" x14ac:dyDescent="0.25">
      <c r="A4490" s="61"/>
      <c r="B4490" s="59"/>
    </row>
    <row r="4491" spans="1:2" x14ac:dyDescent="0.25">
      <c r="A4491" s="61"/>
      <c r="B4491" s="59"/>
    </row>
    <row r="4492" spans="1:2" x14ac:dyDescent="0.25">
      <c r="A4492" s="61"/>
      <c r="B4492" s="59"/>
    </row>
    <row r="4493" spans="1:2" x14ac:dyDescent="0.25">
      <c r="A4493" s="61"/>
      <c r="B4493" s="59"/>
    </row>
    <row r="4494" spans="1:2" x14ac:dyDescent="0.25">
      <c r="A4494" s="61"/>
      <c r="B4494" s="59"/>
    </row>
    <row r="4495" spans="1:2" x14ac:dyDescent="0.25">
      <c r="A4495" s="61"/>
      <c r="B4495" s="59"/>
    </row>
    <row r="4496" spans="1:2" x14ac:dyDescent="0.25">
      <c r="A4496" s="61"/>
      <c r="B4496" s="59"/>
    </row>
    <row r="4497" spans="1:2" x14ac:dyDescent="0.25">
      <c r="A4497" s="61"/>
      <c r="B4497" s="59"/>
    </row>
    <row r="4498" spans="1:2" x14ac:dyDescent="0.25">
      <c r="A4498" s="61"/>
      <c r="B4498" s="59"/>
    </row>
    <row r="4499" spans="1:2" x14ac:dyDescent="0.25">
      <c r="A4499" s="61"/>
      <c r="B4499" s="59"/>
    </row>
    <row r="4500" spans="1:2" x14ac:dyDescent="0.25">
      <c r="A4500" s="61"/>
      <c r="B4500" s="59"/>
    </row>
    <row r="4501" spans="1:2" x14ac:dyDescent="0.25">
      <c r="A4501" s="61"/>
      <c r="B4501" s="59"/>
    </row>
    <row r="4502" spans="1:2" x14ac:dyDescent="0.25">
      <c r="A4502" s="61"/>
      <c r="B4502" s="59"/>
    </row>
    <row r="4503" spans="1:2" x14ac:dyDescent="0.25">
      <c r="A4503" s="61"/>
      <c r="B4503" s="59"/>
    </row>
    <row r="4504" spans="1:2" x14ac:dyDescent="0.25">
      <c r="A4504" s="61"/>
      <c r="B4504" s="59"/>
    </row>
    <row r="4505" spans="1:2" x14ac:dyDescent="0.25">
      <c r="A4505" s="61"/>
      <c r="B4505" s="59"/>
    </row>
    <row r="4506" spans="1:2" x14ac:dyDescent="0.25">
      <c r="A4506" s="61"/>
      <c r="B4506" s="59"/>
    </row>
    <row r="4507" spans="1:2" x14ac:dyDescent="0.25">
      <c r="A4507" s="61"/>
      <c r="B4507" s="59"/>
    </row>
    <row r="4508" spans="1:2" x14ac:dyDescent="0.25">
      <c r="A4508" s="61"/>
      <c r="B4508" s="59"/>
    </row>
    <row r="4509" spans="1:2" x14ac:dyDescent="0.25">
      <c r="A4509" s="61"/>
      <c r="B4509" s="59"/>
    </row>
    <row r="4510" spans="1:2" x14ac:dyDescent="0.25">
      <c r="A4510" s="61"/>
      <c r="B4510" s="59"/>
    </row>
    <row r="4511" spans="1:2" x14ac:dyDescent="0.25">
      <c r="A4511" s="61"/>
      <c r="B4511" s="59"/>
    </row>
    <row r="4512" spans="1:2" x14ac:dyDescent="0.25">
      <c r="A4512" s="61"/>
      <c r="B4512" s="59"/>
    </row>
    <row r="4513" spans="1:2" x14ac:dyDescent="0.25">
      <c r="A4513" s="61"/>
      <c r="B4513" s="59"/>
    </row>
    <row r="4514" spans="1:2" x14ac:dyDescent="0.25">
      <c r="A4514" s="61"/>
      <c r="B4514" s="59"/>
    </row>
    <row r="4515" spans="1:2" x14ac:dyDescent="0.25">
      <c r="A4515" s="61"/>
      <c r="B4515" s="59"/>
    </row>
    <row r="4516" spans="1:2" x14ac:dyDescent="0.25">
      <c r="A4516" s="61"/>
      <c r="B4516" s="59"/>
    </row>
    <row r="4517" spans="1:2" x14ac:dyDescent="0.25">
      <c r="A4517" s="61"/>
      <c r="B4517" s="59"/>
    </row>
    <row r="4518" spans="1:2" x14ac:dyDescent="0.25">
      <c r="A4518" s="61"/>
      <c r="B4518" s="59"/>
    </row>
    <row r="4519" spans="1:2" x14ac:dyDescent="0.25">
      <c r="A4519" s="61"/>
      <c r="B4519" s="59"/>
    </row>
    <row r="4520" spans="1:2" x14ac:dyDescent="0.25">
      <c r="A4520" s="61"/>
      <c r="B4520" s="59"/>
    </row>
    <row r="4521" spans="1:2" x14ac:dyDescent="0.25">
      <c r="A4521" s="61"/>
      <c r="B4521" s="59"/>
    </row>
    <row r="4522" spans="1:2" x14ac:dyDescent="0.25">
      <c r="A4522" s="61"/>
      <c r="B4522" s="59"/>
    </row>
    <row r="4523" spans="1:2" x14ac:dyDescent="0.25">
      <c r="A4523" s="61"/>
      <c r="B4523" s="59"/>
    </row>
    <row r="4524" spans="1:2" x14ac:dyDescent="0.25">
      <c r="A4524" s="61"/>
      <c r="B4524" s="59"/>
    </row>
    <row r="4525" spans="1:2" x14ac:dyDescent="0.25">
      <c r="A4525" s="61"/>
      <c r="B4525" s="59"/>
    </row>
    <row r="4526" spans="1:2" x14ac:dyDescent="0.25">
      <c r="A4526" s="61"/>
      <c r="B4526" s="59"/>
    </row>
    <row r="4527" spans="1:2" x14ac:dyDescent="0.25">
      <c r="A4527" s="61"/>
      <c r="B4527" s="59"/>
    </row>
    <row r="4528" spans="1:2" x14ac:dyDescent="0.25">
      <c r="A4528" s="61"/>
      <c r="B4528" s="59"/>
    </row>
    <row r="4529" spans="1:2" x14ac:dyDescent="0.25">
      <c r="A4529" s="61"/>
      <c r="B4529" s="59"/>
    </row>
    <row r="4530" spans="1:2" x14ac:dyDescent="0.25">
      <c r="A4530" s="61"/>
      <c r="B4530" s="59"/>
    </row>
    <row r="4531" spans="1:2" x14ac:dyDescent="0.25">
      <c r="A4531" s="61"/>
      <c r="B4531" s="59"/>
    </row>
    <row r="4532" spans="1:2" x14ac:dyDescent="0.25">
      <c r="A4532" s="61"/>
      <c r="B4532" s="59"/>
    </row>
    <row r="4533" spans="1:2" x14ac:dyDescent="0.25">
      <c r="A4533" s="61"/>
      <c r="B4533" s="59"/>
    </row>
    <row r="4534" spans="1:2" x14ac:dyDescent="0.25">
      <c r="A4534" s="61"/>
      <c r="B4534" s="59"/>
    </row>
    <row r="4535" spans="1:2" x14ac:dyDescent="0.25">
      <c r="A4535" s="61"/>
      <c r="B4535" s="59"/>
    </row>
    <row r="4536" spans="1:2" x14ac:dyDescent="0.25">
      <c r="A4536" s="61"/>
      <c r="B4536" s="59"/>
    </row>
    <row r="4537" spans="1:2" x14ac:dyDescent="0.25">
      <c r="A4537" s="61"/>
      <c r="B4537" s="59"/>
    </row>
    <row r="4538" spans="1:2" x14ac:dyDescent="0.25">
      <c r="A4538" s="61"/>
      <c r="B4538" s="59"/>
    </row>
    <row r="4539" spans="1:2" x14ac:dyDescent="0.25">
      <c r="A4539" s="61"/>
      <c r="B4539" s="59"/>
    </row>
    <row r="4540" spans="1:2" x14ac:dyDescent="0.25">
      <c r="A4540" s="61"/>
      <c r="B4540" s="59"/>
    </row>
    <row r="4541" spans="1:2" x14ac:dyDescent="0.25">
      <c r="A4541" s="61"/>
      <c r="B4541" s="59"/>
    </row>
    <row r="4542" spans="1:2" x14ac:dyDescent="0.25">
      <c r="A4542" s="61"/>
      <c r="B4542" s="59"/>
    </row>
    <row r="4543" spans="1:2" x14ac:dyDescent="0.25">
      <c r="A4543" s="61"/>
      <c r="B4543" s="59"/>
    </row>
    <row r="4544" spans="1:2" x14ac:dyDescent="0.25">
      <c r="A4544" s="61"/>
      <c r="B4544" s="59"/>
    </row>
    <row r="4545" spans="1:2" x14ac:dyDescent="0.25">
      <c r="A4545" s="61"/>
      <c r="B4545" s="59"/>
    </row>
    <row r="4546" spans="1:2" x14ac:dyDescent="0.25">
      <c r="A4546" s="61"/>
      <c r="B4546" s="59"/>
    </row>
    <row r="4547" spans="1:2" x14ac:dyDescent="0.25">
      <c r="A4547" s="61"/>
      <c r="B4547" s="59"/>
    </row>
    <row r="4548" spans="1:2" x14ac:dyDescent="0.25">
      <c r="A4548" s="61"/>
      <c r="B4548" s="59"/>
    </row>
    <row r="4549" spans="1:2" x14ac:dyDescent="0.25">
      <c r="A4549" s="61"/>
      <c r="B4549" s="59"/>
    </row>
    <row r="4550" spans="1:2" x14ac:dyDescent="0.25">
      <c r="A4550" s="61"/>
      <c r="B4550" s="59"/>
    </row>
    <row r="4551" spans="1:2" x14ac:dyDescent="0.25">
      <c r="A4551" s="61"/>
      <c r="B4551" s="59"/>
    </row>
    <row r="4552" spans="1:2" x14ac:dyDescent="0.25">
      <c r="A4552" s="61"/>
      <c r="B4552" s="59"/>
    </row>
    <row r="4553" spans="1:2" x14ac:dyDescent="0.25">
      <c r="A4553" s="61"/>
      <c r="B4553" s="59"/>
    </row>
    <row r="4554" spans="1:2" x14ac:dyDescent="0.25">
      <c r="A4554" s="61"/>
      <c r="B4554" s="59"/>
    </row>
    <row r="4555" spans="1:2" x14ac:dyDescent="0.25">
      <c r="A4555" s="61"/>
      <c r="B4555" s="59"/>
    </row>
    <row r="4556" spans="1:2" x14ac:dyDescent="0.25">
      <c r="A4556" s="61"/>
      <c r="B4556" s="59"/>
    </row>
    <row r="4557" spans="1:2" x14ac:dyDescent="0.25">
      <c r="A4557" s="61"/>
      <c r="B4557" s="59"/>
    </row>
    <row r="4558" spans="1:2" x14ac:dyDescent="0.25">
      <c r="A4558" s="61"/>
      <c r="B4558" s="59"/>
    </row>
    <row r="4559" spans="1:2" x14ac:dyDescent="0.25">
      <c r="A4559" s="61"/>
      <c r="B4559" s="59"/>
    </row>
    <row r="4560" spans="1:2" x14ac:dyDescent="0.25">
      <c r="A4560" s="61"/>
      <c r="B4560" s="59"/>
    </row>
    <row r="4561" spans="1:2" x14ac:dyDescent="0.25">
      <c r="A4561" s="61"/>
      <c r="B4561" s="59"/>
    </row>
    <row r="4562" spans="1:2" x14ac:dyDescent="0.25">
      <c r="A4562" s="61"/>
      <c r="B4562" s="59"/>
    </row>
    <row r="4563" spans="1:2" x14ac:dyDescent="0.25">
      <c r="A4563" s="61"/>
      <c r="B4563" s="59"/>
    </row>
    <row r="4564" spans="1:2" x14ac:dyDescent="0.25">
      <c r="A4564" s="61"/>
      <c r="B4564" s="59"/>
    </row>
    <row r="4565" spans="1:2" x14ac:dyDescent="0.25">
      <c r="A4565" s="61"/>
      <c r="B4565" s="59"/>
    </row>
    <row r="4566" spans="1:2" x14ac:dyDescent="0.25">
      <c r="A4566" s="61"/>
      <c r="B4566" s="59"/>
    </row>
    <row r="4567" spans="1:2" x14ac:dyDescent="0.25">
      <c r="A4567" s="61"/>
      <c r="B4567" s="59"/>
    </row>
    <row r="4568" spans="1:2" x14ac:dyDescent="0.25">
      <c r="A4568" s="61"/>
      <c r="B4568" s="59"/>
    </row>
    <row r="4569" spans="1:2" x14ac:dyDescent="0.25">
      <c r="A4569" s="61"/>
      <c r="B4569" s="59"/>
    </row>
    <row r="4570" spans="1:2" x14ac:dyDescent="0.25">
      <c r="A4570" s="61"/>
      <c r="B4570" s="59"/>
    </row>
    <row r="4571" spans="1:2" x14ac:dyDescent="0.25">
      <c r="A4571" s="61"/>
      <c r="B4571" s="59"/>
    </row>
    <row r="4572" spans="1:2" x14ac:dyDescent="0.25">
      <c r="A4572" s="61"/>
      <c r="B4572" s="59"/>
    </row>
    <row r="4573" spans="1:2" x14ac:dyDescent="0.25">
      <c r="A4573" s="61"/>
      <c r="B4573" s="59"/>
    </row>
    <row r="4574" spans="1:2" x14ac:dyDescent="0.25">
      <c r="A4574" s="61"/>
      <c r="B4574" s="59"/>
    </row>
    <row r="4575" spans="1:2" x14ac:dyDescent="0.25">
      <c r="A4575" s="61"/>
      <c r="B4575" s="59"/>
    </row>
    <row r="4576" spans="1:2" x14ac:dyDescent="0.25">
      <c r="A4576" s="61"/>
      <c r="B4576" s="59"/>
    </row>
    <row r="4577" spans="1:2" x14ac:dyDescent="0.25">
      <c r="A4577" s="61"/>
      <c r="B4577" s="59"/>
    </row>
    <row r="4578" spans="1:2" x14ac:dyDescent="0.25">
      <c r="A4578" s="61"/>
      <c r="B4578" s="59"/>
    </row>
    <row r="4579" spans="1:2" x14ac:dyDescent="0.25">
      <c r="A4579" s="61"/>
      <c r="B4579" s="59"/>
    </row>
    <row r="4580" spans="1:2" x14ac:dyDescent="0.25">
      <c r="A4580" s="61"/>
      <c r="B4580" s="59"/>
    </row>
    <row r="4581" spans="1:2" x14ac:dyDescent="0.25">
      <c r="A4581" s="61"/>
      <c r="B4581" s="59"/>
    </row>
    <row r="4582" spans="1:2" x14ac:dyDescent="0.25">
      <c r="A4582" s="61"/>
      <c r="B4582" s="59"/>
    </row>
    <row r="4583" spans="1:2" x14ac:dyDescent="0.25">
      <c r="A4583" s="61"/>
      <c r="B4583" s="59"/>
    </row>
    <row r="4584" spans="1:2" x14ac:dyDescent="0.25">
      <c r="A4584" s="61"/>
      <c r="B4584" s="59"/>
    </row>
    <row r="4585" spans="1:2" x14ac:dyDescent="0.25">
      <c r="A4585" s="61"/>
      <c r="B4585" s="59"/>
    </row>
    <row r="4586" spans="1:2" x14ac:dyDescent="0.25">
      <c r="A4586" s="61"/>
      <c r="B4586" s="59"/>
    </row>
    <row r="4587" spans="1:2" x14ac:dyDescent="0.25">
      <c r="A4587" s="61"/>
      <c r="B4587" s="59"/>
    </row>
    <row r="4588" spans="1:2" x14ac:dyDescent="0.25">
      <c r="A4588" s="61"/>
      <c r="B4588" s="59"/>
    </row>
    <row r="4589" spans="1:2" x14ac:dyDescent="0.25">
      <c r="A4589" s="61"/>
      <c r="B4589" s="59"/>
    </row>
    <row r="4590" spans="1:2" x14ac:dyDescent="0.25">
      <c r="A4590" s="61"/>
      <c r="B4590" s="59"/>
    </row>
    <row r="4591" spans="1:2" x14ac:dyDescent="0.25">
      <c r="A4591" s="61"/>
      <c r="B4591" s="59"/>
    </row>
    <row r="4592" spans="1:2" x14ac:dyDescent="0.25">
      <c r="A4592" s="61"/>
      <c r="B4592" s="59"/>
    </row>
    <row r="4593" spans="1:2" x14ac:dyDescent="0.25">
      <c r="A4593" s="61"/>
      <c r="B4593" s="59"/>
    </row>
    <row r="4594" spans="1:2" x14ac:dyDescent="0.25">
      <c r="A4594" s="61"/>
      <c r="B4594" s="59"/>
    </row>
    <row r="4595" spans="1:2" x14ac:dyDescent="0.25">
      <c r="A4595" s="61"/>
      <c r="B4595" s="59"/>
    </row>
    <row r="4596" spans="1:2" x14ac:dyDescent="0.25">
      <c r="A4596" s="61"/>
      <c r="B4596" s="59"/>
    </row>
    <row r="4597" spans="1:2" x14ac:dyDescent="0.25">
      <c r="A4597" s="61"/>
      <c r="B4597" s="59"/>
    </row>
    <row r="4598" spans="1:2" x14ac:dyDescent="0.25">
      <c r="A4598" s="61"/>
      <c r="B4598" s="59"/>
    </row>
    <row r="4599" spans="1:2" x14ac:dyDescent="0.25">
      <c r="A4599" s="61"/>
      <c r="B4599" s="59"/>
    </row>
    <row r="4600" spans="1:2" x14ac:dyDescent="0.25">
      <c r="A4600" s="61"/>
      <c r="B4600" s="59"/>
    </row>
    <row r="4601" spans="1:2" x14ac:dyDescent="0.25">
      <c r="A4601" s="61"/>
      <c r="B4601" s="59"/>
    </row>
    <row r="4602" spans="1:2" x14ac:dyDescent="0.25">
      <c r="A4602" s="61"/>
      <c r="B4602" s="59"/>
    </row>
    <row r="4603" spans="1:2" x14ac:dyDescent="0.25">
      <c r="A4603" s="61"/>
      <c r="B4603" s="59"/>
    </row>
    <row r="4604" spans="1:2" x14ac:dyDescent="0.25">
      <c r="A4604" s="61"/>
      <c r="B4604" s="59"/>
    </row>
    <row r="4605" spans="1:2" x14ac:dyDescent="0.25">
      <c r="A4605" s="61"/>
      <c r="B4605" s="59"/>
    </row>
    <row r="4606" spans="1:2" x14ac:dyDescent="0.25">
      <c r="A4606" s="61"/>
      <c r="B4606" s="59"/>
    </row>
    <row r="4607" spans="1:2" x14ac:dyDescent="0.25">
      <c r="A4607" s="61"/>
      <c r="B4607" s="59"/>
    </row>
    <row r="4608" spans="1:2" x14ac:dyDescent="0.25">
      <c r="A4608" s="61"/>
      <c r="B4608" s="59"/>
    </row>
    <row r="4609" spans="1:2" x14ac:dyDescent="0.25">
      <c r="A4609" s="61"/>
      <c r="B4609" s="59"/>
    </row>
    <row r="4610" spans="1:2" x14ac:dyDescent="0.25">
      <c r="A4610" s="61"/>
      <c r="B4610" s="59"/>
    </row>
    <row r="4611" spans="1:2" x14ac:dyDescent="0.25">
      <c r="A4611" s="61"/>
      <c r="B4611" s="59"/>
    </row>
    <row r="4612" spans="1:2" x14ac:dyDescent="0.25">
      <c r="A4612" s="61"/>
      <c r="B4612" s="59"/>
    </row>
    <row r="4613" spans="1:2" x14ac:dyDescent="0.25">
      <c r="A4613" s="61"/>
      <c r="B4613" s="59"/>
    </row>
    <row r="4614" spans="1:2" x14ac:dyDescent="0.25">
      <c r="A4614" s="61"/>
      <c r="B4614" s="59"/>
    </row>
    <row r="4615" spans="1:2" x14ac:dyDescent="0.25">
      <c r="A4615" s="61"/>
      <c r="B4615" s="59"/>
    </row>
    <row r="4616" spans="1:2" x14ac:dyDescent="0.25">
      <c r="A4616" s="61"/>
      <c r="B4616" s="59"/>
    </row>
    <row r="4617" spans="1:2" x14ac:dyDescent="0.25">
      <c r="A4617" s="61"/>
      <c r="B4617" s="59"/>
    </row>
    <row r="4618" spans="1:2" x14ac:dyDescent="0.25">
      <c r="A4618" s="61"/>
      <c r="B4618" s="59"/>
    </row>
    <row r="4619" spans="1:2" x14ac:dyDescent="0.25">
      <c r="A4619" s="61"/>
      <c r="B4619" s="59"/>
    </row>
    <row r="4620" spans="1:2" x14ac:dyDescent="0.25">
      <c r="A4620" s="61"/>
      <c r="B4620" s="59"/>
    </row>
    <row r="4621" spans="1:2" x14ac:dyDescent="0.25">
      <c r="A4621" s="61"/>
      <c r="B4621" s="59"/>
    </row>
    <row r="4622" spans="1:2" x14ac:dyDescent="0.25">
      <c r="A4622" s="61"/>
      <c r="B4622" s="59"/>
    </row>
    <row r="4623" spans="1:2" x14ac:dyDescent="0.25">
      <c r="A4623" s="61"/>
      <c r="B4623" s="59"/>
    </row>
    <row r="4624" spans="1:2" x14ac:dyDescent="0.25">
      <c r="A4624" s="61"/>
      <c r="B4624" s="59"/>
    </row>
    <row r="4625" spans="1:2" x14ac:dyDescent="0.25">
      <c r="A4625" s="61"/>
      <c r="B4625" s="59"/>
    </row>
    <row r="4626" spans="1:2" x14ac:dyDescent="0.25">
      <c r="A4626" s="61"/>
      <c r="B4626" s="59"/>
    </row>
    <row r="4627" spans="1:2" x14ac:dyDescent="0.25">
      <c r="A4627" s="61"/>
      <c r="B4627" s="59"/>
    </row>
    <row r="4628" spans="1:2" x14ac:dyDescent="0.25">
      <c r="A4628" s="61"/>
      <c r="B4628" s="59"/>
    </row>
    <row r="4629" spans="1:2" x14ac:dyDescent="0.25">
      <c r="A4629" s="61"/>
      <c r="B4629" s="59"/>
    </row>
    <row r="4630" spans="1:2" x14ac:dyDescent="0.25">
      <c r="A4630" s="61"/>
      <c r="B4630" s="59"/>
    </row>
    <row r="4631" spans="1:2" x14ac:dyDescent="0.25">
      <c r="A4631" s="61"/>
      <c r="B4631" s="59"/>
    </row>
    <row r="4632" spans="1:2" x14ac:dyDescent="0.25">
      <c r="A4632" s="61"/>
      <c r="B4632" s="59"/>
    </row>
    <row r="4633" spans="1:2" x14ac:dyDescent="0.25">
      <c r="A4633" s="61"/>
      <c r="B4633" s="59"/>
    </row>
    <row r="4634" spans="1:2" x14ac:dyDescent="0.25">
      <c r="A4634" s="61"/>
      <c r="B4634" s="59"/>
    </row>
    <row r="4635" spans="1:2" x14ac:dyDescent="0.25">
      <c r="A4635" s="61"/>
      <c r="B4635" s="59"/>
    </row>
    <row r="4636" spans="1:2" x14ac:dyDescent="0.25">
      <c r="A4636" s="61"/>
      <c r="B4636" s="59"/>
    </row>
    <row r="4637" spans="1:2" x14ac:dyDescent="0.25">
      <c r="A4637" s="61"/>
      <c r="B4637" s="59"/>
    </row>
    <row r="4638" spans="1:2" x14ac:dyDescent="0.25">
      <c r="A4638" s="61"/>
      <c r="B4638" s="59"/>
    </row>
    <row r="4639" spans="1:2" x14ac:dyDescent="0.25">
      <c r="A4639" s="61"/>
      <c r="B4639" s="59"/>
    </row>
    <row r="4640" spans="1:2" x14ac:dyDescent="0.25">
      <c r="A4640" s="61"/>
      <c r="B4640" s="59"/>
    </row>
    <row r="4641" spans="1:2" x14ac:dyDescent="0.25">
      <c r="A4641" s="61"/>
      <c r="B4641" s="59"/>
    </row>
    <row r="4642" spans="1:2" x14ac:dyDescent="0.25">
      <c r="A4642" s="61"/>
      <c r="B4642" s="59"/>
    </row>
    <row r="4643" spans="1:2" x14ac:dyDescent="0.25">
      <c r="A4643" s="61"/>
      <c r="B4643" s="59"/>
    </row>
    <row r="4644" spans="1:2" x14ac:dyDescent="0.25">
      <c r="A4644" s="61"/>
      <c r="B4644" s="59"/>
    </row>
    <row r="4645" spans="1:2" x14ac:dyDescent="0.25">
      <c r="A4645" s="61"/>
      <c r="B4645" s="59"/>
    </row>
    <row r="4646" spans="1:2" x14ac:dyDescent="0.25">
      <c r="A4646" s="61"/>
      <c r="B4646" s="59"/>
    </row>
    <row r="4647" spans="1:2" x14ac:dyDescent="0.25">
      <c r="A4647" s="61"/>
      <c r="B4647" s="59"/>
    </row>
    <row r="4648" spans="1:2" x14ac:dyDescent="0.25">
      <c r="A4648" s="61"/>
      <c r="B4648" s="59"/>
    </row>
    <row r="4649" spans="1:2" x14ac:dyDescent="0.25">
      <c r="A4649" s="61"/>
      <c r="B4649" s="59"/>
    </row>
    <row r="4650" spans="1:2" x14ac:dyDescent="0.25">
      <c r="A4650" s="61"/>
      <c r="B4650" s="59"/>
    </row>
    <row r="4651" spans="1:2" x14ac:dyDescent="0.25">
      <c r="A4651" s="61"/>
      <c r="B4651" s="59"/>
    </row>
    <row r="4652" spans="1:2" x14ac:dyDescent="0.25">
      <c r="A4652" s="61"/>
      <c r="B4652" s="59"/>
    </row>
    <row r="4653" spans="1:2" x14ac:dyDescent="0.25">
      <c r="A4653" s="61"/>
      <c r="B4653" s="59"/>
    </row>
    <row r="4654" spans="1:2" x14ac:dyDescent="0.25">
      <c r="A4654" s="61"/>
      <c r="B4654" s="59"/>
    </row>
    <row r="4655" spans="1:2" x14ac:dyDescent="0.25">
      <c r="A4655" s="61"/>
      <c r="B4655" s="59"/>
    </row>
    <row r="4656" spans="1:2" x14ac:dyDescent="0.25">
      <c r="A4656" s="61"/>
      <c r="B4656" s="59"/>
    </row>
    <row r="4657" spans="1:2" x14ac:dyDescent="0.25">
      <c r="A4657" s="61"/>
      <c r="B4657" s="59"/>
    </row>
    <row r="4658" spans="1:2" x14ac:dyDescent="0.25">
      <c r="A4658" s="61"/>
      <c r="B4658" s="59"/>
    </row>
    <row r="4659" spans="1:2" x14ac:dyDescent="0.25">
      <c r="A4659" s="61"/>
      <c r="B4659" s="59"/>
    </row>
    <row r="4660" spans="1:2" x14ac:dyDescent="0.25">
      <c r="A4660" s="61"/>
      <c r="B4660" s="59"/>
    </row>
    <row r="4661" spans="1:2" x14ac:dyDescent="0.25">
      <c r="A4661" s="61"/>
      <c r="B4661" s="59"/>
    </row>
    <row r="4662" spans="1:2" x14ac:dyDescent="0.25">
      <c r="A4662" s="61"/>
      <c r="B4662" s="59"/>
    </row>
    <row r="4663" spans="1:2" x14ac:dyDescent="0.25">
      <c r="A4663" s="61"/>
      <c r="B4663" s="59"/>
    </row>
    <row r="4664" spans="1:2" x14ac:dyDescent="0.25">
      <c r="A4664" s="61"/>
      <c r="B4664" s="59"/>
    </row>
    <row r="4665" spans="1:2" x14ac:dyDescent="0.25">
      <c r="A4665" s="61"/>
      <c r="B4665" s="59"/>
    </row>
    <row r="4666" spans="1:2" x14ac:dyDescent="0.25">
      <c r="A4666" s="61"/>
      <c r="B4666" s="59"/>
    </row>
    <row r="4667" spans="1:2" x14ac:dyDescent="0.25">
      <c r="A4667" s="61"/>
      <c r="B4667" s="59"/>
    </row>
    <row r="4668" spans="1:2" x14ac:dyDescent="0.25">
      <c r="A4668" s="61"/>
      <c r="B4668" s="59"/>
    </row>
    <row r="4669" spans="1:2" x14ac:dyDescent="0.25">
      <c r="A4669" s="61"/>
      <c r="B4669" s="59"/>
    </row>
    <row r="4670" spans="1:2" x14ac:dyDescent="0.25">
      <c r="A4670" s="61"/>
      <c r="B4670" s="59"/>
    </row>
    <row r="4671" spans="1:2" x14ac:dyDescent="0.25">
      <c r="A4671" s="61"/>
      <c r="B4671" s="59"/>
    </row>
    <row r="4672" spans="1:2" x14ac:dyDescent="0.25">
      <c r="A4672" s="61"/>
      <c r="B4672" s="59"/>
    </row>
    <row r="4673" spans="1:2" x14ac:dyDescent="0.25">
      <c r="A4673" s="61"/>
      <c r="B4673" s="59"/>
    </row>
    <row r="4674" spans="1:2" x14ac:dyDescent="0.25">
      <c r="A4674" s="61"/>
      <c r="B4674" s="59"/>
    </row>
    <row r="4675" spans="1:2" x14ac:dyDescent="0.25">
      <c r="A4675" s="61"/>
      <c r="B4675" s="59"/>
    </row>
    <row r="4676" spans="1:2" x14ac:dyDescent="0.25">
      <c r="A4676" s="61"/>
      <c r="B4676" s="59"/>
    </row>
    <row r="4677" spans="1:2" x14ac:dyDescent="0.25">
      <c r="A4677" s="61"/>
      <c r="B4677" s="59"/>
    </row>
    <row r="4678" spans="1:2" x14ac:dyDescent="0.25">
      <c r="A4678" s="61"/>
      <c r="B4678" s="59"/>
    </row>
    <row r="4679" spans="1:2" x14ac:dyDescent="0.25">
      <c r="A4679" s="61"/>
      <c r="B4679" s="59"/>
    </row>
    <row r="4680" spans="1:2" x14ac:dyDescent="0.25">
      <c r="A4680" s="61"/>
      <c r="B4680" s="59"/>
    </row>
    <row r="4681" spans="1:2" x14ac:dyDescent="0.25">
      <c r="A4681" s="61"/>
      <c r="B4681" s="59"/>
    </row>
    <row r="4682" spans="1:2" x14ac:dyDescent="0.25">
      <c r="A4682" s="61"/>
      <c r="B4682" s="59"/>
    </row>
    <row r="4683" spans="1:2" x14ac:dyDescent="0.25">
      <c r="A4683" s="61"/>
      <c r="B4683" s="59"/>
    </row>
    <row r="4684" spans="1:2" x14ac:dyDescent="0.25">
      <c r="A4684" s="61"/>
      <c r="B4684" s="59"/>
    </row>
    <row r="4685" spans="1:2" x14ac:dyDescent="0.25">
      <c r="A4685" s="61"/>
      <c r="B4685" s="59"/>
    </row>
    <row r="4686" spans="1:2" x14ac:dyDescent="0.25">
      <c r="A4686" s="61"/>
      <c r="B4686" s="59"/>
    </row>
    <row r="4687" spans="1:2" x14ac:dyDescent="0.25">
      <c r="A4687" s="61"/>
      <c r="B4687" s="59"/>
    </row>
    <row r="4688" spans="1:2" x14ac:dyDescent="0.25">
      <c r="A4688" s="61"/>
      <c r="B4688" s="59"/>
    </row>
    <row r="4689" spans="1:2" x14ac:dyDescent="0.25">
      <c r="A4689" s="61"/>
      <c r="B4689" s="59"/>
    </row>
    <row r="4690" spans="1:2" x14ac:dyDescent="0.25">
      <c r="A4690" s="61"/>
      <c r="B4690" s="59"/>
    </row>
    <row r="4691" spans="1:2" x14ac:dyDescent="0.25">
      <c r="A4691" s="61"/>
      <c r="B4691" s="59"/>
    </row>
    <row r="4692" spans="1:2" x14ac:dyDescent="0.25">
      <c r="A4692" s="61"/>
      <c r="B4692" s="59"/>
    </row>
    <row r="4693" spans="1:2" x14ac:dyDescent="0.25">
      <c r="A4693" s="61"/>
      <c r="B4693" s="59"/>
    </row>
    <row r="4694" spans="1:2" x14ac:dyDescent="0.25">
      <c r="A4694" s="61"/>
      <c r="B4694" s="59"/>
    </row>
    <row r="4695" spans="1:2" x14ac:dyDescent="0.25">
      <c r="A4695" s="61"/>
      <c r="B4695" s="59"/>
    </row>
    <row r="4696" spans="1:2" x14ac:dyDescent="0.25">
      <c r="A4696" s="61"/>
      <c r="B4696" s="59"/>
    </row>
    <row r="4697" spans="1:2" x14ac:dyDescent="0.25">
      <c r="A4697" s="61"/>
      <c r="B4697" s="59"/>
    </row>
    <row r="4698" spans="1:2" x14ac:dyDescent="0.25">
      <c r="A4698" s="61"/>
      <c r="B4698" s="59"/>
    </row>
    <row r="4699" spans="1:2" x14ac:dyDescent="0.25">
      <c r="A4699" s="61"/>
      <c r="B4699" s="59"/>
    </row>
    <row r="4700" spans="1:2" x14ac:dyDescent="0.25">
      <c r="A4700" s="61"/>
      <c r="B4700" s="59"/>
    </row>
    <row r="4701" spans="1:2" x14ac:dyDescent="0.25">
      <c r="A4701" s="61"/>
      <c r="B4701" s="59"/>
    </row>
    <row r="4702" spans="1:2" x14ac:dyDescent="0.25">
      <c r="A4702" s="61"/>
      <c r="B4702" s="59"/>
    </row>
    <row r="4703" spans="1:2" x14ac:dyDescent="0.25">
      <c r="A4703" s="61"/>
      <c r="B4703" s="59"/>
    </row>
    <row r="4704" spans="1:2" x14ac:dyDescent="0.25">
      <c r="A4704" s="61"/>
      <c r="B4704" s="59"/>
    </row>
    <row r="4705" spans="1:2" x14ac:dyDescent="0.25">
      <c r="A4705" s="61"/>
      <c r="B4705" s="59"/>
    </row>
    <row r="4706" spans="1:2" x14ac:dyDescent="0.25">
      <c r="A4706" s="61"/>
      <c r="B4706" s="59"/>
    </row>
    <row r="4707" spans="1:2" x14ac:dyDescent="0.25">
      <c r="A4707" s="61"/>
      <c r="B4707" s="59"/>
    </row>
    <row r="4708" spans="1:2" x14ac:dyDescent="0.25">
      <c r="A4708" s="61"/>
      <c r="B4708" s="59"/>
    </row>
    <row r="4709" spans="1:2" x14ac:dyDescent="0.25">
      <c r="A4709" s="61"/>
      <c r="B4709" s="59"/>
    </row>
    <row r="4710" spans="1:2" x14ac:dyDescent="0.25">
      <c r="A4710" s="61"/>
      <c r="B4710" s="59"/>
    </row>
    <row r="4711" spans="1:2" x14ac:dyDescent="0.25">
      <c r="A4711" s="61"/>
      <c r="B4711" s="59"/>
    </row>
    <row r="4712" spans="1:2" x14ac:dyDescent="0.25">
      <c r="A4712" s="61"/>
      <c r="B4712" s="59"/>
    </row>
    <row r="4713" spans="1:2" x14ac:dyDescent="0.25">
      <c r="A4713" s="61"/>
      <c r="B4713" s="59"/>
    </row>
    <row r="4714" spans="1:2" x14ac:dyDescent="0.25">
      <c r="A4714" s="61"/>
      <c r="B4714" s="59"/>
    </row>
    <row r="4715" spans="1:2" x14ac:dyDescent="0.25">
      <c r="A4715" s="61"/>
      <c r="B4715" s="59"/>
    </row>
    <row r="4716" spans="1:2" x14ac:dyDescent="0.25">
      <c r="A4716" s="61"/>
      <c r="B4716" s="59"/>
    </row>
    <row r="4717" spans="1:2" x14ac:dyDescent="0.25">
      <c r="A4717" s="61"/>
      <c r="B4717" s="59"/>
    </row>
    <row r="4718" spans="1:2" x14ac:dyDescent="0.25">
      <c r="A4718" s="61"/>
      <c r="B4718" s="59"/>
    </row>
    <row r="4719" spans="1:2" x14ac:dyDescent="0.25">
      <c r="A4719" s="61"/>
      <c r="B4719" s="59"/>
    </row>
    <row r="4720" spans="1:2" x14ac:dyDescent="0.25">
      <c r="A4720" s="61"/>
      <c r="B4720" s="59"/>
    </row>
    <row r="4721" spans="1:2" x14ac:dyDescent="0.25">
      <c r="A4721" s="61"/>
      <c r="B4721" s="59"/>
    </row>
    <row r="4722" spans="1:2" x14ac:dyDescent="0.25">
      <c r="A4722" s="61"/>
      <c r="B4722" s="59"/>
    </row>
    <row r="4723" spans="1:2" x14ac:dyDescent="0.25">
      <c r="A4723" s="61"/>
      <c r="B4723" s="59"/>
    </row>
    <row r="4724" spans="1:2" x14ac:dyDescent="0.25">
      <c r="A4724" s="61"/>
      <c r="B4724" s="59"/>
    </row>
    <row r="4725" spans="1:2" x14ac:dyDescent="0.25">
      <c r="A4725" s="61"/>
      <c r="B4725" s="59"/>
    </row>
    <row r="4726" spans="1:2" x14ac:dyDescent="0.25">
      <c r="A4726" s="61"/>
      <c r="B4726" s="59"/>
    </row>
    <row r="4727" spans="1:2" x14ac:dyDescent="0.25">
      <c r="A4727" s="61"/>
      <c r="B4727" s="59"/>
    </row>
    <row r="4728" spans="1:2" x14ac:dyDescent="0.25">
      <c r="A4728" s="61"/>
      <c r="B4728" s="59"/>
    </row>
    <row r="4729" spans="1:2" x14ac:dyDescent="0.25">
      <c r="A4729" s="61"/>
      <c r="B4729" s="59"/>
    </row>
    <row r="4730" spans="1:2" x14ac:dyDescent="0.25">
      <c r="A4730" s="61"/>
      <c r="B4730" s="59"/>
    </row>
    <row r="4731" spans="1:2" x14ac:dyDescent="0.25">
      <c r="A4731" s="61"/>
      <c r="B4731" s="59"/>
    </row>
    <row r="4732" spans="1:2" x14ac:dyDescent="0.25">
      <c r="A4732" s="61"/>
      <c r="B4732" s="59"/>
    </row>
    <row r="4733" spans="1:2" x14ac:dyDescent="0.25">
      <c r="A4733" s="61"/>
      <c r="B4733" s="59"/>
    </row>
    <row r="4734" spans="1:2" x14ac:dyDescent="0.25">
      <c r="A4734" s="61"/>
      <c r="B4734" s="59"/>
    </row>
    <row r="4735" spans="1:2" x14ac:dyDescent="0.25">
      <c r="A4735" s="61"/>
      <c r="B4735" s="59"/>
    </row>
    <row r="4736" spans="1:2" x14ac:dyDescent="0.25">
      <c r="A4736" s="61"/>
      <c r="B4736" s="59"/>
    </row>
    <row r="4737" spans="1:2" x14ac:dyDescent="0.25">
      <c r="A4737" s="61"/>
      <c r="B4737" s="59"/>
    </row>
    <row r="4738" spans="1:2" x14ac:dyDescent="0.25">
      <c r="A4738" s="61"/>
      <c r="B4738" s="59"/>
    </row>
    <row r="4739" spans="1:2" x14ac:dyDescent="0.25">
      <c r="A4739" s="61"/>
      <c r="B4739" s="59"/>
    </row>
    <row r="4740" spans="1:2" x14ac:dyDescent="0.25">
      <c r="A4740" s="61"/>
      <c r="B4740" s="59"/>
    </row>
    <row r="4741" spans="1:2" x14ac:dyDescent="0.25">
      <c r="A4741" s="61"/>
      <c r="B4741" s="59"/>
    </row>
    <row r="4742" spans="1:2" x14ac:dyDescent="0.25">
      <c r="A4742" s="61"/>
      <c r="B4742" s="59"/>
    </row>
    <row r="4743" spans="1:2" x14ac:dyDescent="0.25">
      <c r="A4743" s="61"/>
      <c r="B4743" s="59"/>
    </row>
    <row r="4744" spans="1:2" x14ac:dyDescent="0.25">
      <c r="A4744" s="61"/>
      <c r="B4744" s="59"/>
    </row>
    <row r="4745" spans="1:2" x14ac:dyDescent="0.25">
      <c r="A4745" s="61"/>
      <c r="B4745" s="59"/>
    </row>
    <row r="4746" spans="1:2" x14ac:dyDescent="0.25">
      <c r="A4746" s="61"/>
      <c r="B4746" s="59"/>
    </row>
    <row r="4747" spans="1:2" x14ac:dyDescent="0.25">
      <c r="A4747" s="61"/>
      <c r="B4747" s="59"/>
    </row>
    <row r="4748" spans="1:2" x14ac:dyDescent="0.25">
      <c r="A4748" s="61"/>
      <c r="B4748" s="59"/>
    </row>
    <row r="4749" spans="1:2" x14ac:dyDescent="0.25">
      <c r="A4749" s="61"/>
      <c r="B4749" s="59"/>
    </row>
    <row r="4750" spans="1:2" x14ac:dyDescent="0.25">
      <c r="A4750" s="61"/>
      <c r="B4750" s="59"/>
    </row>
    <row r="4751" spans="1:2" x14ac:dyDescent="0.25">
      <c r="A4751" s="61"/>
      <c r="B4751" s="59"/>
    </row>
    <row r="4752" spans="1:2" x14ac:dyDescent="0.25">
      <c r="A4752" s="61"/>
      <c r="B4752" s="59"/>
    </row>
    <row r="4753" spans="1:2" x14ac:dyDescent="0.25">
      <c r="A4753" s="61"/>
      <c r="B4753" s="59"/>
    </row>
    <row r="4754" spans="1:2" x14ac:dyDescent="0.25">
      <c r="A4754" s="61"/>
      <c r="B4754" s="59"/>
    </row>
    <row r="4755" spans="1:2" x14ac:dyDescent="0.25">
      <c r="A4755" s="61"/>
      <c r="B4755" s="59"/>
    </row>
    <row r="4756" spans="1:2" x14ac:dyDescent="0.25">
      <c r="A4756" s="61"/>
      <c r="B4756" s="59"/>
    </row>
    <row r="4757" spans="1:2" x14ac:dyDescent="0.25">
      <c r="A4757" s="61"/>
      <c r="B4757" s="59"/>
    </row>
    <row r="4758" spans="1:2" x14ac:dyDescent="0.25">
      <c r="A4758" s="61"/>
      <c r="B4758" s="59"/>
    </row>
    <row r="4759" spans="1:2" x14ac:dyDescent="0.25">
      <c r="A4759" s="61"/>
      <c r="B4759" s="59"/>
    </row>
    <row r="4760" spans="1:2" x14ac:dyDescent="0.25">
      <c r="A4760" s="61"/>
      <c r="B4760" s="59"/>
    </row>
    <row r="4761" spans="1:2" x14ac:dyDescent="0.25">
      <c r="A4761" s="61"/>
      <c r="B4761" s="59"/>
    </row>
    <row r="4762" spans="1:2" x14ac:dyDescent="0.25">
      <c r="A4762" s="61"/>
      <c r="B4762" s="59"/>
    </row>
    <row r="4763" spans="1:2" x14ac:dyDescent="0.25">
      <c r="A4763" s="61"/>
      <c r="B4763" s="59"/>
    </row>
    <row r="4764" spans="1:2" x14ac:dyDescent="0.25">
      <c r="A4764" s="61"/>
      <c r="B4764" s="59"/>
    </row>
    <row r="4765" spans="1:2" x14ac:dyDescent="0.25">
      <c r="A4765" s="61"/>
      <c r="B4765" s="59"/>
    </row>
    <row r="4766" spans="1:2" x14ac:dyDescent="0.25">
      <c r="A4766" s="61"/>
      <c r="B4766" s="59"/>
    </row>
    <row r="4767" spans="1:2" x14ac:dyDescent="0.25">
      <c r="A4767" s="61"/>
      <c r="B4767" s="59"/>
    </row>
    <row r="4768" spans="1:2" x14ac:dyDescent="0.25">
      <c r="A4768" s="61"/>
      <c r="B4768" s="59"/>
    </row>
    <row r="4769" spans="1:2" x14ac:dyDescent="0.25">
      <c r="A4769" s="61"/>
      <c r="B4769" s="59"/>
    </row>
    <row r="4770" spans="1:2" x14ac:dyDescent="0.25">
      <c r="A4770" s="61"/>
      <c r="B4770" s="59"/>
    </row>
    <row r="4771" spans="1:2" x14ac:dyDescent="0.25">
      <c r="A4771" s="61"/>
      <c r="B4771" s="59"/>
    </row>
    <row r="4772" spans="1:2" x14ac:dyDescent="0.25">
      <c r="A4772" s="61"/>
      <c r="B4772" s="59"/>
    </row>
    <row r="4773" spans="1:2" x14ac:dyDescent="0.25">
      <c r="A4773" s="61"/>
      <c r="B4773" s="59"/>
    </row>
    <row r="4774" spans="1:2" x14ac:dyDescent="0.25">
      <c r="A4774" s="61"/>
      <c r="B4774" s="59"/>
    </row>
    <row r="4775" spans="1:2" x14ac:dyDescent="0.25">
      <c r="A4775" s="61"/>
      <c r="B4775" s="59"/>
    </row>
    <row r="4776" spans="1:2" x14ac:dyDescent="0.25">
      <c r="A4776" s="61"/>
      <c r="B4776" s="59"/>
    </row>
    <row r="4777" spans="1:2" x14ac:dyDescent="0.25">
      <c r="A4777" s="61"/>
      <c r="B4777" s="59"/>
    </row>
    <row r="4778" spans="1:2" x14ac:dyDescent="0.25">
      <c r="A4778" s="61"/>
      <c r="B4778" s="59"/>
    </row>
    <row r="4779" spans="1:2" x14ac:dyDescent="0.25">
      <c r="A4779" s="61"/>
      <c r="B4779" s="59"/>
    </row>
    <row r="4780" spans="1:2" x14ac:dyDescent="0.25">
      <c r="A4780" s="61"/>
      <c r="B4780" s="59"/>
    </row>
    <row r="4781" spans="1:2" x14ac:dyDescent="0.25">
      <c r="A4781" s="61"/>
      <c r="B4781" s="59"/>
    </row>
    <row r="4782" spans="1:2" x14ac:dyDescent="0.25">
      <c r="A4782" s="61"/>
      <c r="B4782" s="59"/>
    </row>
    <row r="4783" spans="1:2" x14ac:dyDescent="0.25">
      <c r="A4783" s="61"/>
      <c r="B4783" s="59"/>
    </row>
    <row r="4784" spans="1:2" x14ac:dyDescent="0.25">
      <c r="A4784" s="61"/>
      <c r="B4784" s="59"/>
    </row>
    <row r="4785" spans="1:2" x14ac:dyDescent="0.25">
      <c r="A4785" s="61"/>
      <c r="B4785" s="59"/>
    </row>
    <row r="4786" spans="1:2" x14ac:dyDescent="0.25">
      <c r="A4786" s="61"/>
      <c r="B4786" s="59"/>
    </row>
    <row r="4787" spans="1:2" x14ac:dyDescent="0.25">
      <c r="A4787" s="61"/>
      <c r="B4787" s="59"/>
    </row>
    <row r="4788" spans="1:2" x14ac:dyDescent="0.25">
      <c r="A4788" s="61"/>
      <c r="B4788" s="59"/>
    </row>
    <row r="4789" spans="1:2" x14ac:dyDescent="0.25">
      <c r="A4789" s="61"/>
      <c r="B4789" s="59"/>
    </row>
    <row r="4790" spans="1:2" x14ac:dyDescent="0.25">
      <c r="A4790" s="61"/>
      <c r="B4790" s="59"/>
    </row>
    <row r="4791" spans="1:2" x14ac:dyDescent="0.25">
      <c r="A4791" s="61"/>
      <c r="B4791" s="59"/>
    </row>
    <row r="4792" spans="1:2" x14ac:dyDescent="0.25">
      <c r="A4792" s="61"/>
      <c r="B4792" s="59"/>
    </row>
    <row r="4793" spans="1:2" x14ac:dyDescent="0.25">
      <c r="A4793" s="61"/>
      <c r="B4793" s="59"/>
    </row>
    <row r="4794" spans="1:2" x14ac:dyDescent="0.25">
      <c r="A4794" s="61"/>
      <c r="B4794" s="59"/>
    </row>
    <row r="4795" spans="1:2" x14ac:dyDescent="0.25">
      <c r="A4795" s="61"/>
      <c r="B4795" s="59"/>
    </row>
    <row r="4796" spans="1:2" x14ac:dyDescent="0.25">
      <c r="A4796" s="61"/>
      <c r="B4796" s="59"/>
    </row>
    <row r="4797" spans="1:2" x14ac:dyDescent="0.25">
      <c r="A4797" s="61"/>
      <c r="B4797" s="59"/>
    </row>
    <row r="4798" spans="1:2" x14ac:dyDescent="0.25">
      <c r="A4798" s="61"/>
      <c r="B4798" s="59"/>
    </row>
    <row r="4799" spans="1:2" x14ac:dyDescent="0.25">
      <c r="A4799" s="61"/>
      <c r="B4799" s="59"/>
    </row>
    <row r="4800" spans="1:2" x14ac:dyDescent="0.25">
      <c r="A4800" s="61"/>
      <c r="B4800" s="59"/>
    </row>
    <row r="4801" spans="1:2" x14ac:dyDescent="0.25">
      <c r="A4801" s="61"/>
      <c r="B4801" s="59"/>
    </row>
    <row r="4802" spans="1:2" x14ac:dyDescent="0.25">
      <c r="A4802" s="61"/>
      <c r="B4802" s="59"/>
    </row>
    <row r="4803" spans="1:2" x14ac:dyDescent="0.25">
      <c r="A4803" s="61"/>
      <c r="B4803" s="59"/>
    </row>
    <row r="4804" spans="1:2" x14ac:dyDescent="0.25">
      <c r="A4804" s="61"/>
      <c r="B4804" s="59"/>
    </row>
    <row r="4805" spans="1:2" x14ac:dyDescent="0.25">
      <c r="A4805" s="61"/>
      <c r="B4805" s="59"/>
    </row>
    <row r="4806" spans="1:2" x14ac:dyDescent="0.25">
      <c r="A4806" s="61"/>
      <c r="B4806" s="59"/>
    </row>
    <row r="4807" spans="1:2" x14ac:dyDescent="0.25">
      <c r="A4807" s="61"/>
      <c r="B4807" s="59"/>
    </row>
    <row r="4808" spans="1:2" x14ac:dyDescent="0.25">
      <c r="A4808" s="61"/>
      <c r="B4808" s="59"/>
    </row>
    <row r="4809" spans="1:2" x14ac:dyDescent="0.25">
      <c r="A4809" s="61"/>
      <c r="B4809" s="59"/>
    </row>
    <row r="4810" spans="1:2" x14ac:dyDescent="0.25">
      <c r="A4810" s="61"/>
      <c r="B4810" s="59"/>
    </row>
    <row r="4811" spans="1:2" x14ac:dyDescent="0.25">
      <c r="A4811" s="61"/>
      <c r="B4811" s="59"/>
    </row>
    <row r="4812" spans="1:2" x14ac:dyDescent="0.25">
      <c r="A4812" s="61"/>
      <c r="B4812" s="59"/>
    </row>
    <row r="4813" spans="1:2" x14ac:dyDescent="0.25">
      <c r="A4813" s="61"/>
      <c r="B4813" s="59"/>
    </row>
    <row r="4814" spans="1:2" x14ac:dyDescent="0.25">
      <c r="A4814" s="61"/>
      <c r="B4814" s="59"/>
    </row>
    <row r="4815" spans="1:2" x14ac:dyDescent="0.25">
      <c r="A4815" s="61"/>
      <c r="B4815" s="59"/>
    </row>
    <row r="4816" spans="1:2" x14ac:dyDescent="0.25">
      <c r="A4816" s="61"/>
      <c r="B4816" s="59"/>
    </row>
    <row r="4817" spans="1:2" x14ac:dyDescent="0.25">
      <c r="A4817" s="61"/>
      <c r="B4817" s="59"/>
    </row>
    <row r="4818" spans="1:2" x14ac:dyDescent="0.25">
      <c r="A4818" s="61"/>
      <c r="B4818" s="59"/>
    </row>
    <row r="4819" spans="1:2" x14ac:dyDescent="0.25">
      <c r="A4819" s="61"/>
      <c r="B4819" s="59"/>
    </row>
    <row r="4820" spans="1:2" x14ac:dyDescent="0.25">
      <c r="A4820" s="61"/>
      <c r="B4820" s="59"/>
    </row>
    <row r="4821" spans="1:2" x14ac:dyDescent="0.25">
      <c r="A4821" s="61"/>
      <c r="B4821" s="59"/>
    </row>
    <row r="4822" spans="1:2" x14ac:dyDescent="0.25">
      <c r="A4822" s="61"/>
      <c r="B4822" s="59"/>
    </row>
    <row r="4823" spans="1:2" x14ac:dyDescent="0.25">
      <c r="A4823" s="61"/>
      <c r="B4823" s="59"/>
    </row>
    <row r="4824" spans="1:2" x14ac:dyDescent="0.25">
      <c r="A4824" s="61"/>
      <c r="B4824" s="59"/>
    </row>
    <row r="4825" spans="1:2" x14ac:dyDescent="0.25">
      <c r="A4825" s="61"/>
      <c r="B4825" s="59"/>
    </row>
    <row r="4826" spans="1:2" x14ac:dyDescent="0.25">
      <c r="A4826" s="61"/>
      <c r="B4826" s="59"/>
    </row>
    <row r="4827" spans="1:2" x14ac:dyDescent="0.25">
      <c r="A4827" s="61"/>
      <c r="B4827" s="59"/>
    </row>
    <row r="4828" spans="1:2" x14ac:dyDescent="0.25">
      <c r="A4828" s="61"/>
      <c r="B4828" s="59"/>
    </row>
    <row r="4829" spans="1:2" x14ac:dyDescent="0.25">
      <c r="A4829" s="61"/>
      <c r="B4829" s="59"/>
    </row>
    <row r="4830" spans="1:2" x14ac:dyDescent="0.25">
      <c r="A4830" s="61"/>
      <c r="B4830" s="59"/>
    </row>
    <row r="4831" spans="1:2" x14ac:dyDescent="0.25">
      <c r="A4831" s="61"/>
      <c r="B4831" s="59"/>
    </row>
    <row r="4832" spans="1:2" x14ac:dyDescent="0.25">
      <c r="A4832" s="61"/>
      <c r="B4832" s="59"/>
    </row>
    <row r="4833" spans="1:2" x14ac:dyDescent="0.25">
      <c r="A4833" s="61"/>
      <c r="B4833" s="59"/>
    </row>
    <row r="4834" spans="1:2" x14ac:dyDescent="0.25">
      <c r="A4834" s="61"/>
      <c r="B4834" s="59"/>
    </row>
    <row r="4835" spans="1:2" x14ac:dyDescent="0.25">
      <c r="A4835" s="61"/>
      <c r="B4835" s="59"/>
    </row>
    <row r="4836" spans="1:2" x14ac:dyDescent="0.25">
      <c r="A4836" s="61"/>
      <c r="B4836" s="59"/>
    </row>
    <row r="4837" spans="1:2" x14ac:dyDescent="0.25">
      <c r="A4837" s="61"/>
      <c r="B4837" s="59"/>
    </row>
    <row r="4838" spans="1:2" x14ac:dyDescent="0.25">
      <c r="A4838" s="61"/>
      <c r="B4838" s="59"/>
    </row>
    <row r="4839" spans="1:2" x14ac:dyDescent="0.25">
      <c r="A4839" s="61"/>
      <c r="B4839" s="59"/>
    </row>
    <row r="4840" spans="1:2" x14ac:dyDescent="0.25">
      <c r="A4840" s="61"/>
      <c r="B4840" s="59"/>
    </row>
    <row r="4841" spans="1:2" x14ac:dyDescent="0.25">
      <c r="A4841" s="61"/>
      <c r="B4841" s="59"/>
    </row>
    <row r="4842" spans="1:2" x14ac:dyDescent="0.25">
      <c r="A4842" s="61"/>
      <c r="B4842" s="59"/>
    </row>
    <row r="4843" spans="1:2" x14ac:dyDescent="0.25">
      <c r="A4843" s="61"/>
      <c r="B4843" s="59"/>
    </row>
    <row r="4844" spans="1:2" x14ac:dyDescent="0.25">
      <c r="A4844" s="61"/>
      <c r="B4844" s="59"/>
    </row>
    <row r="4845" spans="1:2" x14ac:dyDescent="0.25">
      <c r="A4845" s="61"/>
      <c r="B4845" s="59"/>
    </row>
    <row r="4846" spans="1:2" x14ac:dyDescent="0.25">
      <c r="A4846" s="61"/>
      <c r="B4846" s="59"/>
    </row>
    <row r="4847" spans="1:2" x14ac:dyDescent="0.25">
      <c r="A4847" s="61"/>
      <c r="B4847" s="59"/>
    </row>
    <row r="4848" spans="1:2" x14ac:dyDescent="0.25">
      <c r="A4848" s="61"/>
      <c r="B4848" s="59"/>
    </row>
    <row r="4849" spans="1:2" x14ac:dyDescent="0.25">
      <c r="A4849" s="61"/>
      <c r="B4849" s="59"/>
    </row>
    <row r="4850" spans="1:2" x14ac:dyDescent="0.25">
      <c r="A4850" s="61"/>
      <c r="B4850" s="59"/>
    </row>
    <row r="4851" spans="1:2" x14ac:dyDescent="0.25">
      <c r="A4851" s="61"/>
      <c r="B4851" s="59"/>
    </row>
    <row r="4852" spans="1:2" x14ac:dyDescent="0.25">
      <c r="A4852" s="61"/>
      <c r="B4852" s="59"/>
    </row>
    <row r="4853" spans="1:2" x14ac:dyDescent="0.25">
      <c r="A4853" s="61"/>
      <c r="B4853" s="59"/>
    </row>
    <row r="4854" spans="1:2" x14ac:dyDescent="0.25">
      <c r="A4854" s="61"/>
      <c r="B4854" s="59"/>
    </row>
    <row r="4855" spans="1:2" x14ac:dyDescent="0.25">
      <c r="A4855" s="61"/>
      <c r="B4855" s="59"/>
    </row>
    <row r="4856" spans="1:2" x14ac:dyDescent="0.25">
      <c r="A4856" s="61"/>
      <c r="B4856" s="59"/>
    </row>
    <row r="4857" spans="1:2" x14ac:dyDescent="0.25">
      <c r="A4857" s="61"/>
      <c r="B4857" s="59"/>
    </row>
    <row r="4858" spans="1:2" x14ac:dyDescent="0.25">
      <c r="A4858" s="61"/>
      <c r="B4858" s="59"/>
    </row>
    <row r="4859" spans="1:2" x14ac:dyDescent="0.25">
      <c r="A4859" s="61"/>
      <c r="B4859" s="59"/>
    </row>
    <row r="4860" spans="1:2" x14ac:dyDescent="0.25">
      <c r="A4860" s="61"/>
      <c r="B4860" s="59"/>
    </row>
    <row r="4861" spans="1:2" x14ac:dyDescent="0.25">
      <c r="A4861" s="61"/>
      <c r="B4861" s="59"/>
    </row>
    <row r="4862" spans="1:2" x14ac:dyDescent="0.25">
      <c r="A4862" s="61"/>
      <c r="B4862" s="59"/>
    </row>
    <row r="4863" spans="1:2" x14ac:dyDescent="0.25">
      <c r="A4863" s="61"/>
      <c r="B4863" s="59"/>
    </row>
    <row r="4864" spans="1:2" x14ac:dyDescent="0.25">
      <c r="A4864" s="61"/>
      <c r="B4864" s="59"/>
    </row>
    <row r="4865" spans="1:2" x14ac:dyDescent="0.25">
      <c r="A4865" s="61"/>
      <c r="B4865" s="59"/>
    </row>
    <row r="4866" spans="1:2" x14ac:dyDescent="0.25">
      <c r="A4866" s="61"/>
      <c r="B4866" s="59"/>
    </row>
    <row r="4867" spans="1:2" x14ac:dyDescent="0.25">
      <c r="A4867" s="61"/>
      <c r="B4867" s="59"/>
    </row>
    <row r="4868" spans="1:2" x14ac:dyDescent="0.25">
      <c r="A4868" s="61"/>
      <c r="B4868" s="59"/>
    </row>
    <row r="4869" spans="1:2" x14ac:dyDescent="0.25">
      <c r="A4869" s="61"/>
      <c r="B4869" s="59"/>
    </row>
    <row r="4870" spans="1:2" x14ac:dyDescent="0.25">
      <c r="A4870" s="61"/>
      <c r="B4870" s="59"/>
    </row>
    <row r="4871" spans="1:2" x14ac:dyDescent="0.25">
      <c r="A4871" s="61"/>
      <c r="B4871" s="59"/>
    </row>
    <row r="4872" spans="1:2" x14ac:dyDescent="0.25">
      <c r="A4872" s="61"/>
      <c r="B4872" s="59"/>
    </row>
    <row r="4873" spans="1:2" x14ac:dyDescent="0.25">
      <c r="A4873" s="61"/>
      <c r="B4873" s="59"/>
    </row>
    <row r="4874" spans="1:2" x14ac:dyDescent="0.25">
      <c r="A4874" s="61"/>
      <c r="B4874" s="59"/>
    </row>
    <row r="4875" spans="1:2" x14ac:dyDescent="0.25">
      <c r="A4875" s="61"/>
      <c r="B4875" s="59"/>
    </row>
    <row r="4876" spans="1:2" x14ac:dyDescent="0.25">
      <c r="A4876" s="61"/>
      <c r="B4876" s="59"/>
    </row>
    <row r="4877" spans="1:2" x14ac:dyDescent="0.25">
      <c r="A4877" s="61"/>
      <c r="B4877" s="59"/>
    </row>
    <row r="4878" spans="1:2" x14ac:dyDescent="0.25">
      <c r="A4878" s="61"/>
      <c r="B4878" s="59"/>
    </row>
    <row r="4879" spans="1:2" x14ac:dyDescent="0.25">
      <c r="A4879" s="61"/>
      <c r="B4879" s="59"/>
    </row>
    <row r="4880" spans="1:2" x14ac:dyDescent="0.25">
      <c r="A4880" s="61"/>
      <c r="B4880" s="59"/>
    </row>
    <row r="4881" spans="1:2" x14ac:dyDescent="0.25">
      <c r="A4881" s="61"/>
      <c r="B4881" s="59"/>
    </row>
    <row r="4882" spans="1:2" x14ac:dyDescent="0.25">
      <c r="A4882" s="61"/>
      <c r="B4882" s="59"/>
    </row>
    <row r="4883" spans="1:2" x14ac:dyDescent="0.25">
      <c r="A4883" s="61"/>
      <c r="B4883" s="59"/>
    </row>
    <row r="4884" spans="1:2" x14ac:dyDescent="0.25">
      <c r="A4884" s="61"/>
      <c r="B4884" s="59"/>
    </row>
    <row r="4885" spans="1:2" x14ac:dyDescent="0.25">
      <c r="A4885" s="61"/>
      <c r="B4885" s="59"/>
    </row>
    <row r="4886" spans="1:2" x14ac:dyDescent="0.25">
      <c r="A4886" s="61"/>
      <c r="B4886" s="59"/>
    </row>
    <row r="4887" spans="1:2" x14ac:dyDescent="0.25">
      <c r="A4887" s="61"/>
      <c r="B4887" s="59"/>
    </row>
    <row r="4888" spans="1:2" x14ac:dyDescent="0.25">
      <c r="A4888" s="61"/>
      <c r="B4888" s="59"/>
    </row>
    <row r="4889" spans="1:2" x14ac:dyDescent="0.25">
      <c r="A4889" s="61"/>
      <c r="B4889" s="59"/>
    </row>
    <row r="4890" spans="1:2" x14ac:dyDescent="0.25">
      <c r="A4890" s="61"/>
      <c r="B4890" s="59"/>
    </row>
    <row r="4891" spans="1:2" x14ac:dyDescent="0.25">
      <c r="A4891" s="61"/>
      <c r="B4891" s="59"/>
    </row>
    <row r="4892" spans="1:2" x14ac:dyDescent="0.25">
      <c r="A4892" s="61"/>
      <c r="B4892" s="59"/>
    </row>
    <row r="4893" spans="1:2" x14ac:dyDescent="0.25">
      <c r="A4893" s="61"/>
      <c r="B4893" s="59"/>
    </row>
    <row r="4894" spans="1:2" x14ac:dyDescent="0.25">
      <c r="A4894" s="61"/>
      <c r="B4894" s="59"/>
    </row>
    <row r="4895" spans="1:2" x14ac:dyDescent="0.25">
      <c r="A4895" s="61"/>
      <c r="B4895" s="59"/>
    </row>
    <row r="4896" spans="1:2" x14ac:dyDescent="0.25">
      <c r="A4896" s="61"/>
      <c r="B4896" s="59"/>
    </row>
    <row r="4897" spans="1:2" x14ac:dyDescent="0.25">
      <c r="A4897" s="61"/>
      <c r="B4897" s="59"/>
    </row>
    <row r="4898" spans="1:2" x14ac:dyDescent="0.25">
      <c r="A4898" s="61"/>
      <c r="B4898" s="59"/>
    </row>
    <row r="4899" spans="1:2" x14ac:dyDescent="0.25">
      <c r="A4899" s="61"/>
      <c r="B4899" s="59"/>
    </row>
    <row r="4900" spans="1:2" x14ac:dyDescent="0.25">
      <c r="A4900" s="61"/>
      <c r="B4900" s="59"/>
    </row>
    <row r="4901" spans="1:2" x14ac:dyDescent="0.25">
      <c r="A4901" s="61"/>
      <c r="B4901" s="59"/>
    </row>
    <row r="4902" spans="1:2" x14ac:dyDescent="0.25">
      <c r="A4902" s="61"/>
      <c r="B4902" s="59"/>
    </row>
    <row r="4903" spans="1:2" x14ac:dyDescent="0.25">
      <c r="A4903" s="61"/>
      <c r="B4903" s="59"/>
    </row>
    <row r="4904" spans="1:2" x14ac:dyDescent="0.25">
      <c r="A4904" s="61"/>
      <c r="B4904" s="59"/>
    </row>
    <row r="4905" spans="1:2" x14ac:dyDescent="0.25">
      <c r="A4905" s="61"/>
      <c r="B4905" s="59"/>
    </row>
    <row r="4906" spans="1:2" x14ac:dyDescent="0.25">
      <c r="A4906" s="61"/>
      <c r="B4906" s="59"/>
    </row>
    <row r="4907" spans="1:2" x14ac:dyDescent="0.25">
      <c r="A4907" s="61"/>
      <c r="B4907" s="59"/>
    </row>
    <row r="4908" spans="1:2" x14ac:dyDescent="0.25">
      <c r="A4908" s="61"/>
      <c r="B4908" s="59"/>
    </row>
    <row r="4909" spans="1:2" x14ac:dyDescent="0.25">
      <c r="A4909" s="61"/>
      <c r="B4909" s="59"/>
    </row>
    <row r="4910" spans="1:2" x14ac:dyDescent="0.25">
      <c r="A4910" s="61"/>
      <c r="B4910" s="59"/>
    </row>
    <row r="4911" spans="1:2" x14ac:dyDescent="0.25">
      <c r="A4911" s="61"/>
      <c r="B4911" s="59"/>
    </row>
    <row r="4912" spans="1:2" x14ac:dyDescent="0.25">
      <c r="A4912" s="61"/>
      <c r="B4912" s="59"/>
    </row>
    <row r="4913" spans="1:2" x14ac:dyDescent="0.25">
      <c r="A4913" s="61"/>
      <c r="B4913" s="59"/>
    </row>
    <row r="4914" spans="1:2" x14ac:dyDescent="0.25">
      <c r="A4914" s="61"/>
      <c r="B4914" s="59"/>
    </row>
    <row r="4915" spans="1:2" x14ac:dyDescent="0.25">
      <c r="A4915" s="61"/>
      <c r="B4915" s="59"/>
    </row>
    <row r="4916" spans="1:2" x14ac:dyDescent="0.25">
      <c r="A4916" s="61"/>
      <c r="B4916" s="59"/>
    </row>
    <row r="4917" spans="1:2" x14ac:dyDescent="0.25">
      <c r="A4917" s="61"/>
      <c r="B4917" s="59"/>
    </row>
    <row r="4918" spans="1:2" x14ac:dyDescent="0.25">
      <c r="A4918" s="61"/>
      <c r="B4918" s="59"/>
    </row>
    <row r="4919" spans="1:2" x14ac:dyDescent="0.25">
      <c r="A4919" s="61"/>
      <c r="B4919" s="59"/>
    </row>
    <row r="4920" spans="1:2" x14ac:dyDescent="0.25">
      <c r="A4920" s="61"/>
      <c r="B4920" s="59"/>
    </row>
    <row r="4921" spans="1:2" x14ac:dyDescent="0.25">
      <c r="A4921" s="61"/>
      <c r="B4921" s="59"/>
    </row>
    <row r="4922" spans="1:2" x14ac:dyDescent="0.25">
      <c r="A4922" s="61"/>
      <c r="B4922" s="59"/>
    </row>
    <row r="4923" spans="1:2" x14ac:dyDescent="0.25">
      <c r="A4923" s="61"/>
      <c r="B4923" s="59"/>
    </row>
    <row r="4924" spans="1:2" x14ac:dyDescent="0.25">
      <c r="A4924" s="61"/>
      <c r="B4924" s="59"/>
    </row>
    <row r="4925" spans="1:2" x14ac:dyDescent="0.25">
      <c r="A4925" s="61"/>
      <c r="B4925" s="59"/>
    </row>
    <row r="4926" spans="1:2" x14ac:dyDescent="0.25">
      <c r="A4926" s="61"/>
      <c r="B4926" s="59"/>
    </row>
    <row r="4927" spans="1:2" x14ac:dyDescent="0.25">
      <c r="A4927" s="61"/>
      <c r="B4927" s="59"/>
    </row>
    <row r="4928" spans="1:2" x14ac:dyDescent="0.25">
      <c r="A4928" s="61"/>
      <c r="B4928" s="59"/>
    </row>
    <row r="4929" spans="1:2" x14ac:dyDescent="0.25">
      <c r="A4929" s="61"/>
      <c r="B4929" s="59"/>
    </row>
    <row r="4930" spans="1:2" x14ac:dyDescent="0.25">
      <c r="A4930" s="61"/>
      <c r="B4930" s="59"/>
    </row>
    <row r="4931" spans="1:2" x14ac:dyDescent="0.25">
      <c r="A4931" s="61"/>
      <c r="B4931" s="59"/>
    </row>
    <row r="4932" spans="1:2" x14ac:dyDescent="0.25">
      <c r="A4932" s="61"/>
      <c r="B4932" s="59"/>
    </row>
    <row r="4933" spans="1:2" x14ac:dyDescent="0.25">
      <c r="A4933" s="61"/>
      <c r="B4933" s="59"/>
    </row>
    <row r="4934" spans="1:2" x14ac:dyDescent="0.25">
      <c r="A4934" s="61"/>
      <c r="B4934" s="59"/>
    </row>
    <row r="4935" spans="1:2" x14ac:dyDescent="0.25">
      <c r="A4935" s="61"/>
      <c r="B4935" s="59"/>
    </row>
    <row r="4936" spans="1:2" x14ac:dyDescent="0.25">
      <c r="A4936" s="61"/>
      <c r="B4936" s="59"/>
    </row>
    <row r="4937" spans="1:2" x14ac:dyDescent="0.25">
      <c r="A4937" s="61"/>
      <c r="B4937" s="59"/>
    </row>
    <row r="4938" spans="1:2" x14ac:dyDescent="0.25">
      <c r="A4938" s="61"/>
      <c r="B4938" s="59"/>
    </row>
    <row r="4939" spans="1:2" x14ac:dyDescent="0.25">
      <c r="A4939" s="61"/>
      <c r="B4939" s="59"/>
    </row>
    <row r="4940" spans="1:2" x14ac:dyDescent="0.25">
      <c r="A4940" s="61"/>
      <c r="B4940" s="59"/>
    </row>
    <row r="4941" spans="1:2" x14ac:dyDescent="0.25">
      <c r="A4941" s="61"/>
      <c r="B4941" s="59"/>
    </row>
    <row r="4942" spans="1:2" x14ac:dyDescent="0.25">
      <c r="A4942" s="61"/>
      <c r="B4942" s="59"/>
    </row>
    <row r="4943" spans="1:2" x14ac:dyDescent="0.25">
      <c r="A4943" s="61"/>
      <c r="B4943" s="59"/>
    </row>
    <row r="4944" spans="1:2" x14ac:dyDescent="0.25">
      <c r="A4944" s="61"/>
      <c r="B4944" s="59"/>
    </row>
    <row r="4945" spans="1:2" x14ac:dyDescent="0.25">
      <c r="A4945" s="61"/>
      <c r="B4945" s="59"/>
    </row>
    <row r="4946" spans="1:2" x14ac:dyDescent="0.25">
      <c r="A4946" s="61"/>
      <c r="B4946" s="59"/>
    </row>
    <row r="4947" spans="1:2" x14ac:dyDescent="0.25">
      <c r="A4947" s="61"/>
      <c r="B4947" s="59"/>
    </row>
    <row r="4948" spans="1:2" x14ac:dyDescent="0.25">
      <c r="A4948" s="61"/>
      <c r="B4948" s="59"/>
    </row>
    <row r="4949" spans="1:2" x14ac:dyDescent="0.25">
      <c r="A4949" s="61"/>
      <c r="B4949" s="59"/>
    </row>
    <row r="4950" spans="1:2" x14ac:dyDescent="0.25">
      <c r="A4950" s="61"/>
      <c r="B4950" s="59"/>
    </row>
    <row r="4951" spans="1:2" x14ac:dyDescent="0.25">
      <c r="A4951" s="61"/>
      <c r="B4951" s="59"/>
    </row>
    <row r="4952" spans="1:2" x14ac:dyDescent="0.25">
      <c r="A4952" s="61"/>
      <c r="B4952" s="59"/>
    </row>
    <row r="4953" spans="1:2" x14ac:dyDescent="0.25">
      <c r="A4953" s="61"/>
      <c r="B4953" s="59"/>
    </row>
    <row r="4954" spans="1:2" x14ac:dyDescent="0.25">
      <c r="A4954" s="61"/>
      <c r="B4954" s="59"/>
    </row>
    <row r="4955" spans="1:2" x14ac:dyDescent="0.25">
      <c r="A4955" s="61"/>
      <c r="B4955" s="59"/>
    </row>
    <row r="4956" spans="1:2" x14ac:dyDescent="0.25">
      <c r="A4956" s="61"/>
      <c r="B4956" s="59"/>
    </row>
    <row r="4957" spans="1:2" x14ac:dyDescent="0.25">
      <c r="A4957" s="61"/>
      <c r="B4957" s="59"/>
    </row>
    <row r="4958" spans="1:2" x14ac:dyDescent="0.25">
      <c r="A4958" s="61"/>
      <c r="B4958" s="59"/>
    </row>
    <row r="4959" spans="1:2" x14ac:dyDescent="0.25">
      <c r="A4959" s="61"/>
      <c r="B4959" s="59"/>
    </row>
    <row r="4960" spans="1:2" x14ac:dyDescent="0.25">
      <c r="A4960" s="61"/>
      <c r="B4960" s="59"/>
    </row>
    <row r="4961" spans="1:2" x14ac:dyDescent="0.25">
      <c r="A4961" s="61"/>
      <c r="B4961" s="59"/>
    </row>
    <row r="4962" spans="1:2" x14ac:dyDescent="0.25">
      <c r="A4962" s="61"/>
      <c r="B4962" s="59"/>
    </row>
    <row r="4963" spans="1:2" x14ac:dyDescent="0.25">
      <c r="A4963" s="61"/>
      <c r="B4963" s="59"/>
    </row>
    <row r="4964" spans="1:2" x14ac:dyDescent="0.25">
      <c r="A4964" s="61"/>
      <c r="B4964" s="59"/>
    </row>
    <row r="4965" spans="1:2" x14ac:dyDescent="0.25">
      <c r="A4965" s="61"/>
      <c r="B4965" s="59"/>
    </row>
    <row r="4966" spans="1:2" x14ac:dyDescent="0.25">
      <c r="A4966" s="61"/>
      <c r="B4966" s="59"/>
    </row>
    <row r="4967" spans="1:2" x14ac:dyDescent="0.25">
      <c r="A4967" s="61"/>
      <c r="B4967" s="59"/>
    </row>
    <row r="4968" spans="1:2" x14ac:dyDescent="0.25">
      <c r="A4968" s="61"/>
      <c r="B4968" s="59"/>
    </row>
    <row r="4969" spans="1:2" x14ac:dyDescent="0.25">
      <c r="A4969" s="61"/>
      <c r="B4969" s="59"/>
    </row>
    <row r="4970" spans="1:2" x14ac:dyDescent="0.25">
      <c r="A4970" s="61"/>
      <c r="B4970" s="59"/>
    </row>
    <row r="4971" spans="1:2" x14ac:dyDescent="0.25">
      <c r="A4971" s="61"/>
      <c r="B4971" s="59"/>
    </row>
    <row r="4972" spans="1:2" x14ac:dyDescent="0.25">
      <c r="A4972" s="61"/>
      <c r="B4972" s="59"/>
    </row>
    <row r="4973" spans="1:2" x14ac:dyDescent="0.25">
      <c r="A4973" s="61"/>
      <c r="B4973" s="59"/>
    </row>
    <row r="4974" spans="1:2" x14ac:dyDescent="0.25">
      <c r="A4974" s="61"/>
      <c r="B4974" s="59"/>
    </row>
    <row r="4975" spans="1:2" x14ac:dyDescent="0.25">
      <c r="A4975" s="61"/>
      <c r="B4975" s="59"/>
    </row>
    <row r="4976" spans="1:2" x14ac:dyDescent="0.25">
      <c r="A4976" s="61"/>
      <c r="B4976" s="59"/>
    </row>
    <row r="4977" spans="1:2" x14ac:dyDescent="0.25">
      <c r="A4977" s="61"/>
      <c r="B4977" s="59"/>
    </row>
    <row r="4978" spans="1:2" x14ac:dyDescent="0.25">
      <c r="A4978" s="61"/>
      <c r="B4978" s="59"/>
    </row>
    <row r="4979" spans="1:2" x14ac:dyDescent="0.25">
      <c r="A4979" s="61"/>
      <c r="B4979" s="59"/>
    </row>
    <row r="4980" spans="1:2" x14ac:dyDescent="0.25">
      <c r="A4980" s="61"/>
      <c r="B4980" s="59"/>
    </row>
    <row r="4981" spans="1:2" x14ac:dyDescent="0.25">
      <c r="A4981" s="61"/>
      <c r="B4981" s="59"/>
    </row>
    <row r="4982" spans="1:2" x14ac:dyDescent="0.25">
      <c r="A4982" s="61"/>
      <c r="B4982" s="59"/>
    </row>
    <row r="4983" spans="1:2" x14ac:dyDescent="0.25">
      <c r="A4983" s="61"/>
      <c r="B4983" s="59"/>
    </row>
    <row r="4984" spans="1:2" x14ac:dyDescent="0.25">
      <c r="A4984" s="61"/>
      <c r="B4984" s="59"/>
    </row>
    <row r="4985" spans="1:2" x14ac:dyDescent="0.25">
      <c r="A4985" s="61"/>
      <c r="B4985" s="59"/>
    </row>
    <row r="4986" spans="1:2" x14ac:dyDescent="0.25">
      <c r="A4986" s="61"/>
      <c r="B4986" s="59"/>
    </row>
    <row r="4987" spans="1:2" x14ac:dyDescent="0.25">
      <c r="A4987" s="61"/>
      <c r="B4987" s="59"/>
    </row>
    <row r="4988" spans="1:2" x14ac:dyDescent="0.25">
      <c r="A4988" s="61"/>
      <c r="B4988" s="59"/>
    </row>
    <row r="4989" spans="1:2" x14ac:dyDescent="0.25">
      <c r="A4989" s="61"/>
      <c r="B4989" s="59"/>
    </row>
    <row r="4990" spans="1:2" x14ac:dyDescent="0.25">
      <c r="A4990" s="61"/>
      <c r="B4990" s="59"/>
    </row>
    <row r="4991" spans="1:2" x14ac:dyDescent="0.25">
      <c r="A4991" s="61"/>
      <c r="B4991" s="59"/>
    </row>
    <row r="4992" spans="1:2" x14ac:dyDescent="0.25">
      <c r="A4992" s="61"/>
      <c r="B4992" s="59"/>
    </row>
    <row r="4993" spans="1:2" x14ac:dyDescent="0.25">
      <c r="A4993" s="61"/>
      <c r="B4993" s="59"/>
    </row>
    <row r="4994" spans="1:2" x14ac:dyDescent="0.25">
      <c r="A4994" s="61"/>
      <c r="B4994" s="59"/>
    </row>
    <row r="4995" spans="1:2" x14ac:dyDescent="0.25">
      <c r="A4995" s="61"/>
      <c r="B4995" s="59"/>
    </row>
    <row r="4996" spans="1:2" x14ac:dyDescent="0.25">
      <c r="A4996" s="61"/>
      <c r="B4996" s="59"/>
    </row>
    <row r="4997" spans="1:2" x14ac:dyDescent="0.25">
      <c r="A4997" s="61"/>
      <c r="B4997" s="59"/>
    </row>
    <row r="4998" spans="1:2" x14ac:dyDescent="0.25">
      <c r="A4998" s="61"/>
      <c r="B4998" s="59"/>
    </row>
    <row r="4999" spans="1:2" x14ac:dyDescent="0.25">
      <c r="A4999" s="61"/>
      <c r="B4999" s="59"/>
    </row>
    <row r="5000" spans="1:2" x14ac:dyDescent="0.25">
      <c r="A5000" s="61"/>
      <c r="B5000" s="59"/>
    </row>
    <row r="5001" spans="1:2" x14ac:dyDescent="0.25">
      <c r="A5001" s="61"/>
      <c r="B5001" s="59"/>
    </row>
    <row r="5002" spans="1:2" x14ac:dyDescent="0.25">
      <c r="B5002" s="59"/>
    </row>
    <row r="5003" spans="1:2" x14ac:dyDescent="0.25">
      <c r="B5003" s="59"/>
    </row>
    <row r="5004" spans="1:2" x14ac:dyDescent="0.25">
      <c r="B5004" s="59"/>
    </row>
    <row r="5005" spans="1:2" x14ac:dyDescent="0.25">
      <c r="B5005" s="59"/>
    </row>
    <row r="5006" spans="1:2" x14ac:dyDescent="0.25">
      <c r="B5006" s="59"/>
    </row>
    <row r="5007" spans="1:2" x14ac:dyDescent="0.25">
      <c r="B5007" s="59"/>
    </row>
    <row r="5008" spans="1:2" x14ac:dyDescent="0.25">
      <c r="B5008" s="59"/>
    </row>
    <row r="5009" spans="2:2" x14ac:dyDescent="0.25">
      <c r="B5009" s="59"/>
    </row>
    <row r="5010" spans="2:2" x14ac:dyDescent="0.25">
      <c r="B5010" s="59"/>
    </row>
    <row r="5011" spans="2:2" x14ac:dyDescent="0.25">
      <c r="B5011" s="59"/>
    </row>
    <row r="5012" spans="2:2" x14ac:dyDescent="0.25">
      <c r="B5012" s="59"/>
    </row>
    <row r="5013" spans="2:2" x14ac:dyDescent="0.25">
      <c r="B5013" s="59"/>
    </row>
    <row r="5014" spans="2:2" x14ac:dyDescent="0.25">
      <c r="B5014" s="59"/>
    </row>
    <row r="5015" spans="2:2" x14ac:dyDescent="0.25">
      <c r="B5015" s="59"/>
    </row>
    <row r="5016" spans="2:2" x14ac:dyDescent="0.25">
      <c r="B5016" s="59"/>
    </row>
    <row r="5017" spans="2:2" x14ac:dyDescent="0.25">
      <c r="B5017" s="59"/>
    </row>
    <row r="5018" spans="2:2" x14ac:dyDescent="0.25">
      <c r="B5018" s="59"/>
    </row>
    <row r="5019" spans="2:2" x14ac:dyDescent="0.25">
      <c r="B5019" s="59"/>
    </row>
    <row r="5020" spans="2:2" x14ac:dyDescent="0.25">
      <c r="B5020" s="59"/>
    </row>
    <row r="5021" spans="2:2" x14ac:dyDescent="0.25">
      <c r="B5021" s="59"/>
    </row>
    <row r="5022" spans="2:2" x14ac:dyDescent="0.25">
      <c r="B5022" s="59"/>
    </row>
    <row r="5023" spans="2:2" x14ac:dyDescent="0.25">
      <c r="B5023" s="59"/>
    </row>
    <row r="5024" spans="2:2" x14ac:dyDescent="0.25">
      <c r="B5024" s="59"/>
    </row>
    <row r="5025" spans="2:2" x14ac:dyDescent="0.25">
      <c r="B5025" s="59"/>
    </row>
    <row r="5026" spans="2:2" x14ac:dyDescent="0.25">
      <c r="B5026" s="59"/>
    </row>
    <row r="5027" spans="2:2" x14ac:dyDescent="0.25">
      <c r="B5027" s="59"/>
    </row>
    <row r="5028" spans="2:2" x14ac:dyDescent="0.25">
      <c r="B5028" s="59"/>
    </row>
    <row r="5029" spans="2:2" x14ac:dyDescent="0.25">
      <c r="B5029" s="59"/>
    </row>
    <row r="5030" spans="2:2" x14ac:dyDescent="0.25">
      <c r="B5030" s="59"/>
    </row>
    <row r="5031" spans="2:2" x14ac:dyDescent="0.25">
      <c r="B5031" s="59"/>
    </row>
    <row r="5032" spans="2:2" x14ac:dyDescent="0.25">
      <c r="B5032" s="59"/>
    </row>
    <row r="5033" spans="2:2" x14ac:dyDescent="0.25">
      <c r="B5033" s="59"/>
    </row>
    <row r="5034" spans="2:2" x14ac:dyDescent="0.25">
      <c r="B5034" s="59"/>
    </row>
    <row r="5035" spans="2:2" x14ac:dyDescent="0.25">
      <c r="B5035" s="59"/>
    </row>
    <row r="5036" spans="2:2" x14ac:dyDescent="0.25">
      <c r="B5036" s="59"/>
    </row>
    <row r="5037" spans="2:2" x14ac:dyDescent="0.25">
      <c r="B5037" s="59"/>
    </row>
    <row r="5038" spans="2:2" x14ac:dyDescent="0.25">
      <c r="B5038" s="59"/>
    </row>
    <row r="5039" spans="2:2" x14ac:dyDescent="0.25">
      <c r="B5039" s="59"/>
    </row>
    <row r="5040" spans="2:2" x14ac:dyDescent="0.25">
      <c r="B5040" s="59"/>
    </row>
    <row r="5041" spans="2:2" x14ac:dyDescent="0.25">
      <c r="B5041" s="59"/>
    </row>
    <row r="5042" spans="2:2" x14ac:dyDescent="0.25">
      <c r="B5042" s="59"/>
    </row>
    <row r="5043" spans="2:2" x14ac:dyDescent="0.25">
      <c r="B5043" s="59"/>
    </row>
    <row r="5044" spans="2:2" x14ac:dyDescent="0.25">
      <c r="B5044" s="59"/>
    </row>
    <row r="5045" spans="2:2" x14ac:dyDescent="0.25">
      <c r="B5045" s="59"/>
    </row>
    <row r="5046" spans="2:2" x14ac:dyDescent="0.25">
      <c r="B5046" s="59"/>
    </row>
    <row r="5047" spans="2:2" x14ac:dyDescent="0.25">
      <c r="B5047" s="59"/>
    </row>
    <row r="5048" spans="2:2" x14ac:dyDescent="0.25">
      <c r="B5048" s="59"/>
    </row>
    <row r="5049" spans="2:2" x14ac:dyDescent="0.25">
      <c r="B5049" s="59"/>
    </row>
    <row r="5050" spans="2:2" x14ac:dyDescent="0.25">
      <c r="B5050" s="59"/>
    </row>
    <row r="5051" spans="2:2" x14ac:dyDescent="0.25">
      <c r="B5051" s="59"/>
    </row>
    <row r="5052" spans="2:2" x14ac:dyDescent="0.25">
      <c r="B5052" s="59"/>
    </row>
    <row r="5053" spans="2:2" x14ac:dyDescent="0.25">
      <c r="B5053" s="59"/>
    </row>
    <row r="5054" spans="2:2" x14ac:dyDescent="0.25">
      <c r="B5054" s="59"/>
    </row>
    <row r="5055" spans="2:2" x14ac:dyDescent="0.25">
      <c r="B5055" s="59"/>
    </row>
    <row r="5056" spans="2:2" x14ac:dyDescent="0.25">
      <c r="B5056" s="59"/>
    </row>
    <row r="5057" spans="2:2" x14ac:dyDescent="0.25">
      <c r="B5057" s="59"/>
    </row>
    <row r="5058" spans="2:2" x14ac:dyDescent="0.25">
      <c r="B5058" s="59"/>
    </row>
    <row r="5059" spans="2:2" x14ac:dyDescent="0.25">
      <c r="B5059" s="59"/>
    </row>
    <row r="5060" spans="2:2" x14ac:dyDescent="0.25">
      <c r="B5060" s="59"/>
    </row>
    <row r="5061" spans="2:2" x14ac:dyDescent="0.25">
      <c r="B5061" s="59"/>
    </row>
    <row r="5062" spans="2:2" x14ac:dyDescent="0.25">
      <c r="B5062" s="59"/>
    </row>
    <row r="5063" spans="2:2" x14ac:dyDescent="0.25">
      <c r="B5063" s="59"/>
    </row>
    <row r="5064" spans="2:2" x14ac:dyDescent="0.25">
      <c r="B5064" s="59"/>
    </row>
    <row r="5065" spans="2:2" x14ac:dyDescent="0.25">
      <c r="B5065" s="59"/>
    </row>
    <row r="5066" spans="2:2" x14ac:dyDescent="0.25">
      <c r="B5066" s="59"/>
    </row>
    <row r="5067" spans="2:2" x14ac:dyDescent="0.25">
      <c r="B5067" s="59"/>
    </row>
    <row r="5068" spans="2:2" x14ac:dyDescent="0.25">
      <c r="B5068" s="59"/>
    </row>
    <row r="5069" spans="2:2" x14ac:dyDescent="0.25">
      <c r="B5069" s="59"/>
    </row>
    <row r="5070" spans="2:2" x14ac:dyDescent="0.25">
      <c r="B5070" s="59"/>
    </row>
    <row r="5071" spans="2:2" x14ac:dyDescent="0.25">
      <c r="B5071" s="59"/>
    </row>
    <row r="5072" spans="2:2" x14ac:dyDescent="0.25">
      <c r="B5072" s="59"/>
    </row>
    <row r="5073" spans="2:2" x14ac:dyDescent="0.25">
      <c r="B5073" s="59"/>
    </row>
    <row r="5074" spans="2:2" x14ac:dyDescent="0.25">
      <c r="B5074" s="59"/>
    </row>
    <row r="5075" spans="2:2" x14ac:dyDescent="0.25">
      <c r="B5075" s="59"/>
    </row>
    <row r="5076" spans="2:2" x14ac:dyDescent="0.25">
      <c r="B5076" s="59"/>
    </row>
    <row r="5077" spans="2:2" x14ac:dyDescent="0.25">
      <c r="B5077" s="59"/>
    </row>
    <row r="5078" spans="2:2" x14ac:dyDescent="0.25">
      <c r="B5078" s="59"/>
    </row>
    <row r="5079" spans="2:2" x14ac:dyDescent="0.25">
      <c r="B5079" s="59"/>
    </row>
    <row r="5080" spans="2:2" x14ac:dyDescent="0.25">
      <c r="B5080" s="59"/>
    </row>
    <row r="5081" spans="2:2" x14ac:dyDescent="0.25">
      <c r="B5081" s="59"/>
    </row>
    <row r="5082" spans="2:2" x14ac:dyDescent="0.25">
      <c r="B5082" s="59"/>
    </row>
    <row r="5083" spans="2:2" x14ac:dyDescent="0.25">
      <c r="B5083" s="59"/>
    </row>
    <row r="5084" spans="2:2" x14ac:dyDescent="0.25">
      <c r="B5084" s="59"/>
    </row>
    <row r="5085" spans="2:2" x14ac:dyDescent="0.25">
      <c r="B5085" s="59"/>
    </row>
    <row r="5086" spans="2:2" x14ac:dyDescent="0.25">
      <c r="B5086" s="59"/>
    </row>
    <row r="5087" spans="2:2" x14ac:dyDescent="0.25">
      <c r="B5087" s="59"/>
    </row>
    <row r="5088" spans="2:2" x14ac:dyDescent="0.25">
      <c r="B5088" s="59"/>
    </row>
    <row r="5089" spans="2:2" x14ac:dyDescent="0.25">
      <c r="B5089" s="59"/>
    </row>
    <row r="5090" spans="2:2" x14ac:dyDescent="0.25">
      <c r="B5090" s="59"/>
    </row>
    <row r="5091" spans="2:2" x14ac:dyDescent="0.25">
      <c r="B5091" s="59"/>
    </row>
    <row r="5092" spans="2:2" x14ac:dyDescent="0.25">
      <c r="B5092" s="59"/>
    </row>
    <row r="5093" spans="2:2" x14ac:dyDescent="0.25">
      <c r="B5093" s="59"/>
    </row>
    <row r="5094" spans="2:2" x14ac:dyDescent="0.25">
      <c r="B5094" s="59"/>
    </row>
    <row r="5095" spans="2:2" x14ac:dyDescent="0.25">
      <c r="B5095" s="59"/>
    </row>
    <row r="5096" spans="2:2" x14ac:dyDescent="0.25">
      <c r="B5096" s="59"/>
    </row>
    <row r="5097" spans="2:2" x14ac:dyDescent="0.25">
      <c r="B5097" s="59"/>
    </row>
    <row r="5098" spans="2:2" x14ac:dyDescent="0.25">
      <c r="B5098" s="59"/>
    </row>
    <row r="5099" spans="2:2" x14ac:dyDescent="0.25">
      <c r="B5099" s="59"/>
    </row>
    <row r="5100" spans="2:2" x14ac:dyDescent="0.25">
      <c r="B5100" s="59"/>
    </row>
    <row r="5101" spans="2:2" x14ac:dyDescent="0.25">
      <c r="B5101" s="59"/>
    </row>
    <row r="5102" spans="2:2" x14ac:dyDescent="0.25">
      <c r="B5102" s="59"/>
    </row>
    <row r="5103" spans="2:2" x14ac:dyDescent="0.25">
      <c r="B5103" s="59"/>
    </row>
    <row r="5104" spans="2:2" x14ac:dyDescent="0.25">
      <c r="B5104" s="59"/>
    </row>
    <row r="5105" spans="2:2" x14ac:dyDescent="0.25">
      <c r="B5105" s="59"/>
    </row>
    <row r="5106" spans="2:2" x14ac:dyDescent="0.25">
      <c r="B5106" s="59"/>
    </row>
    <row r="5107" spans="2:2" x14ac:dyDescent="0.25">
      <c r="B5107" s="59"/>
    </row>
    <row r="5108" spans="2:2" x14ac:dyDescent="0.25">
      <c r="B5108" s="59"/>
    </row>
    <row r="5109" spans="2:2" x14ac:dyDescent="0.25">
      <c r="B5109" s="59"/>
    </row>
    <row r="5110" spans="2:2" x14ac:dyDescent="0.25">
      <c r="B5110" s="59"/>
    </row>
    <row r="5111" spans="2:2" x14ac:dyDescent="0.25">
      <c r="B5111" s="59"/>
    </row>
    <row r="5112" spans="2:2" x14ac:dyDescent="0.25">
      <c r="B5112" s="59"/>
    </row>
    <row r="5113" spans="2:2" x14ac:dyDescent="0.25">
      <c r="B5113" s="59"/>
    </row>
    <row r="5114" spans="2:2" x14ac:dyDescent="0.25">
      <c r="B5114" s="59"/>
    </row>
    <row r="5115" spans="2:2" x14ac:dyDescent="0.25">
      <c r="B5115" s="59"/>
    </row>
    <row r="5116" spans="2:2" x14ac:dyDescent="0.25">
      <c r="B5116" s="59"/>
    </row>
    <row r="5117" spans="2:2" x14ac:dyDescent="0.25">
      <c r="B5117" s="59"/>
    </row>
    <row r="5118" spans="2:2" x14ac:dyDescent="0.25">
      <c r="B5118" s="59"/>
    </row>
    <row r="5119" spans="2:2" x14ac:dyDescent="0.25">
      <c r="B5119" s="59"/>
    </row>
    <row r="5120" spans="2:2" x14ac:dyDescent="0.25">
      <c r="B5120" s="59"/>
    </row>
    <row r="5121" spans="2:2" x14ac:dyDescent="0.25">
      <c r="B5121" s="59"/>
    </row>
    <row r="5122" spans="2:2" x14ac:dyDescent="0.25">
      <c r="B5122" s="59"/>
    </row>
    <row r="5123" spans="2:2" x14ac:dyDescent="0.25">
      <c r="B5123" s="59"/>
    </row>
    <row r="5124" spans="2:2" x14ac:dyDescent="0.25">
      <c r="B5124" s="59"/>
    </row>
    <row r="5125" spans="2:2" x14ac:dyDescent="0.25">
      <c r="B5125" s="59"/>
    </row>
    <row r="5126" spans="2:2" x14ac:dyDescent="0.25">
      <c r="B5126" s="59"/>
    </row>
    <row r="5127" spans="2:2" x14ac:dyDescent="0.25">
      <c r="B5127" s="59"/>
    </row>
    <row r="5128" spans="2:2" x14ac:dyDescent="0.25">
      <c r="B5128" s="59"/>
    </row>
    <row r="5129" spans="2:2" x14ac:dyDescent="0.25">
      <c r="B5129" s="59"/>
    </row>
    <row r="5130" spans="2:2" x14ac:dyDescent="0.25">
      <c r="B5130" s="59"/>
    </row>
    <row r="5131" spans="2:2" x14ac:dyDescent="0.25">
      <c r="B5131" s="59"/>
    </row>
    <row r="5132" spans="2:2" x14ac:dyDescent="0.25">
      <c r="B5132" s="59"/>
    </row>
    <row r="5133" spans="2:2" x14ac:dyDescent="0.25">
      <c r="B5133" s="59"/>
    </row>
    <row r="5134" spans="2:2" x14ac:dyDescent="0.25">
      <c r="B5134" s="59"/>
    </row>
    <row r="5135" spans="2:2" x14ac:dyDescent="0.25">
      <c r="B5135" s="59"/>
    </row>
    <row r="5136" spans="2:2" x14ac:dyDescent="0.25">
      <c r="B5136" s="59"/>
    </row>
    <row r="5137" spans="2:2" x14ac:dyDescent="0.25">
      <c r="B5137" s="59"/>
    </row>
    <row r="5138" spans="2:2" x14ac:dyDescent="0.25">
      <c r="B5138" s="59"/>
    </row>
    <row r="5139" spans="2:2" x14ac:dyDescent="0.25">
      <c r="B5139" s="59"/>
    </row>
    <row r="5140" spans="2:2" x14ac:dyDescent="0.25">
      <c r="B5140" s="59"/>
    </row>
    <row r="5141" spans="2:2" x14ac:dyDescent="0.25">
      <c r="B5141" s="59"/>
    </row>
    <row r="5142" spans="2:2" x14ac:dyDescent="0.25">
      <c r="B5142" s="59"/>
    </row>
    <row r="5143" spans="2:2" x14ac:dyDescent="0.25">
      <c r="B5143" s="59"/>
    </row>
    <row r="5144" spans="2:2" x14ac:dyDescent="0.25">
      <c r="B5144" s="59"/>
    </row>
    <row r="5145" spans="2:2" x14ac:dyDescent="0.25">
      <c r="B5145" s="59"/>
    </row>
    <row r="5146" spans="2:2" x14ac:dyDescent="0.25">
      <c r="B5146" s="59"/>
    </row>
    <row r="5147" spans="2:2" x14ac:dyDescent="0.25">
      <c r="B5147" s="59"/>
    </row>
    <row r="5148" spans="2:2" x14ac:dyDescent="0.25">
      <c r="B5148" s="59"/>
    </row>
    <row r="5149" spans="2:2" x14ac:dyDescent="0.25">
      <c r="B5149" s="59"/>
    </row>
    <row r="5150" spans="2:2" x14ac:dyDescent="0.25">
      <c r="B5150" s="59"/>
    </row>
    <row r="5151" spans="2:2" x14ac:dyDescent="0.25">
      <c r="B5151" s="59"/>
    </row>
    <row r="5152" spans="2:2" x14ac:dyDescent="0.25">
      <c r="B5152" s="59"/>
    </row>
    <row r="5153" spans="2:2" x14ac:dyDescent="0.25">
      <c r="B5153" s="59"/>
    </row>
    <row r="5154" spans="2:2" x14ac:dyDescent="0.25">
      <c r="B5154" s="59"/>
    </row>
    <row r="5155" spans="2:2" x14ac:dyDescent="0.25">
      <c r="B5155" s="59"/>
    </row>
    <row r="5156" spans="2:2" x14ac:dyDescent="0.25">
      <c r="B5156" s="59"/>
    </row>
    <row r="5157" spans="2:2" x14ac:dyDescent="0.25">
      <c r="B5157" s="59"/>
    </row>
    <row r="5158" spans="2:2" x14ac:dyDescent="0.25">
      <c r="B5158" s="59"/>
    </row>
    <row r="5159" spans="2:2" x14ac:dyDescent="0.25">
      <c r="B5159" s="59"/>
    </row>
    <row r="5160" spans="2:2" x14ac:dyDescent="0.25">
      <c r="B5160" s="59"/>
    </row>
    <row r="5161" spans="2:2" x14ac:dyDescent="0.25">
      <c r="B5161" s="59"/>
    </row>
    <row r="5162" spans="2:2" x14ac:dyDescent="0.25">
      <c r="B5162" s="59"/>
    </row>
    <row r="5163" spans="2:2" x14ac:dyDescent="0.25">
      <c r="B5163" s="59"/>
    </row>
    <row r="5164" spans="2:2" x14ac:dyDescent="0.25">
      <c r="B5164" s="59"/>
    </row>
    <row r="5165" spans="2:2" x14ac:dyDescent="0.25">
      <c r="B5165" s="59"/>
    </row>
    <row r="5166" spans="2:2" x14ac:dyDescent="0.25">
      <c r="B5166" s="59"/>
    </row>
    <row r="5167" spans="2:2" x14ac:dyDescent="0.25">
      <c r="B5167" s="59"/>
    </row>
    <row r="5168" spans="2:2" x14ac:dyDescent="0.25">
      <c r="B5168" s="59"/>
    </row>
    <row r="5169" spans="2:2" x14ac:dyDescent="0.25">
      <c r="B5169" s="59"/>
    </row>
    <row r="5170" spans="2:2" x14ac:dyDescent="0.25">
      <c r="B5170" s="59"/>
    </row>
    <row r="5171" spans="2:2" x14ac:dyDescent="0.25">
      <c r="B5171" s="59"/>
    </row>
    <row r="5172" spans="2:2" x14ac:dyDescent="0.25">
      <c r="B5172" s="59"/>
    </row>
    <row r="5173" spans="2:2" x14ac:dyDescent="0.25">
      <c r="B5173" s="59"/>
    </row>
    <row r="5174" spans="2:2" x14ac:dyDescent="0.25">
      <c r="B5174" s="59"/>
    </row>
    <row r="5175" spans="2:2" x14ac:dyDescent="0.25">
      <c r="B5175" s="59"/>
    </row>
    <row r="5176" spans="2:2" x14ac:dyDescent="0.25">
      <c r="B5176" s="59"/>
    </row>
    <row r="5177" spans="2:2" x14ac:dyDescent="0.25">
      <c r="B5177" s="59"/>
    </row>
    <row r="5178" spans="2:2" x14ac:dyDescent="0.25">
      <c r="B5178" s="59"/>
    </row>
    <row r="5179" spans="2:2" x14ac:dyDescent="0.25">
      <c r="B5179" s="59"/>
    </row>
    <row r="5180" spans="2:2" x14ac:dyDescent="0.25">
      <c r="B5180" s="59"/>
    </row>
    <row r="5181" spans="2:2" x14ac:dyDescent="0.25">
      <c r="B5181" s="59"/>
    </row>
    <row r="5182" spans="2:2" x14ac:dyDescent="0.25">
      <c r="B5182" s="59"/>
    </row>
    <row r="5183" spans="2:2" x14ac:dyDescent="0.25">
      <c r="B5183" s="59"/>
    </row>
    <row r="5184" spans="2:2" x14ac:dyDescent="0.25">
      <c r="B5184" s="59"/>
    </row>
    <row r="5185" spans="2:2" x14ac:dyDescent="0.25">
      <c r="B5185" s="59"/>
    </row>
    <row r="5186" spans="2:2" x14ac:dyDescent="0.25">
      <c r="B5186" s="59"/>
    </row>
    <row r="5187" spans="2:2" x14ac:dyDescent="0.25">
      <c r="B5187" s="59"/>
    </row>
    <row r="5188" spans="2:2" x14ac:dyDescent="0.25">
      <c r="B5188" s="59"/>
    </row>
    <row r="5189" spans="2:2" x14ac:dyDescent="0.25">
      <c r="B5189" s="59"/>
    </row>
    <row r="5190" spans="2:2" x14ac:dyDescent="0.25">
      <c r="B5190" s="59"/>
    </row>
    <row r="5191" spans="2:2" x14ac:dyDescent="0.25">
      <c r="B5191" s="59"/>
    </row>
    <row r="5192" spans="2:2" x14ac:dyDescent="0.25">
      <c r="B5192" s="59"/>
    </row>
    <row r="5193" spans="2:2" x14ac:dyDescent="0.25">
      <c r="B5193" s="59"/>
    </row>
    <row r="5194" spans="2:2" x14ac:dyDescent="0.25">
      <c r="B5194" s="59"/>
    </row>
    <row r="5195" spans="2:2" x14ac:dyDescent="0.25">
      <c r="B5195" s="59"/>
    </row>
    <row r="5196" spans="2:2" x14ac:dyDescent="0.25">
      <c r="B5196" s="59"/>
    </row>
    <row r="5197" spans="2:2" x14ac:dyDescent="0.25">
      <c r="B5197" s="59"/>
    </row>
    <row r="5198" spans="2:2" x14ac:dyDescent="0.25">
      <c r="B5198" s="59"/>
    </row>
    <row r="5199" spans="2:2" x14ac:dyDescent="0.25">
      <c r="B5199" s="59"/>
    </row>
    <row r="5200" spans="2:2" x14ac:dyDescent="0.25">
      <c r="B5200" s="59"/>
    </row>
    <row r="5201" spans="2:2" x14ac:dyDescent="0.25">
      <c r="B5201" s="59"/>
    </row>
    <row r="5202" spans="2:2" x14ac:dyDescent="0.25">
      <c r="B5202" s="59"/>
    </row>
    <row r="5203" spans="2:2" x14ac:dyDescent="0.25">
      <c r="B5203" s="59"/>
    </row>
    <row r="5204" spans="2:2" x14ac:dyDescent="0.25">
      <c r="B5204" s="59"/>
    </row>
    <row r="5205" spans="2:2" x14ac:dyDescent="0.25">
      <c r="B5205" s="59"/>
    </row>
    <row r="5206" spans="2:2" x14ac:dyDescent="0.25">
      <c r="B5206" s="59"/>
    </row>
    <row r="5207" spans="2:2" x14ac:dyDescent="0.25">
      <c r="B5207" s="59"/>
    </row>
    <row r="5208" spans="2:2" x14ac:dyDescent="0.25">
      <c r="B5208" s="59"/>
    </row>
    <row r="5209" spans="2:2" x14ac:dyDescent="0.25">
      <c r="B5209" s="59"/>
    </row>
    <row r="5210" spans="2:2" x14ac:dyDescent="0.25">
      <c r="B5210" s="59"/>
    </row>
    <row r="5211" spans="2:2" x14ac:dyDescent="0.25">
      <c r="B5211" s="59"/>
    </row>
    <row r="5212" spans="2:2" x14ac:dyDescent="0.25">
      <c r="B5212" s="59"/>
    </row>
    <row r="5213" spans="2:2" x14ac:dyDescent="0.25">
      <c r="B5213" s="59"/>
    </row>
    <row r="5214" spans="2:2" x14ac:dyDescent="0.25">
      <c r="B5214" s="59"/>
    </row>
    <row r="5215" spans="2:2" x14ac:dyDescent="0.25">
      <c r="B5215" s="59"/>
    </row>
    <row r="5216" spans="2:2" x14ac:dyDescent="0.25">
      <c r="B5216" s="59"/>
    </row>
    <row r="5217" spans="2:2" x14ac:dyDescent="0.25">
      <c r="B5217" s="59"/>
    </row>
    <row r="5218" spans="2:2" x14ac:dyDescent="0.25">
      <c r="B5218" s="59"/>
    </row>
    <row r="5219" spans="2:2" x14ac:dyDescent="0.25">
      <c r="B5219" s="59"/>
    </row>
    <row r="5220" spans="2:2" x14ac:dyDescent="0.25">
      <c r="B5220" s="59"/>
    </row>
    <row r="5221" spans="2:2" x14ac:dyDescent="0.25">
      <c r="B5221" s="59"/>
    </row>
    <row r="5222" spans="2:2" x14ac:dyDescent="0.25">
      <c r="B5222" s="59"/>
    </row>
    <row r="5223" spans="2:2" x14ac:dyDescent="0.25">
      <c r="B5223" s="59"/>
    </row>
    <row r="5224" spans="2:2" x14ac:dyDescent="0.25">
      <c r="B5224" s="59"/>
    </row>
    <row r="5225" spans="2:2" x14ac:dyDescent="0.25">
      <c r="B5225" s="59"/>
    </row>
    <row r="5226" spans="2:2" x14ac:dyDescent="0.25">
      <c r="B5226" s="59"/>
    </row>
    <row r="5227" spans="2:2" x14ac:dyDescent="0.25">
      <c r="B5227" s="59"/>
    </row>
    <row r="5228" spans="2:2" x14ac:dyDescent="0.25">
      <c r="B5228" s="59"/>
    </row>
    <row r="5229" spans="2:2" x14ac:dyDescent="0.25">
      <c r="B5229" s="59"/>
    </row>
    <row r="5230" spans="2:2" x14ac:dyDescent="0.25">
      <c r="B5230" s="59"/>
    </row>
    <row r="5231" spans="2:2" x14ac:dyDescent="0.25">
      <c r="B5231" s="59"/>
    </row>
    <row r="5232" spans="2:2" x14ac:dyDescent="0.25">
      <c r="B5232" s="59"/>
    </row>
    <row r="5233" spans="2:2" x14ac:dyDescent="0.25">
      <c r="B5233" s="59"/>
    </row>
    <row r="5234" spans="2:2" x14ac:dyDescent="0.25">
      <c r="B5234" s="59"/>
    </row>
    <row r="5235" spans="2:2" x14ac:dyDescent="0.25">
      <c r="B5235" s="59"/>
    </row>
    <row r="5236" spans="2:2" x14ac:dyDescent="0.25">
      <c r="B5236" s="59"/>
    </row>
    <row r="5237" spans="2:2" x14ac:dyDescent="0.25">
      <c r="B5237" s="59"/>
    </row>
    <row r="5238" spans="2:2" x14ac:dyDescent="0.25">
      <c r="B5238" s="59"/>
    </row>
    <row r="5239" spans="2:2" x14ac:dyDescent="0.25">
      <c r="B5239" s="59"/>
    </row>
    <row r="5240" spans="2:2" x14ac:dyDescent="0.25">
      <c r="B5240" s="59"/>
    </row>
    <row r="5241" spans="2:2" x14ac:dyDescent="0.25">
      <c r="B5241" s="59"/>
    </row>
    <row r="5242" spans="2:2" x14ac:dyDescent="0.25">
      <c r="B5242" s="59"/>
    </row>
    <row r="5243" spans="2:2" x14ac:dyDescent="0.25">
      <c r="B5243" s="59"/>
    </row>
    <row r="5244" spans="2:2" x14ac:dyDescent="0.25">
      <c r="B5244" s="59"/>
    </row>
    <row r="5245" spans="2:2" x14ac:dyDescent="0.25">
      <c r="B5245" s="59"/>
    </row>
    <row r="5246" spans="2:2" x14ac:dyDescent="0.25">
      <c r="B5246" s="59"/>
    </row>
    <row r="5247" spans="2:2" x14ac:dyDescent="0.25">
      <c r="B5247" s="59"/>
    </row>
    <row r="5248" spans="2:2" x14ac:dyDescent="0.25">
      <c r="B5248" s="59"/>
    </row>
    <row r="5249" spans="2:2" x14ac:dyDescent="0.25">
      <c r="B5249" s="59"/>
    </row>
    <row r="5250" spans="2:2" x14ac:dyDescent="0.25">
      <c r="B5250" s="59"/>
    </row>
    <row r="5251" spans="2:2" x14ac:dyDescent="0.25">
      <c r="B5251" s="59"/>
    </row>
    <row r="5252" spans="2:2" x14ac:dyDescent="0.25">
      <c r="B5252" s="59"/>
    </row>
    <row r="5253" spans="2:2" x14ac:dyDescent="0.25">
      <c r="B5253" s="59"/>
    </row>
    <row r="5254" spans="2:2" x14ac:dyDescent="0.25">
      <c r="B5254" s="59"/>
    </row>
    <row r="5255" spans="2:2" x14ac:dyDescent="0.25">
      <c r="B5255" s="59"/>
    </row>
    <row r="5256" spans="2:2" x14ac:dyDescent="0.25">
      <c r="B5256" s="59"/>
    </row>
    <row r="5257" spans="2:2" x14ac:dyDescent="0.25">
      <c r="B5257" s="59"/>
    </row>
    <row r="5258" spans="2:2" x14ac:dyDescent="0.25">
      <c r="B5258" s="59"/>
    </row>
    <row r="5259" spans="2:2" x14ac:dyDescent="0.25">
      <c r="B5259" s="59"/>
    </row>
    <row r="5260" spans="2:2" x14ac:dyDescent="0.25">
      <c r="B5260" s="59"/>
    </row>
    <row r="5261" spans="2:2" x14ac:dyDescent="0.25">
      <c r="B5261" s="59"/>
    </row>
    <row r="5262" spans="2:2" x14ac:dyDescent="0.25">
      <c r="B5262" s="59"/>
    </row>
    <row r="5263" spans="2:2" x14ac:dyDescent="0.25">
      <c r="B5263" s="59"/>
    </row>
    <row r="5264" spans="2:2" x14ac:dyDescent="0.25">
      <c r="B5264" s="59"/>
    </row>
    <row r="5265" spans="2:2" x14ac:dyDescent="0.25">
      <c r="B5265" s="59"/>
    </row>
    <row r="5266" spans="2:2" x14ac:dyDescent="0.25">
      <c r="B5266" s="59"/>
    </row>
    <row r="5267" spans="2:2" x14ac:dyDescent="0.25">
      <c r="B5267" s="59"/>
    </row>
    <row r="5268" spans="2:2" x14ac:dyDescent="0.25">
      <c r="B5268" s="59"/>
    </row>
    <row r="5269" spans="2:2" x14ac:dyDescent="0.25">
      <c r="B5269" s="59"/>
    </row>
    <row r="5270" spans="2:2" x14ac:dyDescent="0.25">
      <c r="B5270" s="59"/>
    </row>
    <row r="5271" spans="2:2" x14ac:dyDescent="0.25">
      <c r="B5271" s="59"/>
    </row>
    <row r="5272" spans="2:2" x14ac:dyDescent="0.25">
      <c r="B5272" s="59"/>
    </row>
    <row r="5273" spans="2:2" x14ac:dyDescent="0.25">
      <c r="B5273" s="59"/>
    </row>
    <row r="5274" spans="2:2" x14ac:dyDescent="0.25">
      <c r="B5274" s="59"/>
    </row>
    <row r="5275" spans="2:2" x14ac:dyDescent="0.25">
      <c r="B5275" s="59"/>
    </row>
    <row r="5276" spans="2:2" x14ac:dyDescent="0.25">
      <c r="B5276" s="59"/>
    </row>
    <row r="5277" spans="2:2" x14ac:dyDescent="0.25">
      <c r="B5277" s="59"/>
    </row>
    <row r="5278" spans="2:2" x14ac:dyDescent="0.25">
      <c r="B5278" s="59"/>
    </row>
    <row r="5279" spans="2:2" x14ac:dyDescent="0.25">
      <c r="B5279" s="59"/>
    </row>
    <row r="5280" spans="2:2" x14ac:dyDescent="0.25">
      <c r="B5280" s="59"/>
    </row>
    <row r="5281" spans="2:2" x14ac:dyDescent="0.25">
      <c r="B5281" s="59"/>
    </row>
    <row r="5282" spans="2:2" x14ac:dyDescent="0.25">
      <c r="B5282" s="59"/>
    </row>
    <row r="5283" spans="2:2" x14ac:dyDescent="0.25">
      <c r="B5283" s="59"/>
    </row>
    <row r="5284" spans="2:2" x14ac:dyDescent="0.25">
      <c r="B5284" s="59"/>
    </row>
    <row r="5285" spans="2:2" x14ac:dyDescent="0.25">
      <c r="B5285" s="59"/>
    </row>
    <row r="5286" spans="2:2" x14ac:dyDescent="0.25">
      <c r="B5286" s="59"/>
    </row>
    <row r="5287" spans="2:2" x14ac:dyDescent="0.25">
      <c r="B5287" s="59"/>
    </row>
    <row r="5288" spans="2:2" x14ac:dyDescent="0.25">
      <c r="B5288" s="59"/>
    </row>
    <row r="5289" spans="2:2" x14ac:dyDescent="0.25">
      <c r="B5289" s="59"/>
    </row>
    <row r="5290" spans="2:2" x14ac:dyDescent="0.25">
      <c r="B5290" s="59"/>
    </row>
    <row r="5291" spans="2:2" x14ac:dyDescent="0.25">
      <c r="B5291" s="59"/>
    </row>
    <row r="5292" spans="2:2" x14ac:dyDescent="0.25">
      <c r="B5292" s="59"/>
    </row>
    <row r="5293" spans="2:2" x14ac:dyDescent="0.25">
      <c r="B5293" s="59"/>
    </row>
    <row r="5294" spans="2:2" x14ac:dyDescent="0.25">
      <c r="B5294" s="59"/>
    </row>
    <row r="5295" spans="2:2" x14ac:dyDescent="0.25">
      <c r="B5295" s="59"/>
    </row>
    <row r="5296" spans="2:2" x14ac:dyDescent="0.25">
      <c r="B5296" s="59"/>
    </row>
    <row r="5297" spans="2:2" x14ac:dyDescent="0.25">
      <c r="B5297" s="59"/>
    </row>
    <row r="5298" spans="2:2" x14ac:dyDescent="0.25">
      <c r="B5298" s="59"/>
    </row>
    <row r="5299" spans="2:2" x14ac:dyDescent="0.25">
      <c r="B5299" s="59"/>
    </row>
    <row r="5300" spans="2:2" x14ac:dyDescent="0.25">
      <c r="B5300" s="59"/>
    </row>
    <row r="5301" spans="2:2" x14ac:dyDescent="0.25">
      <c r="B5301" s="59"/>
    </row>
    <row r="5302" spans="2:2" x14ac:dyDescent="0.25">
      <c r="B5302" s="59"/>
    </row>
    <row r="5303" spans="2:2" x14ac:dyDescent="0.25">
      <c r="B5303" s="59"/>
    </row>
    <row r="5304" spans="2:2" x14ac:dyDescent="0.25">
      <c r="B5304" s="59"/>
    </row>
    <row r="5305" spans="2:2" x14ac:dyDescent="0.25">
      <c r="B5305" s="59"/>
    </row>
    <row r="5306" spans="2:2" x14ac:dyDescent="0.25">
      <c r="B5306" s="59"/>
    </row>
    <row r="5307" spans="2:2" x14ac:dyDescent="0.25">
      <c r="B5307" s="59"/>
    </row>
    <row r="5308" spans="2:2" x14ac:dyDescent="0.25">
      <c r="B5308" s="59"/>
    </row>
    <row r="5309" spans="2:2" x14ac:dyDescent="0.25">
      <c r="B5309" s="59"/>
    </row>
    <row r="5310" spans="2:2" x14ac:dyDescent="0.25">
      <c r="B5310" s="59"/>
    </row>
    <row r="5311" spans="2:2" x14ac:dyDescent="0.25">
      <c r="B5311" s="59"/>
    </row>
    <row r="5312" spans="2:2" x14ac:dyDescent="0.25">
      <c r="B5312" s="59"/>
    </row>
    <row r="5313" spans="2:2" x14ac:dyDescent="0.25">
      <c r="B5313" s="59"/>
    </row>
    <row r="5314" spans="2:2" x14ac:dyDescent="0.25">
      <c r="B5314" s="59"/>
    </row>
    <row r="5315" spans="2:2" x14ac:dyDescent="0.25">
      <c r="B5315" s="59"/>
    </row>
    <row r="5316" spans="2:2" x14ac:dyDescent="0.25">
      <c r="B5316" s="59"/>
    </row>
    <row r="5317" spans="2:2" x14ac:dyDescent="0.25">
      <c r="B5317" s="59"/>
    </row>
    <row r="5318" spans="2:2" x14ac:dyDescent="0.25">
      <c r="B5318" s="59"/>
    </row>
    <row r="5319" spans="2:2" x14ac:dyDescent="0.25">
      <c r="B5319" s="59"/>
    </row>
    <row r="5320" spans="2:2" x14ac:dyDescent="0.25">
      <c r="B5320" s="59"/>
    </row>
    <row r="5321" spans="2:2" x14ac:dyDescent="0.25">
      <c r="B5321" s="59"/>
    </row>
    <row r="5322" spans="2:2" x14ac:dyDescent="0.25">
      <c r="B5322" s="59"/>
    </row>
    <row r="5323" spans="2:2" x14ac:dyDescent="0.25">
      <c r="B5323" s="59"/>
    </row>
    <row r="5324" spans="2:2" x14ac:dyDescent="0.25">
      <c r="B5324" s="59"/>
    </row>
    <row r="5325" spans="2:2" x14ac:dyDescent="0.25">
      <c r="B5325" s="59"/>
    </row>
    <row r="5326" spans="2:2" x14ac:dyDescent="0.25">
      <c r="B5326" s="59"/>
    </row>
    <row r="5327" spans="2:2" x14ac:dyDescent="0.25">
      <c r="B5327" s="59"/>
    </row>
    <row r="5328" spans="2:2" x14ac:dyDescent="0.25">
      <c r="B5328" s="59"/>
    </row>
    <row r="5329" spans="2:2" x14ac:dyDescent="0.25">
      <c r="B5329" s="59"/>
    </row>
    <row r="5330" spans="2:2" x14ac:dyDescent="0.25">
      <c r="B5330" s="59"/>
    </row>
    <row r="5331" spans="2:2" x14ac:dyDescent="0.25">
      <c r="B5331" s="59"/>
    </row>
    <row r="5332" spans="2:2" x14ac:dyDescent="0.25">
      <c r="B5332" s="59"/>
    </row>
    <row r="5333" spans="2:2" x14ac:dyDescent="0.25">
      <c r="B5333" s="59"/>
    </row>
    <row r="5334" spans="2:2" x14ac:dyDescent="0.25">
      <c r="B5334" s="59"/>
    </row>
    <row r="5335" spans="2:2" x14ac:dyDescent="0.25">
      <c r="B5335" s="59"/>
    </row>
    <row r="5336" spans="2:2" x14ac:dyDescent="0.25">
      <c r="B5336" s="59"/>
    </row>
    <row r="5337" spans="2:2" x14ac:dyDescent="0.25">
      <c r="B5337" s="59"/>
    </row>
    <row r="5338" spans="2:2" x14ac:dyDescent="0.25">
      <c r="B5338" s="59"/>
    </row>
    <row r="5339" spans="2:2" x14ac:dyDescent="0.25">
      <c r="B5339" s="59"/>
    </row>
    <row r="5340" spans="2:2" x14ac:dyDescent="0.25">
      <c r="B5340" s="59"/>
    </row>
    <row r="5341" spans="2:2" x14ac:dyDescent="0.25">
      <c r="B5341" s="59"/>
    </row>
    <row r="5342" spans="2:2" x14ac:dyDescent="0.25">
      <c r="B5342" s="59"/>
    </row>
    <row r="5343" spans="2:2" x14ac:dyDescent="0.25">
      <c r="B5343" s="59"/>
    </row>
    <row r="5344" spans="2:2" x14ac:dyDescent="0.25">
      <c r="B5344" s="59"/>
    </row>
    <row r="5345" spans="2:2" x14ac:dyDescent="0.25">
      <c r="B5345" s="59"/>
    </row>
    <row r="5346" spans="2:2" x14ac:dyDescent="0.25">
      <c r="B5346" s="59"/>
    </row>
    <row r="5347" spans="2:2" x14ac:dyDescent="0.25">
      <c r="B5347" s="59"/>
    </row>
    <row r="5348" spans="2:2" x14ac:dyDescent="0.25">
      <c r="B5348" s="59"/>
    </row>
    <row r="5349" spans="2:2" x14ac:dyDescent="0.25">
      <c r="B5349" s="59"/>
    </row>
    <row r="5350" spans="2:2" x14ac:dyDescent="0.25">
      <c r="B5350" s="59"/>
    </row>
    <row r="5351" spans="2:2" x14ac:dyDescent="0.25">
      <c r="B5351" s="59"/>
    </row>
    <row r="5352" spans="2:2" x14ac:dyDescent="0.25">
      <c r="B5352" s="59"/>
    </row>
    <row r="5353" spans="2:2" x14ac:dyDescent="0.25">
      <c r="B5353" s="59"/>
    </row>
    <row r="5354" spans="2:2" x14ac:dyDescent="0.25">
      <c r="B5354" s="59"/>
    </row>
    <row r="5355" spans="2:2" x14ac:dyDescent="0.25">
      <c r="B5355" s="59"/>
    </row>
    <row r="5356" spans="2:2" x14ac:dyDescent="0.25">
      <c r="B5356" s="59"/>
    </row>
    <row r="5357" spans="2:2" x14ac:dyDescent="0.25">
      <c r="B5357" s="59"/>
    </row>
    <row r="5358" spans="2:2" x14ac:dyDescent="0.25">
      <c r="B5358" s="59"/>
    </row>
    <row r="5359" spans="2:2" x14ac:dyDescent="0.25">
      <c r="B5359" s="59"/>
    </row>
    <row r="5360" spans="2:2" x14ac:dyDescent="0.25">
      <c r="B5360" s="59"/>
    </row>
    <row r="5361" spans="2:2" x14ac:dyDescent="0.25">
      <c r="B5361" s="59"/>
    </row>
    <row r="5362" spans="2:2" x14ac:dyDescent="0.25">
      <c r="B5362" s="59"/>
    </row>
    <row r="5363" spans="2:2" x14ac:dyDescent="0.25">
      <c r="B5363" s="59"/>
    </row>
    <row r="5364" spans="2:2" x14ac:dyDescent="0.25">
      <c r="B5364" s="59"/>
    </row>
    <row r="5365" spans="2:2" x14ac:dyDescent="0.25">
      <c r="B5365" s="59"/>
    </row>
    <row r="5366" spans="2:2" x14ac:dyDescent="0.25">
      <c r="B5366" s="59"/>
    </row>
    <row r="5367" spans="2:2" x14ac:dyDescent="0.25">
      <c r="B5367" s="59"/>
    </row>
    <row r="5368" spans="2:2" x14ac:dyDescent="0.25">
      <c r="B5368" s="59"/>
    </row>
    <row r="5369" spans="2:2" x14ac:dyDescent="0.25">
      <c r="B5369" s="59"/>
    </row>
    <row r="5370" spans="2:2" x14ac:dyDescent="0.25">
      <c r="B5370" s="59"/>
    </row>
    <row r="5371" spans="2:2" x14ac:dyDescent="0.25">
      <c r="B5371" s="59"/>
    </row>
    <row r="5372" spans="2:2" x14ac:dyDescent="0.25">
      <c r="B5372" s="59"/>
    </row>
    <row r="5373" spans="2:2" x14ac:dyDescent="0.25">
      <c r="B5373" s="59"/>
    </row>
    <row r="5374" spans="2:2" x14ac:dyDescent="0.25">
      <c r="B5374" s="59"/>
    </row>
    <row r="5375" spans="2:2" x14ac:dyDescent="0.25">
      <c r="B5375" s="59"/>
    </row>
    <row r="5376" spans="2:2" x14ac:dyDescent="0.25">
      <c r="B5376" s="59"/>
    </row>
    <row r="5377" spans="2:2" x14ac:dyDescent="0.25">
      <c r="B5377" s="59"/>
    </row>
    <row r="5378" spans="2:2" x14ac:dyDescent="0.25">
      <c r="B5378" s="59"/>
    </row>
    <row r="5379" spans="2:2" x14ac:dyDescent="0.25">
      <c r="B5379" s="59"/>
    </row>
    <row r="5380" spans="2:2" x14ac:dyDescent="0.25">
      <c r="B5380" s="59"/>
    </row>
    <row r="5381" spans="2:2" x14ac:dyDescent="0.25">
      <c r="B5381" s="59"/>
    </row>
    <row r="5382" spans="2:2" x14ac:dyDescent="0.25">
      <c r="B5382" s="59"/>
    </row>
    <row r="5383" spans="2:2" x14ac:dyDescent="0.25">
      <c r="B5383" s="59"/>
    </row>
    <row r="5384" spans="2:2" x14ac:dyDescent="0.25">
      <c r="B5384" s="59"/>
    </row>
    <row r="5385" spans="2:2" x14ac:dyDescent="0.25">
      <c r="B5385" s="59"/>
    </row>
    <row r="5386" spans="2:2" x14ac:dyDescent="0.25">
      <c r="B5386" s="59"/>
    </row>
    <row r="5387" spans="2:2" x14ac:dyDescent="0.25">
      <c r="B5387" s="59"/>
    </row>
    <row r="5388" spans="2:2" x14ac:dyDescent="0.25">
      <c r="B5388" s="59"/>
    </row>
    <row r="5389" spans="2:2" x14ac:dyDescent="0.25">
      <c r="B5389" s="59"/>
    </row>
    <row r="5390" spans="2:2" x14ac:dyDescent="0.25">
      <c r="B5390" s="59"/>
    </row>
    <row r="5391" spans="2:2" x14ac:dyDescent="0.25">
      <c r="B5391" s="59"/>
    </row>
    <row r="5392" spans="2:2" x14ac:dyDescent="0.25">
      <c r="B5392" s="59"/>
    </row>
    <row r="5393" spans="2:2" x14ac:dyDescent="0.25">
      <c r="B5393" s="59"/>
    </row>
    <row r="5394" spans="2:2" x14ac:dyDescent="0.25">
      <c r="B5394" s="59"/>
    </row>
    <row r="5395" spans="2:2" x14ac:dyDescent="0.25">
      <c r="B5395" s="59"/>
    </row>
    <row r="5396" spans="2:2" x14ac:dyDescent="0.25">
      <c r="B5396" s="59"/>
    </row>
    <row r="5397" spans="2:2" x14ac:dyDescent="0.25">
      <c r="B5397" s="59"/>
    </row>
    <row r="5398" spans="2:2" x14ac:dyDescent="0.25">
      <c r="B5398" s="59"/>
    </row>
    <row r="5399" spans="2:2" x14ac:dyDescent="0.25">
      <c r="B5399" s="59"/>
    </row>
    <row r="5400" spans="2:2" x14ac:dyDescent="0.25">
      <c r="B5400" s="59"/>
    </row>
    <row r="5401" spans="2:2" x14ac:dyDescent="0.25">
      <c r="B5401" s="59"/>
    </row>
    <row r="5402" spans="2:2" x14ac:dyDescent="0.25">
      <c r="B5402" s="59"/>
    </row>
    <row r="5403" spans="2:2" x14ac:dyDescent="0.25">
      <c r="B5403" s="59"/>
    </row>
    <row r="5404" spans="2:2" x14ac:dyDescent="0.25">
      <c r="B5404" s="59"/>
    </row>
    <row r="5405" spans="2:2" x14ac:dyDescent="0.25">
      <c r="B5405" s="59"/>
    </row>
    <row r="5406" spans="2:2" x14ac:dyDescent="0.25">
      <c r="B5406" s="59"/>
    </row>
    <row r="5407" spans="2:2" x14ac:dyDescent="0.25">
      <c r="B5407" s="59"/>
    </row>
    <row r="5408" spans="2:2" x14ac:dyDescent="0.25">
      <c r="B5408" s="59"/>
    </row>
    <row r="5409" spans="2:2" x14ac:dyDescent="0.25">
      <c r="B5409" s="59"/>
    </row>
    <row r="5410" spans="2:2" x14ac:dyDescent="0.25">
      <c r="B5410" s="59"/>
    </row>
    <row r="5411" spans="2:2" x14ac:dyDescent="0.25">
      <c r="B5411" s="59"/>
    </row>
    <row r="5412" spans="2:2" x14ac:dyDescent="0.25">
      <c r="B5412" s="59"/>
    </row>
    <row r="5413" spans="2:2" x14ac:dyDescent="0.25">
      <c r="B5413" s="59"/>
    </row>
    <row r="5414" spans="2:2" x14ac:dyDescent="0.25">
      <c r="B5414" s="59"/>
    </row>
    <row r="5415" spans="2:2" x14ac:dyDescent="0.25">
      <c r="B5415" s="59"/>
    </row>
    <row r="5416" spans="2:2" x14ac:dyDescent="0.25">
      <c r="B5416" s="59"/>
    </row>
    <row r="5417" spans="2:2" x14ac:dyDescent="0.25">
      <c r="B5417" s="59"/>
    </row>
    <row r="5418" spans="2:2" x14ac:dyDescent="0.25">
      <c r="B5418" s="59"/>
    </row>
    <row r="5419" spans="2:2" x14ac:dyDescent="0.25">
      <c r="B5419" s="59"/>
    </row>
    <row r="5420" spans="2:2" x14ac:dyDescent="0.25">
      <c r="B5420" s="59"/>
    </row>
    <row r="5421" spans="2:2" x14ac:dyDescent="0.25">
      <c r="B5421" s="59"/>
    </row>
    <row r="5422" spans="2:2" x14ac:dyDescent="0.25">
      <c r="B5422" s="59"/>
    </row>
    <row r="5423" spans="2:2" x14ac:dyDescent="0.25">
      <c r="B5423" s="59"/>
    </row>
    <row r="5424" spans="2:2" x14ac:dyDescent="0.25">
      <c r="B5424" s="59"/>
    </row>
    <row r="5425" spans="2:2" x14ac:dyDescent="0.25">
      <c r="B5425" s="59"/>
    </row>
    <row r="5426" spans="2:2" x14ac:dyDescent="0.25">
      <c r="B5426" s="59"/>
    </row>
    <row r="5427" spans="2:2" x14ac:dyDescent="0.25">
      <c r="B5427" s="59"/>
    </row>
    <row r="5428" spans="2:2" x14ac:dyDescent="0.25">
      <c r="B5428" s="59"/>
    </row>
    <row r="5429" spans="2:2" x14ac:dyDescent="0.25">
      <c r="B5429" s="59"/>
    </row>
    <row r="5430" spans="2:2" x14ac:dyDescent="0.25">
      <c r="B5430" s="59"/>
    </row>
    <row r="5431" spans="2:2" x14ac:dyDescent="0.25">
      <c r="B5431" s="59"/>
    </row>
    <row r="5432" spans="2:2" x14ac:dyDescent="0.25">
      <c r="B5432" s="59"/>
    </row>
    <row r="5433" spans="2:2" x14ac:dyDescent="0.25">
      <c r="B5433" s="59"/>
    </row>
    <row r="5434" spans="2:2" x14ac:dyDescent="0.25">
      <c r="B5434" s="59"/>
    </row>
    <row r="5435" spans="2:2" x14ac:dyDescent="0.25">
      <c r="B5435" s="59"/>
    </row>
    <row r="5436" spans="2:2" x14ac:dyDescent="0.25">
      <c r="B5436" s="59"/>
    </row>
    <row r="5437" spans="2:2" x14ac:dyDescent="0.25">
      <c r="B5437" s="59"/>
    </row>
    <row r="5438" spans="2:2" x14ac:dyDescent="0.25">
      <c r="B5438" s="59"/>
    </row>
    <row r="5439" spans="2:2" x14ac:dyDescent="0.25">
      <c r="B5439" s="59"/>
    </row>
    <row r="5440" spans="2:2" x14ac:dyDescent="0.25">
      <c r="B5440" s="59"/>
    </row>
    <row r="5441" spans="2:2" x14ac:dyDescent="0.25">
      <c r="B5441" s="59"/>
    </row>
    <row r="5442" spans="2:2" x14ac:dyDescent="0.25">
      <c r="B5442" s="59"/>
    </row>
    <row r="5443" spans="2:2" x14ac:dyDescent="0.25">
      <c r="B5443" s="59"/>
    </row>
    <row r="5444" spans="2:2" x14ac:dyDescent="0.25">
      <c r="B5444" s="59"/>
    </row>
    <row r="5445" spans="2:2" x14ac:dyDescent="0.25">
      <c r="B5445" s="59"/>
    </row>
    <row r="5446" spans="2:2" x14ac:dyDescent="0.25">
      <c r="B5446" s="59"/>
    </row>
    <row r="5447" spans="2:2" x14ac:dyDescent="0.25">
      <c r="B5447" s="59"/>
    </row>
    <row r="5448" spans="2:2" x14ac:dyDescent="0.25">
      <c r="B5448" s="59"/>
    </row>
    <row r="5449" spans="2:2" x14ac:dyDescent="0.25">
      <c r="B5449" s="59"/>
    </row>
    <row r="5450" spans="2:2" x14ac:dyDescent="0.25">
      <c r="B5450" s="59"/>
    </row>
    <row r="5451" spans="2:2" x14ac:dyDescent="0.25">
      <c r="B5451" s="59"/>
    </row>
    <row r="5452" spans="2:2" x14ac:dyDescent="0.25">
      <c r="B5452" s="59"/>
    </row>
    <row r="5453" spans="2:2" x14ac:dyDescent="0.25">
      <c r="B5453" s="59"/>
    </row>
    <row r="5454" spans="2:2" x14ac:dyDescent="0.25">
      <c r="B5454" s="59"/>
    </row>
    <row r="5455" spans="2:2" x14ac:dyDescent="0.25">
      <c r="B5455" s="59"/>
    </row>
    <row r="5456" spans="2:2" x14ac:dyDescent="0.25">
      <c r="B5456" s="59"/>
    </row>
    <row r="5457" spans="2:2" x14ac:dyDescent="0.25">
      <c r="B5457" s="59"/>
    </row>
    <row r="5458" spans="2:2" x14ac:dyDescent="0.25">
      <c r="B5458" s="59"/>
    </row>
    <row r="5459" spans="2:2" x14ac:dyDescent="0.25">
      <c r="B5459" s="59"/>
    </row>
    <row r="5460" spans="2:2" x14ac:dyDescent="0.25">
      <c r="B5460" s="59"/>
    </row>
    <row r="5461" spans="2:2" x14ac:dyDescent="0.25">
      <c r="B5461" s="59"/>
    </row>
    <row r="5462" spans="2:2" x14ac:dyDescent="0.25">
      <c r="B5462" s="59"/>
    </row>
    <row r="5463" spans="2:2" x14ac:dyDescent="0.25">
      <c r="B5463" s="59"/>
    </row>
    <row r="5464" spans="2:2" x14ac:dyDescent="0.25">
      <c r="B5464" s="59"/>
    </row>
    <row r="5465" spans="2:2" x14ac:dyDescent="0.25">
      <c r="B5465" s="59"/>
    </row>
    <row r="5466" spans="2:2" x14ac:dyDescent="0.25">
      <c r="B5466" s="59"/>
    </row>
    <row r="5467" spans="2:2" x14ac:dyDescent="0.25">
      <c r="B5467" s="59"/>
    </row>
    <row r="5468" spans="2:2" x14ac:dyDescent="0.25">
      <c r="B5468" s="59"/>
    </row>
    <row r="5469" spans="2:2" x14ac:dyDescent="0.25">
      <c r="B5469" s="59"/>
    </row>
    <row r="5470" spans="2:2" x14ac:dyDescent="0.25">
      <c r="B5470" s="59"/>
    </row>
    <row r="5471" spans="2:2" x14ac:dyDescent="0.25">
      <c r="B5471" s="59"/>
    </row>
    <row r="5472" spans="2:2" x14ac:dyDescent="0.25">
      <c r="B5472" s="59"/>
    </row>
    <row r="5473" spans="2:2" x14ac:dyDescent="0.25">
      <c r="B5473" s="59"/>
    </row>
    <row r="5474" spans="2:2" x14ac:dyDescent="0.25">
      <c r="B5474" s="59"/>
    </row>
    <row r="5475" spans="2:2" x14ac:dyDescent="0.25">
      <c r="B5475" s="59"/>
    </row>
    <row r="5476" spans="2:2" x14ac:dyDescent="0.25">
      <c r="B5476" s="59"/>
    </row>
    <row r="5477" spans="2:2" x14ac:dyDescent="0.25">
      <c r="B5477" s="59"/>
    </row>
    <row r="5478" spans="2:2" x14ac:dyDescent="0.25">
      <c r="B5478" s="59"/>
    </row>
    <row r="5479" spans="2:2" x14ac:dyDescent="0.25">
      <c r="B5479" s="59"/>
    </row>
    <row r="5480" spans="2:2" x14ac:dyDescent="0.25">
      <c r="B5480" s="59"/>
    </row>
    <row r="5481" spans="2:2" x14ac:dyDescent="0.25">
      <c r="B5481" s="59"/>
    </row>
    <row r="5482" spans="2:2" x14ac:dyDescent="0.25">
      <c r="B5482" s="59"/>
    </row>
    <row r="5483" spans="2:2" x14ac:dyDescent="0.25">
      <c r="B5483" s="59"/>
    </row>
    <row r="5484" spans="2:2" x14ac:dyDescent="0.25">
      <c r="B5484" s="59"/>
    </row>
    <row r="5485" spans="2:2" x14ac:dyDescent="0.25">
      <c r="B5485" s="59"/>
    </row>
    <row r="5486" spans="2:2" x14ac:dyDescent="0.25">
      <c r="B5486" s="59"/>
    </row>
    <row r="5487" spans="2:2" x14ac:dyDescent="0.25">
      <c r="B5487" s="59"/>
    </row>
    <row r="5488" spans="2:2" x14ac:dyDescent="0.25">
      <c r="B5488" s="59"/>
    </row>
    <row r="5489" spans="2:2" x14ac:dyDescent="0.25">
      <c r="B5489" s="59"/>
    </row>
    <row r="5490" spans="2:2" x14ac:dyDescent="0.25">
      <c r="B5490" s="59"/>
    </row>
    <row r="5491" spans="2:2" x14ac:dyDescent="0.25">
      <c r="B5491" s="59"/>
    </row>
    <row r="5492" spans="2:2" x14ac:dyDescent="0.25">
      <c r="B5492" s="59"/>
    </row>
    <row r="5493" spans="2:2" x14ac:dyDescent="0.25">
      <c r="B5493" s="59"/>
    </row>
    <row r="5494" spans="2:2" x14ac:dyDescent="0.25">
      <c r="B5494" s="59"/>
    </row>
    <row r="5495" spans="2:2" x14ac:dyDescent="0.25">
      <c r="B5495" s="59"/>
    </row>
    <row r="5496" spans="2:2" x14ac:dyDescent="0.25">
      <c r="B5496" s="59"/>
    </row>
    <row r="5497" spans="2:2" x14ac:dyDescent="0.25">
      <c r="B5497" s="59"/>
    </row>
    <row r="5498" spans="2:2" x14ac:dyDescent="0.25">
      <c r="B5498" s="59"/>
    </row>
    <row r="5499" spans="2:2" x14ac:dyDescent="0.25">
      <c r="B5499" s="59"/>
    </row>
    <row r="5500" spans="2:2" x14ac:dyDescent="0.25">
      <c r="B5500" s="59"/>
    </row>
    <row r="5501" spans="2:2" x14ac:dyDescent="0.25">
      <c r="B5501" s="59"/>
    </row>
    <row r="5502" spans="2:2" x14ac:dyDescent="0.25">
      <c r="B5502" s="59"/>
    </row>
    <row r="5503" spans="2:2" x14ac:dyDescent="0.25">
      <c r="B5503" s="59"/>
    </row>
    <row r="5504" spans="2:2" x14ac:dyDescent="0.25">
      <c r="B5504" s="59"/>
    </row>
    <row r="5505" spans="2:2" x14ac:dyDescent="0.25">
      <c r="B5505" s="59"/>
    </row>
    <row r="5506" spans="2:2" x14ac:dyDescent="0.25">
      <c r="B5506" s="59"/>
    </row>
    <row r="5507" spans="2:2" x14ac:dyDescent="0.25">
      <c r="B5507" s="59"/>
    </row>
    <row r="5508" spans="2:2" x14ac:dyDescent="0.25">
      <c r="B5508" s="59"/>
    </row>
    <row r="5509" spans="2:2" x14ac:dyDescent="0.25">
      <c r="B5509" s="59"/>
    </row>
    <row r="5510" spans="2:2" x14ac:dyDescent="0.25">
      <c r="B5510" s="59"/>
    </row>
    <row r="5511" spans="2:2" x14ac:dyDescent="0.25">
      <c r="B5511" s="59"/>
    </row>
    <row r="5512" spans="2:2" x14ac:dyDescent="0.25">
      <c r="B5512" s="59"/>
    </row>
    <row r="5513" spans="2:2" x14ac:dyDescent="0.25">
      <c r="B5513" s="59"/>
    </row>
    <row r="5514" spans="2:2" x14ac:dyDescent="0.25">
      <c r="B5514" s="59"/>
    </row>
    <row r="5515" spans="2:2" x14ac:dyDescent="0.25">
      <c r="B5515" s="59"/>
    </row>
    <row r="5516" spans="2:2" x14ac:dyDescent="0.25">
      <c r="B5516" s="59"/>
    </row>
    <row r="5517" spans="2:2" x14ac:dyDescent="0.25">
      <c r="B5517" s="59"/>
    </row>
    <row r="5518" spans="2:2" x14ac:dyDescent="0.25">
      <c r="B5518" s="59"/>
    </row>
    <row r="5519" spans="2:2" x14ac:dyDescent="0.25">
      <c r="B5519" s="59"/>
    </row>
    <row r="5520" spans="2:2" x14ac:dyDescent="0.25">
      <c r="B5520" s="59"/>
    </row>
    <row r="5521" spans="2:2" x14ac:dyDescent="0.25">
      <c r="B5521" s="59"/>
    </row>
    <row r="5522" spans="2:2" x14ac:dyDescent="0.25">
      <c r="B5522" s="59"/>
    </row>
    <row r="5523" spans="2:2" x14ac:dyDescent="0.25">
      <c r="B5523" s="59"/>
    </row>
    <row r="5524" spans="2:2" x14ac:dyDescent="0.25">
      <c r="B5524" s="59"/>
    </row>
    <row r="5525" spans="2:2" x14ac:dyDescent="0.25">
      <c r="B5525" s="59"/>
    </row>
    <row r="5526" spans="2:2" x14ac:dyDescent="0.25">
      <c r="B5526" s="59"/>
    </row>
    <row r="5527" spans="2:2" x14ac:dyDescent="0.25">
      <c r="B5527" s="59"/>
    </row>
    <row r="5528" spans="2:2" x14ac:dyDescent="0.25">
      <c r="B5528" s="59"/>
    </row>
    <row r="5529" spans="2:2" x14ac:dyDescent="0.25">
      <c r="B5529" s="59"/>
    </row>
    <row r="5530" spans="2:2" x14ac:dyDescent="0.25">
      <c r="B5530" s="59"/>
    </row>
    <row r="5531" spans="2:2" x14ac:dyDescent="0.25">
      <c r="B5531" s="59"/>
    </row>
    <row r="5532" spans="2:2" x14ac:dyDescent="0.25">
      <c r="B5532" s="59"/>
    </row>
    <row r="5533" spans="2:2" x14ac:dyDescent="0.25">
      <c r="B5533" s="59"/>
    </row>
    <row r="5534" spans="2:2" x14ac:dyDescent="0.25">
      <c r="B5534" s="59"/>
    </row>
    <row r="5535" spans="2:2" x14ac:dyDescent="0.25">
      <c r="B5535" s="59"/>
    </row>
    <row r="5536" spans="2:2" x14ac:dyDescent="0.25">
      <c r="B5536" s="59"/>
    </row>
    <row r="5537" spans="2:2" x14ac:dyDescent="0.25">
      <c r="B5537" s="59"/>
    </row>
    <row r="5538" spans="2:2" x14ac:dyDescent="0.25">
      <c r="B5538" s="59"/>
    </row>
    <row r="5539" spans="2:2" x14ac:dyDescent="0.25">
      <c r="B5539" s="59"/>
    </row>
    <row r="5540" spans="2:2" x14ac:dyDescent="0.25">
      <c r="B5540" s="59"/>
    </row>
    <row r="5541" spans="2:2" x14ac:dyDescent="0.25">
      <c r="B5541" s="59"/>
    </row>
    <row r="5542" spans="2:2" x14ac:dyDescent="0.25">
      <c r="B5542" s="59"/>
    </row>
    <row r="5543" spans="2:2" x14ac:dyDescent="0.25">
      <c r="B5543" s="59"/>
    </row>
    <row r="5544" spans="2:2" x14ac:dyDescent="0.25">
      <c r="B5544" s="59"/>
    </row>
    <row r="5545" spans="2:2" x14ac:dyDescent="0.25">
      <c r="B5545" s="59"/>
    </row>
    <row r="5546" spans="2:2" x14ac:dyDescent="0.25">
      <c r="B5546" s="59"/>
    </row>
    <row r="5547" spans="2:2" x14ac:dyDescent="0.25">
      <c r="B5547" s="59"/>
    </row>
    <row r="5548" spans="2:2" x14ac:dyDescent="0.25">
      <c r="B5548" s="59"/>
    </row>
    <row r="5549" spans="2:2" x14ac:dyDescent="0.25">
      <c r="B5549" s="59"/>
    </row>
    <row r="5550" spans="2:2" x14ac:dyDescent="0.25">
      <c r="B5550" s="59"/>
    </row>
    <row r="5551" spans="2:2" x14ac:dyDescent="0.25">
      <c r="B5551" s="59"/>
    </row>
    <row r="5552" spans="2:2" x14ac:dyDescent="0.25">
      <c r="B5552" s="59"/>
    </row>
    <row r="5553" spans="2:2" x14ac:dyDescent="0.25">
      <c r="B5553" s="59"/>
    </row>
    <row r="5554" spans="2:2" x14ac:dyDescent="0.25">
      <c r="B5554" s="59"/>
    </row>
    <row r="5555" spans="2:2" x14ac:dyDescent="0.25">
      <c r="B5555" s="59"/>
    </row>
    <row r="5556" spans="2:2" x14ac:dyDescent="0.25">
      <c r="B5556" s="59"/>
    </row>
    <row r="5557" spans="2:2" x14ac:dyDescent="0.25">
      <c r="B5557" s="59"/>
    </row>
    <row r="5558" spans="2:2" x14ac:dyDescent="0.25">
      <c r="B5558" s="59"/>
    </row>
    <row r="5559" spans="2:2" x14ac:dyDescent="0.25">
      <c r="B5559" s="59"/>
    </row>
    <row r="5560" spans="2:2" x14ac:dyDescent="0.25">
      <c r="B5560" s="59"/>
    </row>
    <row r="5561" spans="2:2" x14ac:dyDescent="0.25">
      <c r="B5561" s="59"/>
    </row>
    <row r="5562" spans="2:2" x14ac:dyDescent="0.25">
      <c r="B5562" s="59"/>
    </row>
    <row r="5563" spans="2:2" x14ac:dyDescent="0.25">
      <c r="B5563" s="59"/>
    </row>
    <row r="5564" spans="2:2" x14ac:dyDescent="0.25">
      <c r="B5564" s="59"/>
    </row>
    <row r="5565" spans="2:2" x14ac:dyDescent="0.25">
      <c r="B5565" s="59"/>
    </row>
    <row r="5566" spans="2:2" x14ac:dyDescent="0.25">
      <c r="B5566" s="59"/>
    </row>
    <row r="5567" spans="2:2" x14ac:dyDescent="0.25">
      <c r="B5567" s="59"/>
    </row>
    <row r="5568" spans="2:2" x14ac:dyDescent="0.25">
      <c r="B5568" s="59"/>
    </row>
    <row r="5569" spans="2:2" x14ac:dyDescent="0.25">
      <c r="B5569" s="59"/>
    </row>
    <row r="5570" spans="2:2" x14ac:dyDescent="0.25">
      <c r="B5570" s="59"/>
    </row>
    <row r="5571" spans="2:2" x14ac:dyDescent="0.25">
      <c r="B5571" s="59"/>
    </row>
    <row r="5572" spans="2:2" x14ac:dyDescent="0.25">
      <c r="B5572" s="59"/>
    </row>
    <row r="5573" spans="2:2" x14ac:dyDescent="0.25">
      <c r="B5573" s="59"/>
    </row>
    <row r="5574" spans="2:2" x14ac:dyDescent="0.25">
      <c r="B5574" s="59"/>
    </row>
    <row r="5575" spans="2:2" x14ac:dyDescent="0.25">
      <c r="B5575" s="59"/>
    </row>
    <row r="5576" spans="2:2" x14ac:dyDescent="0.25">
      <c r="B5576" s="59"/>
    </row>
    <row r="5577" spans="2:2" x14ac:dyDescent="0.25">
      <c r="B5577" s="59"/>
    </row>
    <row r="5578" spans="2:2" x14ac:dyDescent="0.25">
      <c r="B5578" s="59"/>
    </row>
    <row r="5579" spans="2:2" x14ac:dyDescent="0.25">
      <c r="B5579" s="59"/>
    </row>
    <row r="5580" spans="2:2" x14ac:dyDescent="0.25">
      <c r="B5580" s="59"/>
    </row>
    <row r="5581" spans="2:2" x14ac:dyDescent="0.25">
      <c r="B5581" s="59"/>
    </row>
    <row r="5582" spans="2:2" x14ac:dyDescent="0.25">
      <c r="B5582" s="59"/>
    </row>
    <row r="5583" spans="2:2" x14ac:dyDescent="0.25">
      <c r="B5583" s="59"/>
    </row>
    <row r="5584" spans="2:2" x14ac:dyDescent="0.25">
      <c r="B5584" s="59"/>
    </row>
    <row r="5585" spans="2:2" x14ac:dyDescent="0.25">
      <c r="B5585" s="59"/>
    </row>
    <row r="5586" spans="2:2" x14ac:dyDescent="0.25">
      <c r="B5586" s="59"/>
    </row>
    <row r="5587" spans="2:2" x14ac:dyDescent="0.25">
      <c r="B5587" s="59"/>
    </row>
    <row r="5588" spans="2:2" x14ac:dyDescent="0.25">
      <c r="B5588" s="59"/>
    </row>
    <row r="5589" spans="2:2" x14ac:dyDescent="0.25">
      <c r="B5589" s="59"/>
    </row>
    <row r="5590" spans="2:2" x14ac:dyDescent="0.25">
      <c r="B5590" s="59"/>
    </row>
    <row r="5591" spans="2:2" x14ac:dyDescent="0.25">
      <c r="B5591" s="59"/>
    </row>
    <row r="5592" spans="2:2" x14ac:dyDescent="0.25">
      <c r="B5592" s="59"/>
    </row>
    <row r="5593" spans="2:2" x14ac:dyDescent="0.25">
      <c r="B5593" s="59"/>
    </row>
    <row r="5594" spans="2:2" x14ac:dyDescent="0.25">
      <c r="B5594" s="59"/>
    </row>
    <row r="5595" spans="2:2" x14ac:dyDescent="0.25">
      <c r="B5595" s="59"/>
    </row>
    <row r="5596" spans="2:2" x14ac:dyDescent="0.25">
      <c r="B5596" s="59"/>
    </row>
    <row r="5597" spans="2:2" x14ac:dyDescent="0.25">
      <c r="B5597" s="59"/>
    </row>
    <row r="5598" spans="2:2" x14ac:dyDescent="0.25">
      <c r="B5598" s="59"/>
    </row>
    <row r="5599" spans="2:2" x14ac:dyDescent="0.25">
      <c r="B5599" s="59"/>
    </row>
    <row r="5600" spans="2:2" x14ac:dyDescent="0.25">
      <c r="B5600" s="59"/>
    </row>
    <row r="5601" spans="2:2" x14ac:dyDescent="0.25">
      <c r="B5601" s="59"/>
    </row>
    <row r="5602" spans="2:2" x14ac:dyDescent="0.25">
      <c r="B5602" s="59"/>
    </row>
    <row r="5603" spans="2:2" x14ac:dyDescent="0.25">
      <c r="B5603" s="59"/>
    </row>
    <row r="5604" spans="2:2" x14ac:dyDescent="0.25">
      <c r="B5604" s="59"/>
    </row>
    <row r="5605" spans="2:2" x14ac:dyDescent="0.25">
      <c r="B5605" s="59"/>
    </row>
    <row r="5606" spans="2:2" x14ac:dyDescent="0.25">
      <c r="B5606" s="59"/>
    </row>
    <row r="5607" spans="2:2" x14ac:dyDescent="0.25">
      <c r="B5607" s="59"/>
    </row>
    <row r="5608" spans="2:2" x14ac:dyDescent="0.25">
      <c r="B5608" s="59"/>
    </row>
    <row r="5609" spans="2:2" x14ac:dyDescent="0.25">
      <c r="B5609" s="59"/>
    </row>
    <row r="5610" spans="2:2" x14ac:dyDescent="0.25">
      <c r="B5610" s="59"/>
    </row>
    <row r="5611" spans="2:2" x14ac:dyDescent="0.25">
      <c r="B5611" s="59"/>
    </row>
    <row r="5612" spans="2:2" x14ac:dyDescent="0.25">
      <c r="B5612" s="59"/>
    </row>
    <row r="5613" spans="2:2" x14ac:dyDescent="0.25">
      <c r="B5613" s="59"/>
    </row>
    <row r="5614" spans="2:2" x14ac:dyDescent="0.25">
      <c r="B5614" s="59"/>
    </row>
    <row r="5615" spans="2:2" x14ac:dyDescent="0.25">
      <c r="B5615" s="59"/>
    </row>
    <row r="5616" spans="2:2" x14ac:dyDescent="0.25">
      <c r="B5616" s="59"/>
    </row>
    <row r="5617" spans="2:2" x14ac:dyDescent="0.25">
      <c r="B5617" s="59"/>
    </row>
    <row r="5618" spans="2:2" x14ac:dyDescent="0.25">
      <c r="B5618" s="59"/>
    </row>
    <row r="5619" spans="2:2" x14ac:dyDescent="0.25">
      <c r="B5619" s="59"/>
    </row>
    <row r="5620" spans="2:2" x14ac:dyDescent="0.25">
      <c r="B5620" s="59"/>
    </row>
    <row r="5621" spans="2:2" x14ac:dyDescent="0.25">
      <c r="B5621" s="59"/>
    </row>
    <row r="5622" spans="2:2" x14ac:dyDescent="0.25">
      <c r="B5622" s="59"/>
    </row>
    <row r="5623" spans="2:2" x14ac:dyDescent="0.25">
      <c r="B5623" s="59"/>
    </row>
    <row r="5624" spans="2:2" x14ac:dyDescent="0.25">
      <c r="B5624" s="59"/>
    </row>
    <row r="5625" spans="2:2" x14ac:dyDescent="0.25">
      <c r="B5625" s="59"/>
    </row>
    <row r="5626" spans="2:2" x14ac:dyDescent="0.25">
      <c r="B5626" s="59"/>
    </row>
    <row r="5627" spans="2:2" x14ac:dyDescent="0.25">
      <c r="B5627" s="59"/>
    </row>
    <row r="5628" spans="2:2" x14ac:dyDescent="0.25">
      <c r="B5628" s="59"/>
    </row>
    <row r="5629" spans="2:2" x14ac:dyDescent="0.25">
      <c r="B5629" s="59"/>
    </row>
    <row r="5630" spans="2:2" x14ac:dyDescent="0.25">
      <c r="B5630" s="59"/>
    </row>
    <row r="5631" spans="2:2" x14ac:dyDescent="0.25">
      <c r="B5631" s="59"/>
    </row>
    <row r="5632" spans="2:2" x14ac:dyDescent="0.25">
      <c r="B5632" s="59"/>
    </row>
  </sheetData>
  <sheetProtection sheet="1" objects="1" scenarios="1"/>
  <sortState xmlns:xlrd2="http://schemas.microsoft.com/office/spreadsheetml/2017/richdata2" ref="B2:B5632">
    <sortCondition descending="1" ref="B2"/>
  </sortState>
  <mergeCells count="7">
    <mergeCell ref="D27:D28"/>
    <mergeCell ref="D18:D19"/>
    <mergeCell ref="E18:E19"/>
    <mergeCell ref="D12:D13"/>
    <mergeCell ref="E12:E13"/>
    <mergeCell ref="D15:D16"/>
    <mergeCell ref="E15:E16"/>
  </mergeCells>
  <phoneticPr fontId="0" type="noConversion"/>
  <conditionalFormatting sqref="C2:C301">
    <cfRule type="expression" dxfId="7" priority="5" stopIfTrue="1">
      <formula>ISBLANK(B2)</formula>
    </cfRule>
  </conditionalFormatting>
  <conditionalFormatting sqref="D27:D28">
    <cfRule type="cellIs" dxfId="6" priority="1" stopIfTrue="1" operator="equal">
      <formula>"Goodness of Fit Test = FAIL"</formula>
    </cfRule>
    <cfRule type="cellIs" dxfId="5" priority="2" stopIfTrue="1" operator="equal">
      <formula>"Goodness of Fit Test = PASS"</formula>
    </cfRule>
  </conditionalFormatting>
  <pageMargins left="0.33" right="0.25" top="0.51" bottom="0.24" header="0.5" footer="0.5"/>
  <pageSetup scale="74" fitToHeight="16" orientation="portrait"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C342"/>
  <sheetViews>
    <sheetView showGridLines="0" topLeftCell="M27" zoomScale="85" zoomScaleNormal="85" workbookViewId="0">
      <selection activeCell="Z35" sqref="Z35:Z335"/>
    </sheetView>
  </sheetViews>
  <sheetFormatPr defaultRowHeight="13.2" x14ac:dyDescent="0.25"/>
  <cols>
    <col min="1" max="1" width="11.77734375" style="5" customWidth="1"/>
    <col min="2" max="2" width="11.5546875" style="3" customWidth="1"/>
    <col min="3" max="3" width="12.21875" style="3" customWidth="1"/>
    <col min="4" max="4" width="10.5546875" style="3" customWidth="1"/>
    <col min="5" max="5" width="10.44140625" style="3" customWidth="1"/>
    <col min="6" max="6" width="13.21875" style="3" customWidth="1"/>
    <col min="7" max="12" width="9.21875" style="3"/>
    <col min="13" max="16" width="9.21875" style="4"/>
    <col min="17" max="17" width="11.21875" style="5" customWidth="1"/>
    <col min="18" max="18" width="10.44140625" style="3" customWidth="1"/>
    <col min="19" max="19" width="9.21875" style="3"/>
    <col min="20" max="21" width="9.21875" style="11"/>
    <col min="22" max="22" width="9.21875"/>
    <col min="23" max="23" width="9.21875" style="109"/>
    <col min="24" max="24" width="9.21875" style="109" bestFit="1" customWidth="1"/>
    <col min="25" max="28" width="9.21875" style="109"/>
    <col min="29" max="29" width="11.44140625" style="109" bestFit="1" customWidth="1"/>
  </cols>
  <sheetData>
    <row r="1" spans="1:29" s="20" customFormat="1" ht="22.5" customHeight="1" x14ac:dyDescent="0.25">
      <c r="A1" s="148" t="s">
        <v>57</v>
      </c>
      <c r="B1" s="149"/>
      <c r="C1" s="149"/>
      <c r="D1" s="149"/>
      <c r="E1" s="149"/>
      <c r="F1" s="149"/>
      <c r="G1" s="149"/>
      <c r="H1" s="149"/>
      <c r="I1" s="149"/>
      <c r="J1" s="149"/>
      <c r="K1" s="149"/>
      <c r="L1" s="149"/>
      <c r="M1" s="149"/>
      <c r="N1" s="149"/>
      <c r="O1" s="149"/>
      <c r="P1" s="149"/>
      <c r="Q1" s="149"/>
      <c r="R1" s="149"/>
      <c r="S1" s="149"/>
      <c r="T1" s="149"/>
      <c r="W1" s="109"/>
      <c r="X1" s="111"/>
      <c r="Y1" s="111"/>
      <c r="Z1" s="109"/>
      <c r="AA1" s="111"/>
      <c r="AB1" s="111"/>
      <c r="AC1" s="111"/>
    </row>
    <row r="2" spans="1:29" s="20" customFormat="1" ht="21" customHeight="1" x14ac:dyDescent="0.25">
      <c r="A2" s="149"/>
      <c r="B2" s="149"/>
      <c r="C2" s="149"/>
      <c r="D2" s="149"/>
      <c r="E2" s="149"/>
      <c r="F2" s="149"/>
      <c r="G2" s="149"/>
      <c r="H2" s="149"/>
      <c r="I2" s="149"/>
      <c r="J2" s="149"/>
      <c r="K2" s="149"/>
      <c r="L2" s="149"/>
      <c r="M2" s="149"/>
      <c r="N2" s="149"/>
      <c r="O2" s="149"/>
      <c r="P2" s="149"/>
      <c r="Q2" s="149"/>
      <c r="R2" s="149"/>
      <c r="S2" s="149"/>
      <c r="T2" s="149"/>
      <c r="W2" s="109"/>
      <c r="X2" s="111"/>
      <c r="Y2" s="111"/>
      <c r="Z2" s="109"/>
      <c r="AA2" s="111"/>
      <c r="AB2" s="111"/>
      <c r="AC2" s="111"/>
    </row>
    <row r="3" spans="1:29" s="20" customFormat="1" ht="23.25" customHeight="1" x14ac:dyDescent="0.25">
      <c r="A3" s="150"/>
      <c r="B3" s="150"/>
      <c r="C3" s="150"/>
      <c r="D3" s="150"/>
      <c r="E3" s="150"/>
      <c r="F3" s="150"/>
      <c r="G3" s="150"/>
      <c r="H3" s="150"/>
      <c r="I3" s="150"/>
      <c r="J3" s="150"/>
      <c r="K3" s="150"/>
      <c r="L3" s="150"/>
      <c r="M3" s="150"/>
      <c r="N3" s="150"/>
      <c r="O3" s="150"/>
      <c r="P3" s="150"/>
      <c r="Q3" s="150"/>
      <c r="R3" s="150"/>
      <c r="S3" s="150"/>
      <c r="T3" s="150"/>
      <c r="W3" s="109"/>
      <c r="X3" s="111"/>
      <c r="Y3" s="111"/>
      <c r="Z3" s="109"/>
      <c r="AA3" s="111"/>
      <c r="AB3" s="111"/>
      <c r="AC3" s="111"/>
    </row>
    <row r="5" spans="1:29" x14ac:dyDescent="0.25">
      <c r="A5" s="33"/>
      <c r="B5" s="34" t="s">
        <v>28</v>
      </c>
      <c r="C5" s="19" t="str">
        <f>Name</f>
        <v>2E-3021</v>
      </c>
      <c r="N5"/>
      <c r="O5"/>
      <c r="P5"/>
      <c r="Q5"/>
      <c r="R5"/>
    </row>
    <row r="6" spans="1:29" x14ac:dyDescent="0.25">
      <c r="A6" s="153" t="s">
        <v>0</v>
      </c>
      <c r="B6" s="152"/>
      <c r="C6" s="41">
        <f>NTubes</f>
        <v>366</v>
      </c>
      <c r="D6" s="2" t="s">
        <v>45</v>
      </c>
      <c r="N6"/>
      <c r="O6"/>
      <c r="P6"/>
      <c r="Q6"/>
      <c r="R6"/>
    </row>
    <row r="7" spans="1:29" x14ac:dyDescent="0.25">
      <c r="A7" s="143" t="s">
        <v>16</v>
      </c>
      <c r="B7" s="144"/>
      <c r="C7" s="19">
        <f>(C6-1)/C6*100</f>
        <v>99.726775956284158</v>
      </c>
      <c r="D7" s="2" t="s">
        <v>21</v>
      </c>
      <c r="N7"/>
      <c r="O7"/>
      <c r="P7"/>
      <c r="Q7"/>
      <c r="R7"/>
    </row>
    <row r="8" spans="1:29" x14ac:dyDescent="0.25">
      <c r="A8" s="143" t="s">
        <v>17</v>
      </c>
      <c r="B8" s="144"/>
      <c r="C8" s="18">
        <f>-LN(-LN(C7/100))</f>
        <v>5.901265655391307</v>
      </c>
      <c r="D8" s="2" t="s">
        <v>18</v>
      </c>
      <c r="N8"/>
      <c r="O8"/>
      <c r="P8"/>
      <c r="Q8"/>
      <c r="R8"/>
    </row>
    <row r="9" spans="1:29" x14ac:dyDescent="0.25">
      <c r="A9" s="143" t="s">
        <v>36</v>
      </c>
      <c r="B9" s="144"/>
      <c r="C9" s="42">
        <f>Nmeas</f>
        <v>366</v>
      </c>
      <c r="D9" s="2" t="s">
        <v>29</v>
      </c>
      <c r="N9"/>
      <c r="O9"/>
      <c r="P9"/>
      <c r="Q9"/>
      <c r="R9"/>
      <c r="S9" s="3" t="s">
        <v>58</v>
      </c>
    </row>
    <row r="10" spans="1:29" x14ac:dyDescent="0.25">
      <c r="A10" s="143" t="s">
        <v>32</v>
      </c>
      <c r="B10" s="144"/>
      <c r="C10" s="18">
        <f>1.0721322+0.055223084*LN(C9)+0.10390426/LN(C9)-0.0066953058*(LN(C9))^2+1.179865/(LN(C9))^2+0.00042577706*(LN(C9))^3-0.91467536/(LN(C9))^3-1.3743398*10^-5*(LN(C9))^4+0.66038932/(LN(C9))^4+1.775385*10^-7*(LN(C9))^5-0.11988514/(LN(C9))^5</f>
        <v>1.2845207924872175</v>
      </c>
      <c r="D10" s="2" t="s">
        <v>37</v>
      </c>
    </row>
    <row r="11" spans="1:29" x14ac:dyDescent="0.25">
      <c r="A11" s="143" t="s">
        <v>33</v>
      </c>
      <c r="B11" s="144"/>
      <c r="C11" s="18">
        <f>1.3445992+0.082929988*LN(C9)+0.012172623/LN(C9)-0.01017067*(LN(C9))^2+2.2464985/(LN(C9))^2+0.00064879079*(LN(C9))^3-1.5448992/(LN(C9))^3-2.094884*10^-5*(LN(C9))^4+1.1933655/(LN(C9))^4+2.7042897*10^-7*(LN(C9))^5-0.049207524/(LN(C9))^5</f>
        <v>1.6496865152320133</v>
      </c>
      <c r="D11" s="2" t="s">
        <v>38</v>
      </c>
    </row>
    <row r="12" spans="1:29" x14ac:dyDescent="0.25">
      <c r="A12" s="143" t="s">
        <v>34</v>
      </c>
      <c r="B12" s="144"/>
      <c r="C12" s="18">
        <f>1.3433703+0.14072015*LN(C9)+0.88483914/LN(C9)-0.0159309*(LN(C9))^2+0.85300173/(LN(C9))^2+0.00096881568*(LN(C9))^3+1.8298733/(LN(C9))^3-3.02689*10^-5*(LN(C9))^4-1.3485888/(LN(C9))^4+3.8134779*10^-7*(LN(C9))^5+1.3708988/(LN(C9))^5</f>
        <v>1.9665365773448249</v>
      </c>
      <c r="D12" s="2" t="s">
        <v>39</v>
      </c>
      <c r="T12" s="39"/>
    </row>
    <row r="13" spans="1:29" x14ac:dyDescent="0.25">
      <c r="A13" s="143" t="s">
        <v>35</v>
      </c>
      <c r="B13" s="144"/>
      <c r="C13" s="18">
        <f>(9.7556221-9.9315048*LN(C9)+10.233914*(LN(C9))^2-2.2408046*(LN(C9))^3+0.45673947*(LN(C9))^4)/(1-3.7387562*LN(C9)+4.0739224*(LN(C9))^2-0.88473316*(LN(C9))^3+0.17807462*(LN(C9))^4-1.384055*10^-5*(LN(C9))^5)</f>
        <v>2.5892307908742063</v>
      </c>
      <c r="D13" s="2" t="s">
        <v>40</v>
      </c>
    </row>
    <row r="14" spans="1:29" x14ac:dyDescent="0.25">
      <c r="A14" s="151" t="s">
        <v>3</v>
      </c>
      <c r="B14" s="152"/>
      <c r="C14" s="18">
        <f>DSTDEV(DB,2,N340:N341)*SQRT(6)/3.1416</f>
        <v>5.6972696311680837E-2</v>
      </c>
      <c r="D14" s="107" t="s">
        <v>6</v>
      </c>
    </row>
    <row r="15" spans="1:29" x14ac:dyDescent="0.25">
      <c r="A15" s="151" t="s">
        <v>4</v>
      </c>
      <c r="B15" s="152"/>
      <c r="C15" s="18">
        <f>DAVERAGE(DB,2,N340:N341)-0.5772*C14</f>
        <v>0.20114957895800079</v>
      </c>
      <c r="D15" s="107" t="s">
        <v>5</v>
      </c>
      <c r="N15" s="23"/>
      <c r="O15" s="23"/>
      <c r="P15" s="23"/>
    </row>
    <row r="16" spans="1:29" x14ac:dyDescent="0.25">
      <c r="A16" s="151" t="s">
        <v>8</v>
      </c>
      <c r="B16" s="152"/>
      <c r="C16" s="18">
        <v>7.3908931758035479E-2</v>
      </c>
      <c r="D16" s="107" t="s">
        <v>102</v>
      </c>
    </row>
    <row r="17" spans="1:29" x14ac:dyDescent="0.25">
      <c r="A17" s="151" t="s">
        <v>9</v>
      </c>
      <c r="B17" s="152"/>
      <c r="C17" s="18">
        <v>0.1964777532779039</v>
      </c>
      <c r="D17" s="107" t="s">
        <v>101</v>
      </c>
    </row>
    <row r="18" spans="1:29" s="17" customFormat="1" x14ac:dyDescent="0.25">
      <c r="A18" s="143" t="s">
        <v>10</v>
      </c>
      <c r="B18" s="144"/>
      <c r="C18" s="18">
        <f>DSUM(DB,5,N340:N341)</f>
        <v>330.13047635027601</v>
      </c>
      <c r="D18" s="2" t="s">
        <v>30</v>
      </c>
      <c r="E18" s="13"/>
      <c r="F18" s="13"/>
      <c r="G18" s="13"/>
      <c r="H18" s="13"/>
      <c r="I18" s="13"/>
      <c r="J18" s="13"/>
      <c r="K18" s="13"/>
      <c r="L18" s="13"/>
      <c r="M18" s="14"/>
      <c r="N18" s="14"/>
      <c r="O18" s="14"/>
      <c r="P18" s="14"/>
      <c r="Q18" s="15"/>
      <c r="R18" s="13"/>
      <c r="S18" s="13"/>
      <c r="T18" s="16"/>
      <c r="U18" s="16"/>
      <c r="W18" s="109"/>
      <c r="X18" s="112"/>
      <c r="Y18" s="112"/>
      <c r="Z18" s="109"/>
      <c r="AA18" s="112"/>
      <c r="AB18" s="112"/>
      <c r="AC18" s="112"/>
    </row>
    <row r="19" spans="1:29" x14ac:dyDescent="0.25">
      <c r="A19" s="143" t="s">
        <v>15</v>
      </c>
      <c r="B19" s="144"/>
      <c r="C19" s="18">
        <f>-C16*LN(-LN((C6-1)/C6))+C17</f>
        <v>0.63263399388825858</v>
      </c>
      <c r="D19" s="2" t="s">
        <v>136</v>
      </c>
    </row>
    <row r="20" spans="1:29" x14ac:dyDescent="0.25">
      <c r="A20" s="143" t="s">
        <v>19</v>
      </c>
      <c r="B20" s="144"/>
      <c r="C20" s="18">
        <f>C16*SQRT((1.109+0.514*C8+0.608*C8^2)/C9)</f>
        <v>1.943803286624669E-2</v>
      </c>
      <c r="D20" s="2" t="s">
        <v>128</v>
      </c>
    </row>
    <row r="21" spans="1:29" x14ac:dyDescent="0.25">
      <c r="A21" s="6"/>
      <c r="B21" s="6" t="s">
        <v>46</v>
      </c>
      <c r="C21" s="22">
        <f>IF(Main!$D$15-$C$19&lt;0, 0, Main!$D$15-$C$19)</f>
        <v>1.7773660061117416</v>
      </c>
      <c r="D21" s="2" t="s">
        <v>129</v>
      </c>
    </row>
    <row r="22" spans="1:29" x14ac:dyDescent="0.25">
      <c r="A22" s="143" t="s">
        <v>41</v>
      </c>
      <c r="B22" s="144"/>
      <c r="C22" s="22">
        <f>IF($C$21-C10*$C$20&lt;0, 0, $C$21-C10*$C$20)</f>
        <v>1.7523974487299978</v>
      </c>
      <c r="D22" s="2" t="s">
        <v>130</v>
      </c>
    </row>
    <row r="23" spans="1:29" x14ac:dyDescent="0.25">
      <c r="A23" s="143" t="s">
        <v>42</v>
      </c>
      <c r="B23" s="144"/>
      <c r="C23" s="22">
        <f>IF($C$21-C11*$C$20&lt;0, 0, $C$21-C11*$C$20)</f>
        <v>1.7452993454096577</v>
      </c>
      <c r="D23" s="2" t="s">
        <v>131</v>
      </c>
    </row>
    <row r="24" spans="1:29" x14ac:dyDescent="0.25">
      <c r="A24" s="143" t="s">
        <v>43</v>
      </c>
      <c r="B24" s="144"/>
      <c r="C24" s="22">
        <f>IF($C$21-C12*$C$20&lt;0, 0, $C$21-C12*$C$20)</f>
        <v>1.7391404034886366</v>
      </c>
      <c r="D24" s="2" t="s">
        <v>132</v>
      </c>
    </row>
    <row r="25" spans="1:29" x14ac:dyDescent="0.25">
      <c r="A25" s="143" t="s">
        <v>44</v>
      </c>
      <c r="B25" s="144"/>
      <c r="C25" s="22">
        <f>IF($C$21-C13*$C$20&lt;0, 0, $C$21-C13*$C$20)</f>
        <v>1.7270364529004307</v>
      </c>
      <c r="D25" s="2" t="s">
        <v>133</v>
      </c>
    </row>
    <row r="26" spans="1:29" x14ac:dyDescent="0.25">
      <c r="A26" s="154" t="s">
        <v>105</v>
      </c>
      <c r="B26" s="155"/>
      <c r="C26" s="18">
        <f>AVERAGE(W35:W335)</f>
        <v>2.1751856666666645</v>
      </c>
      <c r="D26" s="108" t="s">
        <v>107</v>
      </c>
    </row>
    <row r="27" spans="1:29" x14ac:dyDescent="0.25">
      <c r="A27" s="154" t="s">
        <v>106</v>
      </c>
      <c r="B27" s="155"/>
      <c r="C27" s="18">
        <f>STDEV(W35:W335)</f>
        <v>7.1926069633096917E-2</v>
      </c>
      <c r="D27" s="108" t="s">
        <v>108</v>
      </c>
    </row>
    <row r="28" spans="1:29" x14ac:dyDescent="0.25">
      <c r="A28" s="154" t="s">
        <v>118</v>
      </c>
      <c r="B28" s="155"/>
      <c r="C28" s="18">
        <f>C26-0.5772*C29</f>
        <v>2.1428159868180585</v>
      </c>
      <c r="D28" s="108" t="s">
        <v>120</v>
      </c>
    </row>
    <row r="29" spans="1:29" x14ac:dyDescent="0.25">
      <c r="A29" s="154" t="s">
        <v>119</v>
      </c>
      <c r="B29" s="155"/>
      <c r="C29" s="18">
        <f>C27*SQRT(6)/PI()</f>
        <v>5.6080526418236305E-2</v>
      </c>
      <c r="D29" s="108" t="s">
        <v>121</v>
      </c>
    </row>
    <row r="30" spans="1:29" ht="13.8" x14ac:dyDescent="0.3">
      <c r="A30" s="154" t="s">
        <v>104</v>
      </c>
      <c r="B30" s="155"/>
      <c r="C30" s="22">
        <f>(-(SUM(AC35:AC335)/$C$9)-$C$9)*(1+0.2/SQRT($C$9))</f>
        <v>-114.41545043360389</v>
      </c>
      <c r="D30" s="108" t="s">
        <v>117</v>
      </c>
    </row>
    <row r="31" spans="1:29" x14ac:dyDescent="0.25">
      <c r="A31" s="6"/>
      <c r="B31" s="5"/>
      <c r="C31" s="21"/>
      <c r="D31" s="2"/>
      <c r="Z31" s="109" t="s">
        <v>110</v>
      </c>
    </row>
    <row r="32" spans="1:29" x14ac:dyDescent="0.25">
      <c r="A32" s="6"/>
      <c r="B32" s="5"/>
      <c r="C32" s="1"/>
      <c r="D32" s="2"/>
      <c r="W32" s="110"/>
      <c r="Z32" s="109" t="s">
        <v>110</v>
      </c>
    </row>
    <row r="33" spans="1:29" x14ac:dyDescent="0.25">
      <c r="W33" s="113" t="s">
        <v>109</v>
      </c>
      <c r="X33" s="114"/>
      <c r="Y33" s="114"/>
      <c r="Z33" s="114" t="s">
        <v>110</v>
      </c>
      <c r="AA33" s="114"/>
      <c r="AB33" s="114"/>
      <c r="AC33" s="115"/>
    </row>
    <row r="34" spans="1:29" ht="92.4" x14ac:dyDescent="0.25">
      <c r="B34" s="7" t="s">
        <v>1</v>
      </c>
      <c r="C34" s="7" t="s">
        <v>134</v>
      </c>
      <c r="D34" s="7" t="s">
        <v>7</v>
      </c>
      <c r="E34" s="7" t="s">
        <v>2</v>
      </c>
      <c r="F34" s="7" t="s">
        <v>13</v>
      </c>
      <c r="G34" s="7" t="s">
        <v>135</v>
      </c>
      <c r="H34" s="7" t="s">
        <v>14</v>
      </c>
      <c r="I34" s="8" t="s">
        <v>77</v>
      </c>
      <c r="J34" s="8" t="s">
        <v>78</v>
      </c>
      <c r="K34" s="8" t="s">
        <v>79</v>
      </c>
      <c r="L34" s="8" t="s">
        <v>80</v>
      </c>
      <c r="M34" s="8" t="s">
        <v>11</v>
      </c>
      <c r="N34" s="8" t="s">
        <v>12</v>
      </c>
      <c r="O34" s="8" t="s">
        <v>81</v>
      </c>
      <c r="P34" s="8" t="s">
        <v>82</v>
      </c>
      <c r="Q34" s="7" t="s">
        <v>20</v>
      </c>
      <c r="R34" s="7" t="s">
        <v>22</v>
      </c>
      <c r="S34" s="7" t="s">
        <v>23</v>
      </c>
      <c r="T34" s="12" t="s">
        <v>11</v>
      </c>
      <c r="U34" s="12" t="s">
        <v>12</v>
      </c>
      <c r="V34" s="12" t="s">
        <v>54</v>
      </c>
      <c r="W34" s="116" t="s">
        <v>111</v>
      </c>
      <c r="X34" s="117" t="s">
        <v>112</v>
      </c>
      <c r="Y34" s="117" t="s">
        <v>113</v>
      </c>
      <c r="Z34" s="117" t="s">
        <v>114</v>
      </c>
      <c r="AA34" s="117" t="s">
        <v>115</v>
      </c>
      <c r="AB34" s="117" t="s">
        <v>116</v>
      </c>
      <c r="AC34" s="117" t="s">
        <v>103</v>
      </c>
    </row>
    <row r="35" spans="1:29" x14ac:dyDescent="0.25">
      <c r="B35" s="30">
        <f>Main!A2</f>
        <v>1</v>
      </c>
      <c r="C35" s="29">
        <f>Main!C2</f>
        <v>7.2299999999999809E-2</v>
      </c>
      <c r="D35" s="19">
        <f>B35/($C$9+1)</f>
        <v>2.7247956403269754E-3</v>
      </c>
      <c r="E35" s="18">
        <f>-LN(-LN(D35))</f>
        <v>-1.7758607260199126</v>
      </c>
      <c r="F35" s="18">
        <f>LN(1/$C$16) - (C35-$C$17)/$C$16 - EXP(-(C35-$C$17)/$C$16)</f>
        <v>-1.0812692766084675</v>
      </c>
      <c r="G35" s="18">
        <f>$C$16*E35+$C$17</f>
        <v>6.5225784066722831E-2</v>
      </c>
      <c r="H35" s="18">
        <f>$C$16*SQRT((1.109+0.514*E35+0.608*E35^2)/$C$9)</f>
        <v>5.6165870068731368E-3</v>
      </c>
      <c r="I35" s="18">
        <f>G35-$C$10*H35</f>
        <v>5.801116127358074E-2</v>
      </c>
      <c r="J35" s="18">
        <f>G35+$C$10*H35</f>
        <v>7.2440406859864914E-2</v>
      </c>
      <c r="K35" s="18">
        <f>G35-$C$11*H35</f>
        <v>5.5960176219856883E-2</v>
      </c>
      <c r="L35" s="18">
        <f>G35+$C$11*H35</f>
        <v>7.4491391913588778E-2</v>
      </c>
      <c r="M35" s="18">
        <f>G35-$C$12*H35</f>
        <v>5.4180560277867121E-2</v>
      </c>
      <c r="N35" s="18">
        <f>G35+$C$12*H35</f>
        <v>7.627100785557854E-2</v>
      </c>
      <c r="O35" s="18">
        <f>G35-$C$13*H35</f>
        <v>5.0683144048902909E-2</v>
      </c>
      <c r="P35" s="18">
        <f>G35+$C$13*H35</f>
        <v>7.9768424084542752E-2</v>
      </c>
      <c r="Q35" s="18">
        <f>EXP(-EXP(-(C35-$C$17)/$C$16))</f>
        <v>4.6712139558456132E-3</v>
      </c>
      <c r="R35" s="18">
        <f>-LN(-LN(Q35))</f>
        <v>-1.6801454211845419</v>
      </c>
      <c r="S35" s="18">
        <f>$C$16*SQRT((1.109+0.514*R35+0.608*R35^2)/$C$9)</f>
        <v>5.4109692190951186E-3</v>
      </c>
      <c r="T35" s="18">
        <f>G35-$C$12*S35</f>
        <v>5.4584915178485315E-2</v>
      </c>
      <c r="U35" s="18">
        <f>G35+$C$12*S35</f>
        <v>7.586665295496034E-2</v>
      </c>
      <c r="V35" s="40" t="str">
        <f>IF(B35&lt;N,"Y","")</f>
        <v>Y</v>
      </c>
      <c r="W35" s="18">
        <v>2.3377000000000003</v>
      </c>
      <c r="X35" s="18">
        <f t="shared" ref="X35:X98" si="0">IF(OR(NOT(ISNUMBER(W35)),ISNA(B35)),"",(EXP(-EXP(-(W35-$C$28)/$C$29))))</f>
        <v>0.96951481435693454</v>
      </c>
      <c r="Y35" s="18">
        <v>0.96951481435693454</v>
      </c>
      <c r="Z35" s="18">
        <v>3.0272118151249597E-2</v>
      </c>
      <c r="AA35" s="18">
        <f>IF(OR(NOT(ISNUMBER(W35)),ISNA(B35)),"",LN(Z35))</f>
        <v>-3.4975281831323897</v>
      </c>
      <c r="AB35" s="18">
        <f>IF(OR(NOT(ISNUMBER(W35)),ISNA(B35)),"",LN(1-Y35))</f>
        <v>-3.4905144299881044</v>
      </c>
      <c r="AC35" s="18">
        <f>IF(OR(NOT(ISNUMBER(W35)),ISNA(B35)),"",(2*B35-1)*(AA35+AB35))</f>
        <v>-6.988042613120494</v>
      </c>
    </row>
    <row r="36" spans="1:29" x14ac:dyDescent="0.25">
      <c r="A36" s="13" t="str">
        <f t="shared" ref="A36:A54" si="1">IF(B36=$C$6,"EVA","")</f>
        <v/>
      </c>
      <c r="B36" s="30">
        <f>IF(B35=$C$9,$C$6,IF(OR(ISNA(B35),B35=$C$6),NA(),Main!A3))</f>
        <v>2</v>
      </c>
      <c r="C36" s="29">
        <f>IF(ISNA(B36),NA(),IF(B36=$C$6,$C$19,Main!C3))</f>
        <v>7.2299999999999809E-2</v>
      </c>
      <c r="D36" s="19">
        <f t="shared" ref="D36:D54" si="2">IF(ISNA(B36),NA(),IF(B36=$C$6,(N-1)/N,B36/($C$9+1)))</f>
        <v>5.4495912806539508E-3</v>
      </c>
      <c r="E36" s="18">
        <f t="shared" ref="E36:E54" si="3">IF(ISNA(B36),NA(),-LN(-LN(D36)))</f>
        <v>-1.6510048455776358</v>
      </c>
      <c r="F36" s="18">
        <f t="shared" ref="F36:F54" si="4">IF(ISNA(B36),NA(),LN(1/$C$16) - (C36-$C$17)/$C$16 - EXP(-(C36-$C$17)/$C$16))</f>
        <v>-1.0812692766084675</v>
      </c>
      <c r="G36" s="18">
        <f t="shared" ref="G36:G54" si="5">IF(ISNA(B36),NA(),$C$16*E36+$C$17)</f>
        <v>7.4453748813920514E-2</v>
      </c>
      <c r="H36" s="18">
        <f t="shared" ref="H36:H54" si="6">IF(ISNA(B36),NA(),$C$16*SQRT((1.109+0.514*E36+0.608*E36^2)/$C$9))</f>
        <v>5.3498854087234669E-3</v>
      </c>
      <c r="I36" s="18">
        <f>IF(ISNA(B36),NA(),G36-$C$10*H36)</f>
        <v>6.7581709768991249E-2</v>
      </c>
      <c r="J36" s="18">
        <f>IF(ISNA(B36),NA(),G36+$C$10*H36)</f>
        <v>8.132578785884978E-2</v>
      </c>
      <c r="K36" s="18">
        <f>IF(ISNA(B36),NA(),G36-$C$11*H36)</f>
        <v>6.5628114997112907E-2</v>
      </c>
      <c r="L36" s="18">
        <f>IF(ISNA(B36),NA(),G36+$C$11*H36)</f>
        <v>8.3279382630728122E-2</v>
      </c>
      <c r="M36" s="18">
        <f>IF(ISNA(B36),NA(),G36-$C$12*H36)</f>
        <v>6.3933003473062452E-2</v>
      </c>
      <c r="N36" s="18">
        <f>IF(ISNA(B36),NA(),G36+$C$12*H36)</f>
        <v>8.4974494154778576E-2</v>
      </c>
      <c r="O36" s="18">
        <f>IF(ISNA(B36),NA(),G36-$C$13*H36)</f>
        <v>6.0601660786005075E-2</v>
      </c>
      <c r="P36" s="18">
        <f>IF(ISNA(B36),NA(),G36+$C$13*H36)</f>
        <v>8.8305836841835961E-2</v>
      </c>
      <c r="Q36" s="18">
        <f t="shared" ref="Q36:Q54" si="7">IF(ISNA(B36),NA(),EXP(-EXP(-(C36-$C$17)/$C$16)))</f>
        <v>4.6712139558456132E-3</v>
      </c>
      <c r="R36" s="18">
        <f t="shared" ref="R36:R99" si="8">IF(ISNA(B36),NA(),-LN(-LN(Q36)))</f>
        <v>-1.6801454211845419</v>
      </c>
      <c r="S36" s="18">
        <f t="shared" ref="S36:S99" si="9">IF(ISNA(B36),NA(),$C$16*SQRT((1.109+0.514*R36+0.608*R36^2)/$C$9))</f>
        <v>5.4109692190951186E-3</v>
      </c>
      <c r="T36" s="18">
        <f>IF(ISNA(B36),NA(),G36-$C$12*S36)</f>
        <v>6.3812879925683005E-2</v>
      </c>
      <c r="U36" s="18">
        <f>IF(ISNA(B36),NA(),G36+$C$12*S36)</f>
        <v>8.5094617702158024E-2</v>
      </c>
      <c r="V36" s="40" t="str">
        <f t="shared" ref="V36:V99" si="10">IF(V35="","",IF(B36&lt;N,"Y",""))</f>
        <v>Y</v>
      </c>
      <c r="W36" s="18">
        <v>2.3377000000000003</v>
      </c>
      <c r="X36" s="18">
        <f t="shared" si="0"/>
        <v>0.96951481435693454</v>
      </c>
      <c r="Y36" s="18">
        <v>0.96951481435693454</v>
      </c>
      <c r="Z36" s="18">
        <v>3.0272118151249597E-2</v>
      </c>
      <c r="AA36" s="18">
        <f>IF(OR(NOT(ISNUMBER(W36)),ISNA(B36)),"",LN(Z36))</f>
        <v>-3.4975281831323897</v>
      </c>
      <c r="AB36" s="18">
        <f>IF(OR(NOT(ISNUMBER(W36)),ISNA(B36)),"",LN(1-Y36))</f>
        <v>-3.4905144299881044</v>
      </c>
      <c r="AC36" s="18">
        <f>IF(OR(NOT(ISNUMBER(W36)),ISNA(B36)),"",(2*B36-1)*(AA36+AB36))</f>
        <v>-20.964127839361481</v>
      </c>
    </row>
    <row r="37" spans="1:29" x14ac:dyDescent="0.25">
      <c r="A37" s="13" t="str">
        <f t="shared" si="1"/>
        <v/>
      </c>
      <c r="B37" s="30">
        <f>IF(B36=$C$9,$C$6,IF(OR(ISNA(B36),B36=$C$6),NA(),Main!A4))</f>
        <v>3</v>
      </c>
      <c r="C37" s="29">
        <f>IF(ISNA(B37),NA(),IF(B37=$C$6,$C$19,Main!C4))</f>
        <v>9.6400000000000041E-2</v>
      </c>
      <c r="D37" s="19">
        <f t="shared" si="2"/>
        <v>8.1743869209809257E-3</v>
      </c>
      <c r="E37" s="18">
        <f t="shared" si="3"/>
        <v>-1.5700210884047221</v>
      </c>
      <c r="F37" s="18">
        <f t="shared" si="4"/>
        <v>8.5838780272438076E-2</v>
      </c>
      <c r="G37" s="18">
        <f t="shared" si="5"/>
        <v>8.0439171796322706E-2</v>
      </c>
      <c r="H37" s="18">
        <f t="shared" si="6"/>
        <v>5.1841565103202423E-3</v>
      </c>
      <c r="I37" s="18">
        <f t="shared" ref="I37:I100" si="11">IF(ISNA(B37),NA(),G37-$C$10*H37)</f>
        <v>7.3780014967308377E-2</v>
      </c>
      <c r="J37" s="18">
        <f t="shared" ref="J37:J100" si="12">IF(ISNA(B37),NA(),G37+$C$10*H37)</f>
        <v>8.7098328625337035E-2</v>
      </c>
      <c r="K37" s="18">
        <f t="shared" ref="K37:K100" si="13">IF(ISNA(B37),NA(),G37-$C$11*H37)</f>
        <v>7.1886938708395146E-2</v>
      </c>
      <c r="L37" s="18">
        <f t="shared" ref="L37:L100" si="14">IF(ISNA(B37),NA(),G37+$C$11*H37)</f>
        <v>8.8991404884250266E-2</v>
      </c>
      <c r="M37" s="18">
        <f t="shared" ref="M37:M100" si="15">IF(ISNA(B37),NA(),G37-$C$12*H37)</f>
        <v>7.0244338396097644E-2</v>
      </c>
      <c r="N37" s="18">
        <f t="shared" ref="N37:N100" si="16">IF(ISNA(B37),NA(),G37+$C$12*H37)</f>
        <v>9.0634005196547768E-2</v>
      </c>
      <c r="O37" s="18">
        <f t="shared" ref="O37:O100" si="17">IF(ISNA(B37),NA(),G37-$C$13*H37)</f>
        <v>6.7016194135090565E-2</v>
      </c>
      <c r="P37" s="18">
        <f t="shared" ref="P37:P100" si="18">IF(ISNA(B37),NA(),G37+$C$13*H37)</f>
        <v>9.3862149457554847E-2</v>
      </c>
      <c r="Q37" s="18">
        <f t="shared" si="7"/>
        <v>2.0792742455575382E-2</v>
      </c>
      <c r="R37" s="18">
        <f t="shared" si="8"/>
        <v>-1.354068458268892</v>
      </c>
      <c r="S37" s="18">
        <f t="shared" si="9"/>
        <v>4.7751438574549472E-3</v>
      </c>
      <c r="T37" s="18">
        <f t="shared" ref="T37:T100" si="19">IF(ISNA(B37),NA(),G37-$C$12*S37)</f>
        <v>7.1048676738554084E-2</v>
      </c>
      <c r="U37" s="18">
        <f t="shared" ref="U37:U100" si="20">IF(ISNA(B37),NA(),G37+$C$12*S37)</f>
        <v>8.9829666854091328E-2</v>
      </c>
      <c r="V37" s="40" t="str">
        <f t="shared" si="10"/>
        <v>Y</v>
      </c>
      <c r="W37" s="18">
        <v>2.3136000000000001</v>
      </c>
      <c r="X37" s="18">
        <f t="shared" si="0"/>
        <v>0.95353385345939734</v>
      </c>
      <c r="Y37" s="18">
        <v>0.95353385345939734</v>
      </c>
      <c r="Z37" s="18">
        <v>3.0272118151249597E-2</v>
      </c>
      <c r="AA37" s="18">
        <f t="shared" ref="AA37:AA100" si="21">IF(OR(NOT(ISNUMBER(W37)),ISNA(B37)),"",LN(Z37))</f>
        <v>-3.4975281831323897</v>
      </c>
      <c r="AB37" s="18">
        <f t="shared" ref="AB37:AB100" si="22">IF(OR(NOT(ISNUMBER(W37)),ISNA(B37)),"",LN(1-Y37))</f>
        <v>-3.0690312629172607</v>
      </c>
      <c r="AC37" s="18">
        <f t="shared" ref="AC37:AC100" si="23">IF(OR(NOT(ISNUMBER(W37)),ISNA(B37)),"",(2*B37-1)*(AA37+AB37))</f>
        <v>-32.832797230248254</v>
      </c>
    </row>
    <row r="38" spans="1:29" x14ac:dyDescent="0.25">
      <c r="A38" s="13" t="str">
        <f t="shared" si="1"/>
        <v/>
      </c>
      <c r="B38" s="30">
        <f>IF(B37=$C$9,$C$6,IF(OR(ISNA(B37),B37=$C$6),NA(),Main!A5))</f>
        <v>4</v>
      </c>
      <c r="C38" s="29">
        <f>IF(ISNA(B38),NA(),IF(B38=$C$6,$C$19,Main!C5))</f>
        <v>9.6400000000000041E-2</v>
      </c>
      <c r="D38" s="19">
        <f t="shared" si="2"/>
        <v>1.0899182561307902E-2</v>
      </c>
      <c r="E38" s="18">
        <f t="shared" si="3"/>
        <v>-1.5083056643593835</v>
      </c>
      <c r="F38" s="18">
        <f t="shared" si="4"/>
        <v>8.5838780272438076E-2</v>
      </c>
      <c r="G38" s="18">
        <f t="shared" si="5"/>
        <v>8.5000492860507856E-2</v>
      </c>
      <c r="H38" s="18">
        <f t="shared" si="6"/>
        <v>5.0621115504751839E-3</v>
      </c>
      <c r="I38" s="18">
        <f t="shared" si="11"/>
        <v>7.8498105320032777E-2</v>
      </c>
      <c r="J38" s="18">
        <f t="shared" si="12"/>
        <v>9.1502880400982936E-2</v>
      </c>
      <c r="K38" s="18">
        <f t="shared" si="13"/>
        <v>7.6649595697088721E-2</v>
      </c>
      <c r="L38" s="18">
        <f t="shared" si="14"/>
        <v>9.3351390023926992E-2</v>
      </c>
      <c r="M38" s="18">
        <f t="shared" si="15"/>
        <v>7.5045665337898679E-2</v>
      </c>
      <c r="N38" s="18">
        <f t="shared" si="16"/>
        <v>9.4955320383117034E-2</v>
      </c>
      <c r="O38" s="18">
        <f t="shared" si="17"/>
        <v>7.1893517767177534E-2</v>
      </c>
      <c r="P38" s="18">
        <f t="shared" si="18"/>
        <v>9.8107467953838179E-2</v>
      </c>
      <c r="Q38" s="18">
        <f t="shared" si="7"/>
        <v>2.0792742455575382E-2</v>
      </c>
      <c r="R38" s="18">
        <f t="shared" si="8"/>
        <v>-1.354068458268892</v>
      </c>
      <c r="S38" s="18">
        <f t="shared" si="9"/>
        <v>4.7751438574549472E-3</v>
      </c>
      <c r="T38" s="18">
        <f t="shared" si="19"/>
        <v>7.5609997802739234E-2</v>
      </c>
      <c r="U38" s="18">
        <f t="shared" si="20"/>
        <v>9.4390987918276478E-2</v>
      </c>
      <c r="V38" s="40" t="str">
        <f t="shared" si="10"/>
        <v>Y</v>
      </c>
      <c r="W38" s="18">
        <v>2.3136000000000001</v>
      </c>
      <c r="X38" s="18">
        <f t="shared" si="0"/>
        <v>0.95353385345939734</v>
      </c>
      <c r="Y38" s="18">
        <v>0.95353385345939734</v>
      </c>
      <c r="Z38" s="18">
        <v>3.0272118151249597E-2</v>
      </c>
      <c r="AA38" s="18">
        <f t="shared" si="21"/>
        <v>-3.4975281831323897</v>
      </c>
      <c r="AB38" s="18">
        <f t="shared" si="22"/>
        <v>-3.0690312629172607</v>
      </c>
      <c r="AC38" s="18">
        <f t="shared" si="23"/>
        <v>-45.965916122347551</v>
      </c>
    </row>
    <row r="39" spans="1:29" x14ac:dyDescent="0.25">
      <c r="A39" s="13" t="str">
        <f t="shared" si="1"/>
        <v/>
      </c>
      <c r="B39" s="30">
        <f>IF(B38=$C$9,$C$6,IF(OR(ISNA(B38),B38=$C$6),NA(),Main!A6))</f>
        <v>5</v>
      </c>
      <c r="C39" s="29">
        <f>IF(ISNA(B39),NA(),IF(B39=$C$6,$C$19,Main!C6))</f>
        <v>0.12049999999999983</v>
      </c>
      <c r="D39" s="19">
        <f t="shared" si="2"/>
        <v>1.3623978201634877E-2</v>
      </c>
      <c r="E39" s="18">
        <f t="shared" si="3"/>
        <v>-1.457666651188656</v>
      </c>
      <c r="F39" s="18">
        <f t="shared" si="4"/>
        <v>0.83746756387293164</v>
      </c>
      <c r="G39" s="18">
        <f t="shared" si="5"/>
        <v>8.8743168229237418E-2</v>
      </c>
      <c r="H39" s="18">
        <f t="shared" si="6"/>
        <v>4.9649302022168346E-3</v>
      </c>
      <c r="I39" s="18">
        <f t="shared" si="11"/>
        <v>8.2365612151242135E-2</v>
      </c>
      <c r="J39" s="18">
        <f t="shared" si="12"/>
        <v>9.5120724307232701E-2</v>
      </c>
      <c r="K39" s="18">
        <f t="shared" si="13"/>
        <v>8.0552589825572146E-2</v>
      </c>
      <c r="L39" s="18">
        <f t="shared" si="14"/>
        <v>9.693374663290269E-2</v>
      </c>
      <c r="M39" s="18">
        <f t="shared" si="15"/>
        <v>7.8979451382613974E-2</v>
      </c>
      <c r="N39" s="18">
        <f t="shared" si="16"/>
        <v>9.8506885075860862E-2</v>
      </c>
      <c r="O39" s="18">
        <f t="shared" si="17"/>
        <v>7.5887818075116298E-2</v>
      </c>
      <c r="P39" s="18">
        <f t="shared" si="18"/>
        <v>0.10159851838335854</v>
      </c>
      <c r="Q39" s="18">
        <f t="shared" si="7"/>
        <v>6.1087652067454437E-2</v>
      </c>
      <c r="R39" s="18">
        <f t="shared" si="8"/>
        <v>-1.0279914953532483</v>
      </c>
      <c r="S39" s="18">
        <f t="shared" si="9"/>
        <v>4.2725982155878877E-3</v>
      </c>
      <c r="T39" s="18">
        <f t="shared" si="19"/>
        <v>8.0340947557985612E-2</v>
      </c>
      <c r="U39" s="18">
        <f t="shared" si="20"/>
        <v>9.7145388900489224E-2</v>
      </c>
      <c r="V39" s="40" t="str">
        <f t="shared" si="10"/>
        <v>Y</v>
      </c>
      <c r="W39" s="18">
        <v>2.2895000000000003</v>
      </c>
      <c r="X39" s="18">
        <f t="shared" si="0"/>
        <v>0.92948540191680973</v>
      </c>
      <c r="Y39" s="18">
        <v>0.92948540191680973</v>
      </c>
      <c r="Z39" s="18">
        <v>3.0272118151249597E-2</v>
      </c>
      <c r="AA39" s="18">
        <f t="shared" si="21"/>
        <v>-3.4975281831323897</v>
      </c>
      <c r="AB39" s="18">
        <f t="shared" si="22"/>
        <v>-2.6519355255891233</v>
      </c>
      <c r="AC39" s="18">
        <f t="shared" si="23"/>
        <v>-55.345173378493612</v>
      </c>
    </row>
    <row r="40" spans="1:29" x14ac:dyDescent="0.25">
      <c r="A40" s="13" t="str">
        <f t="shared" si="1"/>
        <v/>
      </c>
      <c r="B40" s="30">
        <f>IF(B39=$C$9,$C$6,IF(OR(ISNA(B39),B39=$C$6),NA(),Main!A7))</f>
        <v>6</v>
      </c>
      <c r="C40" s="29">
        <f>IF(ISNA(B40),NA(),IF(B40=$C$6,$C$19,Main!C7))</f>
        <v>0.12049999999999983</v>
      </c>
      <c r="D40" s="19">
        <f t="shared" si="2"/>
        <v>1.6348773841961851E-2</v>
      </c>
      <c r="E40" s="18">
        <f t="shared" si="3"/>
        <v>-1.4142991358127015</v>
      </c>
      <c r="F40" s="18">
        <f t="shared" si="4"/>
        <v>0.83746756387293164</v>
      </c>
      <c r="G40" s="18">
        <f t="shared" si="5"/>
        <v>9.1948414963674396E-2</v>
      </c>
      <c r="H40" s="18">
        <f t="shared" si="6"/>
        <v>4.8839543225811244E-3</v>
      </c>
      <c r="I40" s="18">
        <f t="shared" si="11"/>
        <v>8.5674874086761124E-2</v>
      </c>
      <c r="J40" s="18">
        <f t="shared" si="12"/>
        <v>9.8221955840587669E-2</v>
      </c>
      <c r="K40" s="18">
        <f t="shared" si="13"/>
        <v>8.3891421376703218E-2</v>
      </c>
      <c r="L40" s="18">
        <f t="shared" si="14"/>
        <v>0.10000540855064557</v>
      </c>
      <c r="M40" s="18">
        <f t="shared" si="15"/>
        <v>8.2343940146237249E-2</v>
      </c>
      <c r="N40" s="18">
        <f t="shared" si="16"/>
        <v>0.10155288978111154</v>
      </c>
      <c r="O40" s="18">
        <f t="shared" si="17"/>
        <v>7.9302730050424181E-2</v>
      </c>
      <c r="P40" s="18">
        <f t="shared" si="18"/>
        <v>0.10459409987692461</v>
      </c>
      <c r="Q40" s="18">
        <f t="shared" si="7"/>
        <v>6.1087652067454437E-2</v>
      </c>
      <c r="R40" s="18">
        <f t="shared" si="8"/>
        <v>-1.0279914953532483</v>
      </c>
      <c r="S40" s="18">
        <f t="shared" si="9"/>
        <v>4.2725982155878877E-3</v>
      </c>
      <c r="T40" s="18">
        <f t="shared" si="19"/>
        <v>8.354619429242259E-2</v>
      </c>
      <c r="U40" s="18">
        <f t="shared" si="20"/>
        <v>0.1003506356349262</v>
      </c>
      <c r="V40" s="40" t="str">
        <f t="shared" si="10"/>
        <v>Y</v>
      </c>
      <c r="W40" s="18">
        <v>2.2895000000000003</v>
      </c>
      <c r="X40" s="18">
        <f t="shared" si="0"/>
        <v>0.92948540191680973</v>
      </c>
      <c r="Y40" s="18">
        <v>0.92948540191680973</v>
      </c>
      <c r="Z40" s="18">
        <v>3.0272118151249597E-2</v>
      </c>
      <c r="AA40" s="18">
        <f t="shared" si="21"/>
        <v>-3.4975281831323897</v>
      </c>
      <c r="AB40" s="18">
        <f t="shared" si="22"/>
        <v>-2.6519355255891233</v>
      </c>
      <c r="AC40" s="18">
        <f t="shared" si="23"/>
        <v>-67.644100795936637</v>
      </c>
    </row>
    <row r="41" spans="1:29" x14ac:dyDescent="0.25">
      <c r="A41" s="13" t="str">
        <f t="shared" si="1"/>
        <v/>
      </c>
      <c r="B41" s="30">
        <f>IF(B40=$C$9,$C$6,IF(OR(ISNA(B40),B40=$C$6),NA(),Main!A8))</f>
        <v>7</v>
      </c>
      <c r="C41" s="29">
        <f>IF(ISNA(B41),NA(),IF(B41=$C$6,$C$19,Main!C8))</f>
        <v>0.12049999999999983</v>
      </c>
      <c r="D41" s="19">
        <f t="shared" si="2"/>
        <v>1.9073569482288829E-2</v>
      </c>
      <c r="E41" s="18">
        <f t="shared" si="3"/>
        <v>-1.3761055558312669</v>
      </c>
      <c r="F41" s="18">
        <f t="shared" si="4"/>
        <v>0.83746756387293164</v>
      </c>
      <c r="G41" s="18">
        <f t="shared" si="5"/>
        <v>9.4771261660117317E-2</v>
      </c>
      <c r="H41" s="18">
        <f t="shared" si="6"/>
        <v>4.8144473498997319E-3</v>
      </c>
      <c r="I41" s="18">
        <f t="shared" si="11"/>
        <v>8.8587003934836123E-2</v>
      </c>
      <c r="J41" s="18">
        <f t="shared" si="12"/>
        <v>0.10095551938539851</v>
      </c>
      <c r="K41" s="18">
        <f t="shared" si="13"/>
        <v>8.6828932788693233E-2</v>
      </c>
      <c r="L41" s="18">
        <f t="shared" si="14"/>
        <v>0.1027135905315414</v>
      </c>
      <c r="M41" s="18">
        <f t="shared" si="15"/>
        <v>8.5303474846838631E-2</v>
      </c>
      <c r="N41" s="18">
        <f t="shared" si="16"/>
        <v>0.104239048473396</v>
      </c>
      <c r="O41" s="18">
        <f t="shared" si="17"/>
        <v>8.2305546340714214E-2</v>
      </c>
      <c r="P41" s="18">
        <f t="shared" si="18"/>
        <v>0.10723697697952042</v>
      </c>
      <c r="Q41" s="18">
        <f t="shared" si="7"/>
        <v>6.1087652067454437E-2</v>
      </c>
      <c r="R41" s="18">
        <f t="shared" si="8"/>
        <v>-1.0279914953532483</v>
      </c>
      <c r="S41" s="18">
        <f t="shared" si="9"/>
        <v>4.2725982155878877E-3</v>
      </c>
      <c r="T41" s="18">
        <f t="shared" si="19"/>
        <v>8.6369040988865511E-2</v>
      </c>
      <c r="U41" s="18">
        <f t="shared" si="20"/>
        <v>0.10317348233136912</v>
      </c>
      <c r="V41" s="40" t="str">
        <f t="shared" si="10"/>
        <v>Y</v>
      </c>
      <c r="W41" s="18">
        <v>2.2895000000000003</v>
      </c>
      <c r="X41" s="18">
        <f t="shared" si="0"/>
        <v>0.92948540191680973</v>
      </c>
      <c r="Y41" s="18">
        <v>0.92948540191680973</v>
      </c>
      <c r="Z41" s="18">
        <v>3.0272118151249597E-2</v>
      </c>
      <c r="AA41" s="18">
        <f t="shared" si="21"/>
        <v>-3.4975281831323897</v>
      </c>
      <c r="AB41" s="18">
        <f t="shared" si="22"/>
        <v>-2.6519355255891233</v>
      </c>
      <c r="AC41" s="18">
        <f t="shared" si="23"/>
        <v>-79.943028213379662</v>
      </c>
    </row>
    <row r="42" spans="1:29" x14ac:dyDescent="0.25">
      <c r="A42" s="13" t="str">
        <f t="shared" si="1"/>
        <v/>
      </c>
      <c r="B42" s="30">
        <f>IF(B41=$C$9,$C$6,IF(OR(ISNA(B41),B41=$C$6),NA(),Main!A9))</f>
        <v>8</v>
      </c>
      <c r="C42" s="29">
        <f>IF(ISNA(B42),NA(),IF(B42=$C$6,$C$19,Main!C9))</f>
        <v>0.12049999999999983</v>
      </c>
      <c r="D42" s="19">
        <f t="shared" si="2"/>
        <v>2.1798365122615803E-2</v>
      </c>
      <c r="E42" s="18">
        <f t="shared" si="3"/>
        <v>-1.3417990413120324</v>
      </c>
      <c r="F42" s="18">
        <f t="shared" si="4"/>
        <v>0.83746756387293164</v>
      </c>
      <c r="G42" s="18">
        <f t="shared" si="5"/>
        <v>9.7306819500575473E-2</v>
      </c>
      <c r="H42" s="18">
        <f t="shared" si="6"/>
        <v>4.7535221063190938E-3</v>
      </c>
      <c r="I42" s="18">
        <f t="shared" si="11"/>
        <v>9.1200821517460964E-2</v>
      </c>
      <c r="J42" s="18">
        <f t="shared" si="12"/>
        <v>0.10341281748368998</v>
      </c>
      <c r="K42" s="18">
        <f t="shared" si="13"/>
        <v>8.9464998181923591E-2</v>
      </c>
      <c r="L42" s="18">
        <f t="shared" si="14"/>
        <v>0.10514864081922735</v>
      </c>
      <c r="M42" s="18">
        <f t="shared" si="15"/>
        <v>8.7958844407281758E-2</v>
      </c>
      <c r="N42" s="18">
        <f t="shared" si="16"/>
        <v>0.10665479459386919</v>
      </c>
      <c r="O42" s="18">
        <f t="shared" si="17"/>
        <v>8.4998853697792864E-2</v>
      </c>
      <c r="P42" s="18">
        <f t="shared" si="18"/>
        <v>0.10961478530335808</v>
      </c>
      <c r="Q42" s="18">
        <f t="shared" si="7"/>
        <v>6.1087652067454437E-2</v>
      </c>
      <c r="R42" s="18">
        <f t="shared" si="8"/>
        <v>-1.0279914953532483</v>
      </c>
      <c r="S42" s="18">
        <f t="shared" si="9"/>
        <v>4.2725982155878877E-3</v>
      </c>
      <c r="T42" s="18">
        <f t="shared" si="19"/>
        <v>8.8904598829323667E-2</v>
      </c>
      <c r="U42" s="18">
        <f t="shared" si="20"/>
        <v>0.10570904017182728</v>
      </c>
      <c r="V42" s="40" t="str">
        <f t="shared" si="10"/>
        <v>Y</v>
      </c>
      <c r="W42" s="18">
        <v>2.2895000000000003</v>
      </c>
      <c r="X42" s="18">
        <f t="shared" si="0"/>
        <v>0.92948540191680973</v>
      </c>
      <c r="Y42" s="18">
        <v>0.92948540191680973</v>
      </c>
      <c r="Z42" s="18">
        <v>3.0272118151249597E-2</v>
      </c>
      <c r="AA42" s="18">
        <f t="shared" si="21"/>
        <v>-3.4975281831323897</v>
      </c>
      <c r="AB42" s="18">
        <f t="shared" si="22"/>
        <v>-2.6519355255891233</v>
      </c>
      <c r="AC42" s="18">
        <f t="shared" si="23"/>
        <v>-92.241955630822687</v>
      </c>
    </row>
    <row r="43" spans="1:29" x14ac:dyDescent="0.25">
      <c r="A43" s="13" t="str">
        <f t="shared" si="1"/>
        <v/>
      </c>
      <c r="B43" s="30">
        <f>IF(B42=$C$9,$C$6,IF(OR(ISNA(B42),B42=$C$6),NA(),Main!A10))</f>
        <v>9</v>
      </c>
      <c r="C43" s="29">
        <f>IF(ISNA(B43),NA(),IF(B43=$C$6,$C$19,Main!C10))</f>
        <v>0.12049999999999983</v>
      </c>
      <c r="D43" s="19">
        <f t="shared" si="2"/>
        <v>2.4523160762942781E-2</v>
      </c>
      <c r="E43" s="18">
        <f t="shared" si="3"/>
        <v>-1.3105296671689599</v>
      </c>
      <c r="F43" s="18">
        <f t="shared" si="4"/>
        <v>0.83746756387293164</v>
      </c>
      <c r="G43" s="18">
        <f t="shared" si="5"/>
        <v>9.9617905540232296E-2</v>
      </c>
      <c r="H43" s="18">
        <f t="shared" si="6"/>
        <v>4.6992824237901583E-3</v>
      </c>
      <c r="I43" s="18">
        <f t="shared" si="11"/>
        <v>9.3581579557104111E-2</v>
      </c>
      <c r="J43" s="18">
        <f t="shared" si="12"/>
        <v>0.10565423152336048</v>
      </c>
      <c r="K43" s="18">
        <f t="shared" si="13"/>
        <v>9.1865562694438865E-2</v>
      </c>
      <c r="L43" s="18">
        <f t="shared" si="14"/>
        <v>0.10737024838602573</v>
      </c>
      <c r="M43" s="18">
        <f t="shared" si="15"/>
        <v>9.0376594766575308E-2</v>
      </c>
      <c r="N43" s="18">
        <f t="shared" si="16"/>
        <v>0.10885921631388928</v>
      </c>
      <c r="O43" s="18">
        <f t="shared" si="17"/>
        <v>8.7450378793540853E-2</v>
      </c>
      <c r="P43" s="18">
        <f t="shared" si="18"/>
        <v>0.11178543228692374</v>
      </c>
      <c r="Q43" s="18">
        <f t="shared" si="7"/>
        <v>6.1087652067454437E-2</v>
      </c>
      <c r="R43" s="18">
        <f t="shared" si="8"/>
        <v>-1.0279914953532483</v>
      </c>
      <c r="S43" s="18">
        <f t="shared" si="9"/>
        <v>4.2725982155878877E-3</v>
      </c>
      <c r="T43" s="18">
        <f t="shared" si="19"/>
        <v>9.121568486898049E-2</v>
      </c>
      <c r="U43" s="18">
        <f t="shared" si="20"/>
        <v>0.1080201262114841</v>
      </c>
      <c r="V43" s="40" t="str">
        <f t="shared" si="10"/>
        <v>Y</v>
      </c>
      <c r="W43" s="18">
        <v>2.2895000000000003</v>
      </c>
      <c r="X43" s="18">
        <f t="shared" si="0"/>
        <v>0.92948540191680973</v>
      </c>
      <c r="Y43" s="18">
        <v>0.92948540191680973</v>
      </c>
      <c r="Z43" s="18">
        <v>3.0272118151249597E-2</v>
      </c>
      <c r="AA43" s="18">
        <f t="shared" si="21"/>
        <v>-3.4975281831323897</v>
      </c>
      <c r="AB43" s="18">
        <f t="shared" si="22"/>
        <v>-2.6519355255891233</v>
      </c>
      <c r="AC43" s="18">
        <f t="shared" si="23"/>
        <v>-104.54088304826571</v>
      </c>
    </row>
    <row r="44" spans="1:29" x14ac:dyDescent="0.25">
      <c r="A44" s="13" t="str">
        <f t="shared" si="1"/>
        <v/>
      </c>
      <c r="B44" s="30">
        <f>IF(B43=$C$9,$C$6,IF(OR(ISNA(B43),B43=$C$6),NA(),Main!A11))</f>
        <v>10</v>
      </c>
      <c r="C44" s="29">
        <f>IF(ISNA(B44),NA(),IF(B44=$C$6,$C$19,Main!C11))</f>
        <v>0.12049999999999983</v>
      </c>
      <c r="D44" s="19">
        <f t="shared" si="2"/>
        <v>2.7247956403269755E-2</v>
      </c>
      <c r="E44" s="18">
        <f t="shared" si="3"/>
        <v>-1.2817048689971569</v>
      </c>
      <c r="F44" s="18">
        <f t="shared" si="4"/>
        <v>0.83746756387293164</v>
      </c>
      <c r="G44" s="18">
        <f t="shared" si="5"/>
        <v>0.10174831558125123</v>
      </c>
      <c r="H44" s="18">
        <f t="shared" si="6"/>
        <v>4.650412885099907E-3</v>
      </c>
      <c r="I44" s="18">
        <f t="shared" si="11"/>
        <v>9.5774763536689927E-2</v>
      </c>
      <c r="J44" s="18">
        <f t="shared" si="12"/>
        <v>0.10772186762581254</v>
      </c>
      <c r="K44" s="18">
        <f t="shared" si="13"/>
        <v>9.4076592154440711E-2</v>
      </c>
      <c r="L44" s="18">
        <f t="shared" si="14"/>
        <v>0.10942003900806176</v>
      </c>
      <c r="M44" s="18">
        <f t="shared" si="15"/>
        <v>9.2603108542946594E-2</v>
      </c>
      <c r="N44" s="18">
        <f t="shared" si="16"/>
        <v>0.11089352261955587</v>
      </c>
      <c r="O44" s="18">
        <f t="shared" si="17"/>
        <v>8.9707323348872409E-2</v>
      </c>
      <c r="P44" s="18">
        <f t="shared" si="18"/>
        <v>0.11378930781363006</v>
      </c>
      <c r="Q44" s="18">
        <f t="shared" si="7"/>
        <v>6.1087652067454437E-2</v>
      </c>
      <c r="R44" s="18">
        <f t="shared" si="8"/>
        <v>-1.0279914953532483</v>
      </c>
      <c r="S44" s="18">
        <f t="shared" si="9"/>
        <v>4.2725982155878877E-3</v>
      </c>
      <c r="T44" s="18">
        <f t="shared" si="19"/>
        <v>9.3346094909999427E-2</v>
      </c>
      <c r="U44" s="18">
        <f t="shared" si="20"/>
        <v>0.11015053625250304</v>
      </c>
      <c r="V44" s="40" t="str">
        <f t="shared" si="10"/>
        <v>Y</v>
      </c>
      <c r="W44" s="18">
        <v>2.2895000000000003</v>
      </c>
      <c r="X44" s="18">
        <f t="shared" si="0"/>
        <v>0.92948540191680973</v>
      </c>
      <c r="Y44" s="18">
        <v>0.92948540191680973</v>
      </c>
      <c r="Z44" s="18">
        <v>3.0272118151249597E-2</v>
      </c>
      <c r="AA44" s="18">
        <f t="shared" si="21"/>
        <v>-3.4975281831323897</v>
      </c>
      <c r="AB44" s="18">
        <f t="shared" si="22"/>
        <v>-2.6519355255891233</v>
      </c>
      <c r="AC44" s="18">
        <f t="shared" si="23"/>
        <v>-116.83981046570874</v>
      </c>
    </row>
    <row r="45" spans="1:29" x14ac:dyDescent="0.25">
      <c r="A45" s="13" t="str">
        <f t="shared" si="1"/>
        <v/>
      </c>
      <c r="B45" s="30">
        <f>IF(B44=$C$9,$C$6,IF(OR(ISNA(B44),B44=$C$6),NA(),Main!A12))</f>
        <v>11</v>
      </c>
      <c r="C45" s="29">
        <f>IF(ISNA(B45),NA(),IF(B45=$C$6,$C$19,Main!C12))</f>
        <v>0.12049999999999983</v>
      </c>
      <c r="D45" s="19">
        <f t="shared" si="2"/>
        <v>2.9972752043596729E-2</v>
      </c>
      <c r="E45" s="18">
        <f t="shared" si="3"/>
        <v>-1.2548940034426439</v>
      </c>
      <c r="F45" s="18">
        <f t="shared" si="4"/>
        <v>0.83746756387293164</v>
      </c>
      <c r="G45" s="18">
        <f t="shared" si="5"/>
        <v>0.10372987801389359</v>
      </c>
      <c r="H45" s="18">
        <f t="shared" si="6"/>
        <v>4.6059618084096313E-3</v>
      </c>
      <c r="I45" s="18">
        <f t="shared" si="11"/>
        <v>9.7813424301589402E-2</v>
      </c>
      <c r="J45" s="18">
        <f t="shared" si="12"/>
        <v>0.10964633172619778</v>
      </c>
      <c r="K45" s="18">
        <f t="shared" si="13"/>
        <v>9.6131484928886568E-2</v>
      </c>
      <c r="L45" s="18">
        <f t="shared" si="14"/>
        <v>0.11132827109890062</v>
      </c>
      <c r="M45" s="18">
        <f t="shared" si="15"/>
        <v>9.4672085643802736E-2</v>
      </c>
      <c r="N45" s="18">
        <f t="shared" si="16"/>
        <v>0.11278767038398445</v>
      </c>
      <c r="O45" s="18">
        <f t="shared" si="17"/>
        <v>9.1803979877968733E-2</v>
      </c>
      <c r="P45" s="18">
        <f t="shared" si="18"/>
        <v>0.11565577614981845</v>
      </c>
      <c r="Q45" s="18">
        <f t="shared" si="7"/>
        <v>6.1087652067454437E-2</v>
      </c>
      <c r="R45" s="18">
        <f t="shared" si="8"/>
        <v>-1.0279914953532483</v>
      </c>
      <c r="S45" s="18">
        <f t="shared" si="9"/>
        <v>4.2725982155878877E-3</v>
      </c>
      <c r="T45" s="18">
        <f t="shared" si="19"/>
        <v>9.5327657342641786E-2</v>
      </c>
      <c r="U45" s="18">
        <f t="shared" si="20"/>
        <v>0.1121320986851454</v>
      </c>
      <c r="V45" s="40" t="str">
        <f t="shared" si="10"/>
        <v>Y</v>
      </c>
      <c r="W45" s="18">
        <v>2.2895000000000003</v>
      </c>
      <c r="X45" s="18">
        <f t="shared" si="0"/>
        <v>0.92948540191680973</v>
      </c>
      <c r="Y45" s="18">
        <v>0.92948540191680973</v>
      </c>
      <c r="Z45" s="18">
        <v>3.0272118151249597E-2</v>
      </c>
      <c r="AA45" s="18">
        <f t="shared" si="21"/>
        <v>-3.4975281831323897</v>
      </c>
      <c r="AB45" s="18">
        <f t="shared" si="22"/>
        <v>-2.6519355255891233</v>
      </c>
      <c r="AC45" s="18">
        <f t="shared" si="23"/>
        <v>-129.13873788315175</v>
      </c>
    </row>
    <row r="46" spans="1:29" x14ac:dyDescent="0.25">
      <c r="A46" s="13" t="str">
        <f t="shared" si="1"/>
        <v/>
      </c>
      <c r="B46" s="30">
        <f>IF(B45=$C$9,$C$6,IF(OR(ISNA(B45),B45=$C$6),NA(),Main!A13))</f>
        <v>12</v>
      </c>
      <c r="C46" s="29">
        <f>IF(ISNA(B46),NA(),IF(B46=$C$6,$C$19,Main!C13))</f>
        <v>0.12049999999999983</v>
      </c>
      <c r="D46" s="19">
        <f t="shared" si="2"/>
        <v>3.2697547683923703E-2</v>
      </c>
      <c r="E46" s="18">
        <f t="shared" si="3"/>
        <v>-1.2297736411259936</v>
      </c>
      <c r="F46" s="18">
        <f t="shared" si="4"/>
        <v>0.83746756387293164</v>
      </c>
      <c r="G46" s="18">
        <f t="shared" si="5"/>
        <v>0.10558649715809203</v>
      </c>
      <c r="H46" s="18">
        <f t="shared" si="6"/>
        <v>4.565217370924789E-3</v>
      </c>
      <c r="I46" s="18">
        <f t="shared" si="11"/>
        <v>9.9722380522915308E-2</v>
      </c>
      <c r="J46" s="18">
        <f t="shared" si="12"/>
        <v>0.11145061379326875</v>
      </c>
      <c r="K46" s="18">
        <f t="shared" si="13"/>
        <v>9.8055319622174453E-2</v>
      </c>
      <c r="L46" s="18">
        <f t="shared" si="14"/>
        <v>0.1131176746940096</v>
      </c>
      <c r="M46" s="18">
        <f t="shared" si="15"/>
        <v>9.6608830214638453E-2</v>
      </c>
      <c r="N46" s="18">
        <f t="shared" si="16"/>
        <v>0.1145641641015456</v>
      </c>
      <c r="O46" s="18">
        <f t="shared" si="17"/>
        <v>9.3766095774259775E-2</v>
      </c>
      <c r="P46" s="18">
        <f t="shared" si="18"/>
        <v>0.11740689854192428</v>
      </c>
      <c r="Q46" s="18">
        <f t="shared" si="7"/>
        <v>6.1087652067454437E-2</v>
      </c>
      <c r="R46" s="18">
        <f t="shared" si="8"/>
        <v>-1.0279914953532483</v>
      </c>
      <c r="S46" s="18">
        <f t="shared" si="9"/>
        <v>4.2725982155878877E-3</v>
      </c>
      <c r="T46" s="18">
        <f t="shared" si="19"/>
        <v>9.7184276486840221E-2</v>
      </c>
      <c r="U46" s="18">
        <f t="shared" si="20"/>
        <v>0.11398871782934383</v>
      </c>
      <c r="V46" s="40" t="str">
        <f t="shared" si="10"/>
        <v>Y</v>
      </c>
      <c r="W46" s="18">
        <v>2.2895000000000003</v>
      </c>
      <c r="X46" s="18">
        <f t="shared" si="0"/>
        <v>0.92948540191680973</v>
      </c>
      <c r="Y46" s="18">
        <v>0.92948540191680973</v>
      </c>
      <c r="Z46" s="18">
        <v>3.0272118151249597E-2</v>
      </c>
      <c r="AA46" s="18">
        <f t="shared" si="21"/>
        <v>-3.4975281831323897</v>
      </c>
      <c r="AB46" s="18">
        <f t="shared" si="22"/>
        <v>-2.6519355255891233</v>
      </c>
      <c r="AC46" s="18">
        <f t="shared" si="23"/>
        <v>-141.4376653005948</v>
      </c>
    </row>
    <row r="47" spans="1:29" x14ac:dyDescent="0.25">
      <c r="A47" s="13" t="str">
        <f t="shared" si="1"/>
        <v/>
      </c>
      <c r="B47" s="30">
        <f>IF(B46=$C$9,$C$6,IF(OR(ISNA(B46),B46=$C$6),NA(),Main!A14))</f>
        <v>13</v>
      </c>
      <c r="C47" s="29">
        <f>IF(ISNA(B47),NA(),IF(B47=$C$6,$C$19,Main!C14))</f>
        <v>0.12049999999999983</v>
      </c>
      <c r="D47" s="19">
        <f t="shared" si="2"/>
        <v>3.5422343324250684E-2</v>
      </c>
      <c r="E47" s="18">
        <f t="shared" si="3"/>
        <v>-1.206094299540645</v>
      </c>
      <c r="F47" s="18">
        <f t="shared" si="4"/>
        <v>0.83746756387293164</v>
      </c>
      <c r="G47" s="18">
        <f t="shared" si="5"/>
        <v>0.10733661199939877</v>
      </c>
      <c r="H47" s="18">
        <f t="shared" si="6"/>
        <v>4.5276325660775409E-3</v>
      </c>
      <c r="I47" s="18">
        <f t="shared" si="11"/>
        <v>0.10152077382752991</v>
      </c>
      <c r="J47" s="18">
        <f t="shared" si="12"/>
        <v>0.11315245017126763</v>
      </c>
      <c r="K47" s="18">
        <f t="shared" si="13"/>
        <v>9.9867437609215334E-2</v>
      </c>
      <c r="L47" s="18">
        <f t="shared" si="14"/>
        <v>0.11480578638958221</v>
      </c>
      <c r="M47" s="18">
        <f t="shared" si="15"/>
        <v>9.8432856949429673E-2</v>
      </c>
      <c r="N47" s="18">
        <f t="shared" si="16"/>
        <v>0.11624036704936787</v>
      </c>
      <c r="O47" s="18">
        <f t="shared" si="17"/>
        <v>9.5613526349546007E-2</v>
      </c>
      <c r="P47" s="18">
        <f t="shared" si="18"/>
        <v>0.11905969764925153</v>
      </c>
      <c r="Q47" s="18">
        <f t="shared" si="7"/>
        <v>6.1087652067454437E-2</v>
      </c>
      <c r="R47" s="18">
        <f t="shared" si="8"/>
        <v>-1.0279914953532483</v>
      </c>
      <c r="S47" s="18">
        <f t="shared" si="9"/>
        <v>4.2725982155878877E-3</v>
      </c>
      <c r="T47" s="18">
        <f t="shared" si="19"/>
        <v>9.8934391328146964E-2</v>
      </c>
      <c r="U47" s="18">
        <f t="shared" si="20"/>
        <v>0.11573883267065058</v>
      </c>
      <c r="V47" s="40" t="str">
        <f t="shared" si="10"/>
        <v>Y</v>
      </c>
      <c r="W47" s="18">
        <v>2.2895000000000003</v>
      </c>
      <c r="X47" s="18">
        <f t="shared" si="0"/>
        <v>0.92948540191680973</v>
      </c>
      <c r="Y47" s="18">
        <v>0.92948540191680973</v>
      </c>
      <c r="Z47" s="18">
        <v>3.0272118151249597E-2</v>
      </c>
      <c r="AA47" s="18">
        <f t="shared" si="21"/>
        <v>-3.4975281831323897</v>
      </c>
      <c r="AB47" s="18">
        <f t="shared" si="22"/>
        <v>-2.6519355255891233</v>
      </c>
      <c r="AC47" s="18">
        <f t="shared" si="23"/>
        <v>-153.7365927180378</v>
      </c>
    </row>
    <row r="48" spans="1:29" x14ac:dyDescent="0.25">
      <c r="A48" s="13" t="str">
        <f t="shared" si="1"/>
        <v/>
      </c>
      <c r="B48" s="30">
        <f>IF(B47=$C$9,$C$6,IF(OR(ISNA(B47),B47=$C$6),NA(),Main!A15))</f>
        <v>14</v>
      </c>
      <c r="C48" s="29">
        <f>IF(ISNA(B48),NA(),IF(B48=$C$6,$C$19,Main!C15))</f>
        <v>0.12049999999999983</v>
      </c>
      <c r="D48" s="19">
        <f t="shared" si="2"/>
        <v>3.8147138964577658E-2</v>
      </c>
      <c r="E48" s="18">
        <f t="shared" si="3"/>
        <v>-1.1836592291605523</v>
      </c>
      <c r="F48" s="18">
        <f t="shared" si="4"/>
        <v>0.83746756387293164</v>
      </c>
      <c r="G48" s="18">
        <f t="shared" si="5"/>
        <v>0.10899476408510776</v>
      </c>
      <c r="H48" s="18">
        <f t="shared" si="6"/>
        <v>4.4927775165847705E-3</v>
      </c>
      <c r="I48" s="18">
        <f t="shared" si="11"/>
        <v>0.10322369794903553</v>
      </c>
      <c r="J48" s="18">
        <f t="shared" si="12"/>
        <v>0.11476583022117999</v>
      </c>
      <c r="K48" s="18">
        <f t="shared" si="13"/>
        <v>0.10158308960006029</v>
      </c>
      <c r="L48" s="18">
        <f t="shared" si="14"/>
        <v>0.11640643857015523</v>
      </c>
      <c r="M48" s="18">
        <f t="shared" si="15"/>
        <v>0.10015955276487136</v>
      </c>
      <c r="N48" s="18">
        <f t="shared" si="16"/>
        <v>0.11782997540534416</v>
      </c>
      <c r="O48" s="18">
        <f t="shared" si="17"/>
        <v>9.7361926202619131E-2</v>
      </c>
      <c r="P48" s="18">
        <f t="shared" si="18"/>
        <v>0.12062760196759639</v>
      </c>
      <c r="Q48" s="18">
        <f t="shared" si="7"/>
        <v>6.1087652067454437E-2</v>
      </c>
      <c r="R48" s="18">
        <f t="shared" si="8"/>
        <v>-1.0279914953532483</v>
      </c>
      <c r="S48" s="18">
        <f t="shared" si="9"/>
        <v>4.2725982155878877E-3</v>
      </c>
      <c r="T48" s="18">
        <f t="shared" si="19"/>
        <v>0.10059254341385596</v>
      </c>
      <c r="U48" s="18">
        <f t="shared" si="20"/>
        <v>0.11739698475635957</v>
      </c>
      <c r="V48" s="40" t="str">
        <f t="shared" si="10"/>
        <v>Y</v>
      </c>
      <c r="W48" s="18">
        <v>2.2895000000000003</v>
      </c>
      <c r="X48" s="18">
        <f t="shared" si="0"/>
        <v>0.92948540191680973</v>
      </c>
      <c r="Y48" s="18">
        <v>0.92948540191680973</v>
      </c>
      <c r="Z48" s="18">
        <v>3.0272118151249597E-2</v>
      </c>
      <c r="AA48" s="18">
        <f t="shared" si="21"/>
        <v>-3.4975281831323897</v>
      </c>
      <c r="AB48" s="18">
        <f t="shared" si="22"/>
        <v>-2.6519355255891233</v>
      </c>
      <c r="AC48" s="18">
        <f t="shared" si="23"/>
        <v>-166.03552013548085</v>
      </c>
    </row>
    <row r="49" spans="1:29" x14ac:dyDescent="0.25">
      <c r="A49" s="13" t="str">
        <f t="shared" si="1"/>
        <v/>
      </c>
      <c r="B49" s="30">
        <f>IF(B48=$C$9,$C$6,IF(OR(ISNA(B48),B48=$C$6),NA(),Main!A16))</f>
        <v>15</v>
      </c>
      <c r="C49" s="29">
        <f>IF(ISNA(B49),NA(),IF(B49=$C$6,$C$19,Main!C16))</f>
        <v>0.12049999999999983</v>
      </c>
      <c r="D49" s="19">
        <f t="shared" si="2"/>
        <v>4.0871934604904632E-2</v>
      </c>
      <c r="E49" s="18">
        <f t="shared" si="3"/>
        <v>-1.1623103463878419</v>
      </c>
      <c r="F49" s="18">
        <f t="shared" si="4"/>
        <v>0.83746756387293164</v>
      </c>
      <c r="G49" s="18">
        <f t="shared" si="5"/>
        <v>0.11057263720506631</v>
      </c>
      <c r="H49" s="18">
        <f t="shared" si="6"/>
        <v>4.4603079548729118E-3</v>
      </c>
      <c r="I49" s="18">
        <f t="shared" si="11"/>
        <v>0.10484327889613591</v>
      </c>
      <c r="J49" s="18">
        <f t="shared" si="12"/>
        <v>0.11630199551399671</v>
      </c>
      <c r="K49" s="18">
        <f t="shared" si="13"/>
        <v>0.10321452731813038</v>
      </c>
      <c r="L49" s="18">
        <f t="shared" si="14"/>
        <v>0.11793074709200224</v>
      </c>
      <c r="M49" s="18">
        <f t="shared" si="15"/>
        <v>0.10180127846558665</v>
      </c>
      <c r="N49" s="18">
        <f t="shared" si="16"/>
        <v>0.11934399594454598</v>
      </c>
      <c r="O49" s="18">
        <f t="shared" si="17"/>
        <v>9.9023870511528209E-2</v>
      </c>
      <c r="P49" s="18">
        <f t="shared" si="18"/>
        <v>0.12212140389860442</v>
      </c>
      <c r="Q49" s="18">
        <f t="shared" si="7"/>
        <v>6.1087652067454437E-2</v>
      </c>
      <c r="R49" s="18">
        <f t="shared" si="8"/>
        <v>-1.0279914953532483</v>
      </c>
      <c r="S49" s="18">
        <f t="shared" si="9"/>
        <v>4.2725982155878877E-3</v>
      </c>
      <c r="T49" s="18">
        <f t="shared" si="19"/>
        <v>0.10217041653381451</v>
      </c>
      <c r="U49" s="18">
        <f t="shared" si="20"/>
        <v>0.11897485787631812</v>
      </c>
      <c r="V49" s="40" t="str">
        <f t="shared" si="10"/>
        <v>Y</v>
      </c>
      <c r="W49" s="18">
        <v>2.2895000000000003</v>
      </c>
      <c r="X49" s="18">
        <f t="shared" si="0"/>
        <v>0.92948540191680973</v>
      </c>
      <c r="Y49" s="18">
        <v>0.92948540191680973</v>
      </c>
      <c r="Z49" s="18">
        <v>3.0272118151249597E-2</v>
      </c>
      <c r="AA49" s="18">
        <f t="shared" si="21"/>
        <v>-3.4975281831323897</v>
      </c>
      <c r="AB49" s="18">
        <f t="shared" si="22"/>
        <v>-2.6519355255891233</v>
      </c>
      <c r="AC49" s="18">
        <f t="shared" si="23"/>
        <v>-178.33444755292385</v>
      </c>
    </row>
    <row r="50" spans="1:29" x14ac:dyDescent="0.25">
      <c r="A50" s="13" t="str">
        <f t="shared" si="1"/>
        <v/>
      </c>
      <c r="B50" s="30">
        <f>IF(B49=$C$9,$C$6,IF(OR(ISNA(B49),B49=$C$6),NA(),Main!A17))</f>
        <v>16</v>
      </c>
      <c r="C50" s="29">
        <f>IF(ISNA(B50),NA(),IF(B50=$C$6,$C$19,Main!C17))</f>
        <v>0.12049999999999983</v>
      </c>
      <c r="D50" s="19">
        <f t="shared" si="2"/>
        <v>4.3596730245231606E-2</v>
      </c>
      <c r="E50" s="18">
        <f t="shared" si="3"/>
        <v>-1.1419185949894988</v>
      </c>
      <c r="F50" s="18">
        <f t="shared" si="4"/>
        <v>0.83746756387293164</v>
      </c>
      <c r="G50" s="18">
        <f t="shared" si="5"/>
        <v>0.11207976976759328</v>
      </c>
      <c r="H50" s="18">
        <f t="shared" si="6"/>
        <v>4.4299436910976014E-3</v>
      </c>
      <c r="I50" s="18">
        <f t="shared" si="11"/>
        <v>0.10638941498683084</v>
      </c>
      <c r="J50" s="18">
        <f t="shared" si="12"/>
        <v>0.11777012454835571</v>
      </c>
      <c r="K50" s="18">
        <f t="shared" si="13"/>
        <v>0.10477175139715243</v>
      </c>
      <c r="L50" s="18">
        <f t="shared" si="14"/>
        <v>0.11938778813803412</v>
      </c>
      <c r="M50" s="18">
        <f t="shared" si="15"/>
        <v>0.10336812346347191</v>
      </c>
      <c r="N50" s="18">
        <f t="shared" si="16"/>
        <v>0.12079141607171465</v>
      </c>
      <c r="O50" s="18">
        <f t="shared" si="17"/>
        <v>0.10060962316076444</v>
      </c>
      <c r="P50" s="18">
        <f t="shared" si="18"/>
        <v>0.12354991637442211</v>
      </c>
      <c r="Q50" s="18">
        <f t="shared" si="7"/>
        <v>6.1087652067454437E-2</v>
      </c>
      <c r="R50" s="18">
        <f t="shared" si="8"/>
        <v>-1.0279914953532483</v>
      </c>
      <c r="S50" s="18">
        <f t="shared" si="9"/>
        <v>4.2725982155878877E-3</v>
      </c>
      <c r="T50" s="18">
        <f t="shared" si="19"/>
        <v>0.10367754909634147</v>
      </c>
      <c r="U50" s="18">
        <f t="shared" si="20"/>
        <v>0.12048199043884508</v>
      </c>
      <c r="V50" s="40" t="str">
        <f t="shared" si="10"/>
        <v>Y</v>
      </c>
      <c r="W50" s="18">
        <v>2.2895000000000003</v>
      </c>
      <c r="X50" s="18">
        <f t="shared" si="0"/>
        <v>0.92948540191680973</v>
      </c>
      <c r="Y50" s="18">
        <v>0.92948540191680973</v>
      </c>
      <c r="Z50" s="18">
        <v>3.0272118151249597E-2</v>
      </c>
      <c r="AA50" s="18">
        <f t="shared" si="21"/>
        <v>-3.4975281831323897</v>
      </c>
      <c r="AB50" s="18">
        <f t="shared" si="22"/>
        <v>-2.6519355255891233</v>
      </c>
      <c r="AC50" s="18">
        <f t="shared" si="23"/>
        <v>-190.6333749703669</v>
      </c>
    </row>
    <row r="51" spans="1:29" x14ac:dyDescent="0.25">
      <c r="A51" s="13" t="str">
        <f t="shared" si="1"/>
        <v/>
      </c>
      <c r="B51" s="30">
        <f>IF(B50=$C$9,$C$6,IF(OR(ISNA(B50),B50=$C$6),NA(),Main!A18))</f>
        <v>17</v>
      </c>
      <c r="C51" s="29">
        <f>IF(ISNA(B51),NA(),IF(B51=$C$6,$C$19,Main!C18))</f>
        <v>0.12049999999999983</v>
      </c>
      <c r="D51" s="19">
        <f t="shared" si="2"/>
        <v>4.632152588555858E-2</v>
      </c>
      <c r="E51" s="18">
        <f t="shared" si="3"/>
        <v>-1.1223771552623278</v>
      </c>
      <c r="F51" s="18">
        <f t="shared" si="4"/>
        <v>0.83746756387293164</v>
      </c>
      <c r="G51" s="18">
        <f t="shared" si="5"/>
        <v>0.11352405670284252</v>
      </c>
      <c r="H51" s="18">
        <f t="shared" si="6"/>
        <v>4.4014534854608179E-3</v>
      </c>
      <c r="I51" s="18">
        <f t="shared" si="11"/>
        <v>0.10787029818360276</v>
      </c>
      <c r="J51" s="18">
        <f t="shared" si="12"/>
        <v>0.11917781522208228</v>
      </c>
      <c r="K51" s="18">
        <f t="shared" si="13"/>
        <v>0.10626303824045687</v>
      </c>
      <c r="L51" s="18">
        <f t="shared" si="14"/>
        <v>0.12078507516522817</v>
      </c>
      <c r="M51" s="18">
        <f t="shared" si="15"/>
        <v>0.10486843743020195</v>
      </c>
      <c r="N51" s="18">
        <f t="shared" si="16"/>
        <v>0.12217967597548308</v>
      </c>
      <c r="O51" s="18">
        <f t="shared" si="17"/>
        <v>0.10212767781368677</v>
      </c>
      <c r="P51" s="18">
        <f t="shared" si="18"/>
        <v>0.12492043559199827</v>
      </c>
      <c r="Q51" s="18">
        <f t="shared" si="7"/>
        <v>6.1087652067454437E-2</v>
      </c>
      <c r="R51" s="18">
        <f t="shared" si="8"/>
        <v>-1.0279914953532483</v>
      </c>
      <c r="S51" s="18">
        <f t="shared" si="9"/>
        <v>4.2725982155878877E-3</v>
      </c>
      <c r="T51" s="18">
        <f t="shared" si="19"/>
        <v>0.10512183603159071</v>
      </c>
      <c r="U51" s="18">
        <f t="shared" si="20"/>
        <v>0.12192627737409432</v>
      </c>
      <c r="V51" s="40" t="str">
        <f t="shared" si="10"/>
        <v>Y</v>
      </c>
      <c r="W51" s="18">
        <v>2.2895000000000003</v>
      </c>
      <c r="X51" s="18">
        <f t="shared" si="0"/>
        <v>0.92948540191680973</v>
      </c>
      <c r="Y51" s="18">
        <v>0.92948540191680973</v>
      </c>
      <c r="Z51" s="18">
        <v>3.0272118151249597E-2</v>
      </c>
      <c r="AA51" s="18">
        <f t="shared" si="21"/>
        <v>-3.4975281831323897</v>
      </c>
      <c r="AB51" s="18">
        <f t="shared" si="22"/>
        <v>-2.6519355255891233</v>
      </c>
      <c r="AC51" s="18">
        <f t="shared" si="23"/>
        <v>-202.9323023878099</v>
      </c>
    </row>
    <row r="52" spans="1:29" x14ac:dyDescent="0.25">
      <c r="A52" s="13" t="str">
        <f t="shared" si="1"/>
        <v/>
      </c>
      <c r="B52" s="30">
        <f>IF(B51=$C$9,$C$6,IF(OR(ISNA(B51),B51=$C$6),NA(),Main!A19))</f>
        <v>18</v>
      </c>
      <c r="C52" s="29">
        <f>IF(ISNA(B52),NA(),IF(B52=$C$6,$C$19,Main!C19))</f>
        <v>0.12049999999999983</v>
      </c>
      <c r="D52" s="19">
        <f t="shared" si="2"/>
        <v>4.9046321525885561E-2</v>
      </c>
      <c r="E52" s="18">
        <f t="shared" si="3"/>
        <v>-1.1035965433274471</v>
      </c>
      <c r="F52" s="18">
        <f t="shared" si="4"/>
        <v>0.83746756387293164</v>
      </c>
      <c r="G52" s="18">
        <f t="shared" si="5"/>
        <v>0.11491211166871176</v>
      </c>
      <c r="H52" s="18">
        <f t="shared" si="6"/>
        <v>4.3746441599608506E-3</v>
      </c>
      <c r="I52" s="18">
        <f t="shared" si="11"/>
        <v>0.10929279028550927</v>
      </c>
      <c r="J52" s="18">
        <f t="shared" si="12"/>
        <v>0.12053143305191426</v>
      </c>
      <c r="K52" s="18">
        <f t="shared" si="13"/>
        <v>0.10769532018908587</v>
      </c>
      <c r="L52" s="18">
        <f t="shared" si="14"/>
        <v>0.12212890314833766</v>
      </c>
      <c r="M52" s="18">
        <f t="shared" si="15"/>
        <v>0.10630921391528082</v>
      </c>
      <c r="N52" s="18">
        <f t="shared" si="16"/>
        <v>0.1235150094221427</v>
      </c>
      <c r="O52" s="18">
        <f t="shared" si="17"/>
        <v>0.1035851483106231</v>
      </c>
      <c r="P52" s="18">
        <f t="shared" si="18"/>
        <v>0.12623907502680043</v>
      </c>
      <c r="Q52" s="18">
        <f t="shared" si="7"/>
        <v>6.1087652067454437E-2</v>
      </c>
      <c r="R52" s="18">
        <f t="shared" si="8"/>
        <v>-1.0279914953532483</v>
      </c>
      <c r="S52" s="18">
        <f t="shared" si="9"/>
        <v>4.2725982155878877E-3</v>
      </c>
      <c r="T52" s="18">
        <f t="shared" si="19"/>
        <v>0.10650989099745996</v>
      </c>
      <c r="U52" s="18">
        <f t="shared" si="20"/>
        <v>0.12331433233996357</v>
      </c>
      <c r="V52" s="40" t="str">
        <f t="shared" si="10"/>
        <v>Y</v>
      </c>
      <c r="W52" s="18">
        <v>2.2895000000000003</v>
      </c>
      <c r="X52" s="18">
        <f t="shared" si="0"/>
        <v>0.92948540191680973</v>
      </c>
      <c r="Y52" s="18">
        <v>0.92948540191680973</v>
      </c>
      <c r="Z52" s="18">
        <v>3.0272118151249597E-2</v>
      </c>
      <c r="AA52" s="18">
        <f t="shared" si="21"/>
        <v>-3.4975281831323897</v>
      </c>
      <c r="AB52" s="18">
        <f t="shared" si="22"/>
        <v>-2.6519355255891233</v>
      </c>
      <c r="AC52" s="18">
        <f t="shared" si="23"/>
        <v>-215.23122980525295</v>
      </c>
    </row>
    <row r="53" spans="1:29" x14ac:dyDescent="0.25">
      <c r="A53" s="13" t="str">
        <f t="shared" si="1"/>
        <v/>
      </c>
      <c r="B53" s="30">
        <f>IF(B52=$C$9,$C$6,IF(OR(ISNA(B52),B52=$C$6),NA(),Main!A20))</f>
        <v>19</v>
      </c>
      <c r="C53" s="29">
        <f>IF(ISNA(B53),NA(),IF(B53=$C$6,$C$19,Main!C20))</f>
        <v>0.12049999999999983</v>
      </c>
      <c r="D53" s="19">
        <f t="shared" si="2"/>
        <v>5.1771117166212535E-2</v>
      </c>
      <c r="E53" s="18">
        <f t="shared" si="3"/>
        <v>-1.0855009997724492</v>
      </c>
      <c r="F53" s="18">
        <f t="shared" si="4"/>
        <v>0.83746756387293164</v>
      </c>
      <c r="G53" s="18">
        <f t="shared" si="5"/>
        <v>0.11624953396244267</v>
      </c>
      <c r="H53" s="18">
        <f t="shared" si="6"/>
        <v>4.3493525948091081E-3</v>
      </c>
      <c r="I53" s="18">
        <f t="shared" si="11"/>
        <v>0.11066270012055214</v>
      </c>
      <c r="J53" s="18">
        <f t="shared" si="12"/>
        <v>0.1218363678043332</v>
      </c>
      <c r="K53" s="18">
        <f t="shared" si="13"/>
        <v>0.10907446563679672</v>
      </c>
      <c r="L53" s="18">
        <f t="shared" si="14"/>
        <v>0.12342460228808862</v>
      </c>
      <c r="M53" s="18">
        <f t="shared" si="15"/>
        <v>0.10769637299698093</v>
      </c>
      <c r="N53" s="18">
        <f t="shared" si="16"/>
        <v>0.12480269492790441</v>
      </c>
      <c r="O53" s="18">
        <f t="shared" si="17"/>
        <v>0.1049880563035943</v>
      </c>
      <c r="P53" s="18">
        <f t="shared" si="18"/>
        <v>0.12751101162129103</v>
      </c>
      <c r="Q53" s="18">
        <f t="shared" si="7"/>
        <v>6.1087652067454437E-2</v>
      </c>
      <c r="R53" s="18">
        <f t="shared" si="8"/>
        <v>-1.0279914953532483</v>
      </c>
      <c r="S53" s="18">
        <f t="shared" si="9"/>
        <v>4.2725982155878877E-3</v>
      </c>
      <c r="T53" s="18">
        <f t="shared" si="19"/>
        <v>0.10784731329119086</v>
      </c>
      <c r="U53" s="18">
        <f t="shared" si="20"/>
        <v>0.12465175463369448</v>
      </c>
      <c r="V53" s="40" t="str">
        <f t="shared" si="10"/>
        <v>Y</v>
      </c>
      <c r="W53" s="18">
        <v>2.2895000000000003</v>
      </c>
      <c r="X53" s="18">
        <f t="shared" si="0"/>
        <v>0.92948540191680973</v>
      </c>
      <c r="Y53" s="18">
        <v>0.92948540191680973</v>
      </c>
      <c r="Z53" s="18">
        <v>3.0272118151249597E-2</v>
      </c>
      <c r="AA53" s="18">
        <f t="shared" si="21"/>
        <v>-3.4975281831323897</v>
      </c>
      <c r="AB53" s="18">
        <f t="shared" si="22"/>
        <v>-2.6519355255891233</v>
      </c>
      <c r="AC53" s="18">
        <f t="shared" si="23"/>
        <v>-227.53015722269595</v>
      </c>
    </row>
    <row r="54" spans="1:29" x14ac:dyDescent="0.25">
      <c r="A54" s="13" t="str">
        <f t="shared" si="1"/>
        <v/>
      </c>
      <c r="B54" s="30">
        <f>IF(B53=$C$9,$C$6,IF(OR(ISNA(B53),B53=$C$6),NA(),Main!A21))</f>
        <v>20</v>
      </c>
      <c r="C54" s="29">
        <f>IF(ISNA(B54),NA(),IF(B54=$C$6,$C$19,Main!C21))</f>
        <v>0.12049999999999983</v>
      </c>
      <c r="D54" s="19">
        <f t="shared" si="2"/>
        <v>5.4495912806539509E-2</v>
      </c>
      <c r="E54" s="18">
        <f t="shared" si="3"/>
        <v>-1.0680257790947789</v>
      </c>
      <c r="F54" s="18">
        <f t="shared" si="4"/>
        <v>0.83746756387293164</v>
      </c>
      <c r="G54" s="18">
        <f t="shared" si="5"/>
        <v>0.11754110885496521</v>
      </c>
      <c r="H54" s="18">
        <f t="shared" si="6"/>
        <v>4.3254397354325225E-3</v>
      </c>
      <c r="I54" s="18">
        <f t="shared" si="11"/>
        <v>0.11198499157815173</v>
      </c>
      <c r="J54" s="18">
        <f t="shared" si="12"/>
        <v>0.1230972261317787</v>
      </c>
      <c r="K54" s="18">
        <f t="shared" si="13"/>
        <v>0.11040548925097346</v>
      </c>
      <c r="L54" s="18">
        <f t="shared" si="14"/>
        <v>0.12467672845895697</v>
      </c>
      <c r="M54" s="18">
        <f t="shared" si="15"/>
        <v>0.10903497340213644</v>
      </c>
      <c r="N54" s="18">
        <f t="shared" si="16"/>
        <v>0.12604724430779399</v>
      </c>
      <c r="O54" s="18">
        <f t="shared" si="17"/>
        <v>0.10634154710791255</v>
      </c>
      <c r="P54" s="18">
        <f t="shared" si="18"/>
        <v>0.12874067060201788</v>
      </c>
      <c r="Q54" s="18">
        <f t="shared" si="7"/>
        <v>6.1087652067454437E-2</v>
      </c>
      <c r="R54" s="18">
        <f t="shared" si="8"/>
        <v>-1.0279914953532483</v>
      </c>
      <c r="S54" s="18">
        <f t="shared" si="9"/>
        <v>4.2725982155878877E-3</v>
      </c>
      <c r="T54" s="18">
        <f t="shared" si="19"/>
        <v>0.10913888818371341</v>
      </c>
      <c r="U54" s="18">
        <f t="shared" si="20"/>
        <v>0.12594332952621703</v>
      </c>
      <c r="V54" s="40" t="str">
        <f t="shared" si="10"/>
        <v>Y</v>
      </c>
      <c r="W54" s="18">
        <v>2.2895000000000003</v>
      </c>
      <c r="X54" s="18">
        <f t="shared" si="0"/>
        <v>0.92948540191680973</v>
      </c>
      <c r="Y54" s="18">
        <v>0.92948540191680973</v>
      </c>
      <c r="Z54" s="18">
        <v>3.0272118151249597E-2</v>
      </c>
      <c r="AA54" s="18">
        <f t="shared" si="21"/>
        <v>-3.4975281831323897</v>
      </c>
      <c r="AB54" s="18">
        <f t="shared" si="22"/>
        <v>-2.6519355255891233</v>
      </c>
      <c r="AC54" s="18">
        <f t="shared" si="23"/>
        <v>-239.829084640139</v>
      </c>
    </row>
    <row r="55" spans="1:29" x14ac:dyDescent="0.25">
      <c r="A55" s="13" t="str">
        <f t="shared" ref="A55:A112" si="24">IF(B55=$C$6,"EVA","")</f>
        <v/>
      </c>
      <c r="B55" s="30">
        <f>IF(B54=$C$9,$C$6,IF(OR(ISNA(B54),B54=$C$6),NA(),Main!A22))</f>
        <v>21</v>
      </c>
      <c r="C55" s="29">
        <f>IF(ISNA(B55),NA(),IF(B55=$C$6,$C$19,Main!C22))</f>
        <v>0.12049999999999983</v>
      </c>
      <c r="D55" s="19">
        <f t="shared" ref="D55:D112" si="25">IF(ISNA(B55),NA(),IF(B55=$C$6,(N-1)/N,B55/($C$9+1)))</f>
        <v>5.7220708446866483E-2</v>
      </c>
      <c r="E55" s="18">
        <f t="shared" ref="E55:E112" si="26">IF(ISNA(B55),NA(),-LN(-LN(D55)))</f>
        <v>-1.0511150818848136</v>
      </c>
      <c r="F55" s="18">
        <f t="shared" ref="F55:F112" si="27">IF(ISNA(B55),NA(),LN(1/$C$16) - (C55-$C$17)/$C$16 - EXP(-(C55-$C$17)/$C$16))</f>
        <v>0.83746756387293164</v>
      </c>
      <c r="G55" s="18">
        <f t="shared" ref="G55:G112" si="28">IF(ISNA(B55),NA(),$C$16*E55+$C$17)</f>
        <v>0.11879096042103733</v>
      </c>
      <c r="H55" s="18">
        <f t="shared" ref="H55:H112" si="29">IF(ISNA(B55),NA(),$C$16*SQRT((1.109+0.514*E55+0.608*E55^2)/$C$9))</f>
        <v>4.3027860308362332E-3</v>
      </c>
      <c r="I55" s="18">
        <f t="shared" si="11"/>
        <v>0.11326394229880464</v>
      </c>
      <c r="J55" s="18">
        <f t="shared" si="12"/>
        <v>0.12431797854327002</v>
      </c>
      <c r="K55" s="18">
        <f t="shared" si="13"/>
        <v>0.11169271232803812</v>
      </c>
      <c r="L55" s="18">
        <f t="shared" si="14"/>
        <v>0.12588920851403654</v>
      </c>
      <c r="M55" s="18">
        <f t="shared" si="15"/>
        <v>0.11032937430690952</v>
      </c>
      <c r="N55" s="18">
        <f t="shared" si="16"/>
        <v>0.12725254653516513</v>
      </c>
      <c r="O55" s="18">
        <f t="shared" si="17"/>
        <v>0.10765005434345275</v>
      </c>
      <c r="P55" s="18">
        <f t="shared" si="18"/>
        <v>0.12993186649862193</v>
      </c>
      <c r="Q55" s="18">
        <f t="shared" ref="Q55:Q112" si="30">IF(ISNA(B55),NA(),EXP(-EXP(-(C55-$C$17)/$C$16)))</f>
        <v>6.1087652067454437E-2</v>
      </c>
      <c r="R55" s="18">
        <f t="shared" si="8"/>
        <v>-1.0279914953532483</v>
      </c>
      <c r="S55" s="18">
        <f t="shared" si="9"/>
        <v>4.2725982155878877E-3</v>
      </c>
      <c r="T55" s="18">
        <f t="shared" si="19"/>
        <v>0.11038873974978552</v>
      </c>
      <c r="U55" s="18">
        <f t="shared" si="20"/>
        <v>0.12719318109228914</v>
      </c>
      <c r="V55" s="40" t="str">
        <f t="shared" si="10"/>
        <v>Y</v>
      </c>
      <c r="W55" s="18">
        <v>2.2895000000000003</v>
      </c>
      <c r="X55" s="18">
        <f t="shared" si="0"/>
        <v>0.92948540191680973</v>
      </c>
      <c r="Y55" s="18">
        <v>0.92948540191680973</v>
      </c>
      <c r="Z55" s="18">
        <v>3.0272118151249597E-2</v>
      </c>
      <c r="AA55" s="18">
        <f t="shared" si="21"/>
        <v>-3.4975281831323897</v>
      </c>
      <c r="AB55" s="18">
        <f t="shared" si="22"/>
        <v>-2.6519355255891233</v>
      </c>
      <c r="AC55" s="18">
        <f t="shared" si="23"/>
        <v>-252.128012057582</v>
      </c>
    </row>
    <row r="56" spans="1:29" x14ac:dyDescent="0.25">
      <c r="A56" s="13" t="str">
        <f t="shared" si="24"/>
        <v/>
      </c>
      <c r="B56" s="30">
        <f>IF(B55=$C$9,$C$6,IF(OR(ISNA(B55),B55=$C$6),NA(),Main!A23))</f>
        <v>22</v>
      </c>
      <c r="C56" s="29">
        <f>IF(ISNA(B56),NA(),IF(B56=$C$6,$C$19,Main!C23))</f>
        <v>0.12049999999999983</v>
      </c>
      <c r="D56" s="19">
        <f t="shared" si="25"/>
        <v>5.9945504087193457E-2</v>
      </c>
      <c r="E56" s="18">
        <f t="shared" si="26"/>
        <v>-1.0347204542755852</v>
      </c>
      <c r="F56" s="18">
        <f t="shared" si="27"/>
        <v>0.83746756387293164</v>
      </c>
      <c r="G56" s="18">
        <f t="shared" si="28"/>
        <v>0.1200026698342062</v>
      </c>
      <c r="H56" s="18">
        <f t="shared" si="29"/>
        <v>4.2812879103211665E-3</v>
      </c>
      <c r="I56" s="18">
        <f t="shared" si="11"/>
        <v>0.11450326649477451</v>
      </c>
      <c r="J56" s="18">
        <f t="shared" si="12"/>
        <v>0.12550207317363787</v>
      </c>
      <c r="K56" s="18">
        <f t="shared" si="13"/>
        <v>0.11293988690072353</v>
      </c>
      <c r="L56" s="18">
        <f t="shared" si="14"/>
        <v>0.12706545276768888</v>
      </c>
      <c r="M56" s="18">
        <f t="shared" si="15"/>
        <v>0.11158336056041543</v>
      </c>
      <c r="N56" s="18">
        <f t="shared" si="16"/>
        <v>0.12842197910799696</v>
      </c>
      <c r="O56" s="18">
        <f t="shared" si="17"/>
        <v>0.10891742735220514</v>
      </c>
      <c r="P56" s="18">
        <f t="shared" si="18"/>
        <v>0.13108791231620726</v>
      </c>
      <c r="Q56" s="18">
        <f t="shared" si="30"/>
        <v>6.1087652067454437E-2</v>
      </c>
      <c r="R56" s="18">
        <f t="shared" si="8"/>
        <v>-1.0279914953532483</v>
      </c>
      <c r="S56" s="18">
        <f t="shared" si="9"/>
        <v>4.2725982155878877E-3</v>
      </c>
      <c r="T56" s="18">
        <f t="shared" si="19"/>
        <v>0.11160044916295439</v>
      </c>
      <c r="U56" s="18">
        <f t="shared" si="20"/>
        <v>0.128404890505458</v>
      </c>
      <c r="V56" s="40" t="str">
        <f t="shared" si="10"/>
        <v>Y</v>
      </c>
      <c r="W56" s="18">
        <v>2.2895000000000003</v>
      </c>
      <c r="X56" s="18">
        <f t="shared" si="0"/>
        <v>0.92948540191680973</v>
      </c>
      <c r="Y56" s="18">
        <v>0.92948540191680973</v>
      </c>
      <c r="Z56" s="18">
        <v>3.0272118151249597E-2</v>
      </c>
      <c r="AA56" s="18">
        <f t="shared" si="21"/>
        <v>-3.4975281831323897</v>
      </c>
      <c r="AB56" s="18">
        <f t="shared" si="22"/>
        <v>-2.6519355255891233</v>
      </c>
      <c r="AC56" s="18">
        <f t="shared" si="23"/>
        <v>-264.42693947502505</v>
      </c>
    </row>
    <row r="57" spans="1:29" x14ac:dyDescent="0.25">
      <c r="A57" s="13" t="str">
        <f t="shared" si="24"/>
        <v/>
      </c>
      <c r="B57" s="30">
        <f>IF(B56=$C$9,$C$6,IF(OR(ISNA(B56),B56=$C$6),NA(),Main!A24))</f>
        <v>23</v>
      </c>
      <c r="C57" s="29">
        <f>IF(ISNA(B57),NA(),IF(B57=$C$6,$C$19,Main!C24))</f>
        <v>0.12049999999999983</v>
      </c>
      <c r="D57" s="19">
        <f t="shared" si="25"/>
        <v>6.2670299727520432E-2</v>
      </c>
      <c r="E57" s="18">
        <f t="shared" si="26"/>
        <v>-1.0187995328211383</v>
      </c>
      <c r="F57" s="18">
        <f t="shared" si="27"/>
        <v>0.83746756387293164</v>
      </c>
      <c r="G57" s="18">
        <f t="shared" si="28"/>
        <v>0.12117936813150795</v>
      </c>
      <c r="H57" s="18">
        <f t="shared" si="29"/>
        <v>4.2608550262375391E-3</v>
      </c>
      <c r="I57" s="18">
        <f t="shared" si="11"/>
        <v>0.11570621125653216</v>
      </c>
      <c r="J57" s="18">
        <f t="shared" si="12"/>
        <v>0.12665252500648375</v>
      </c>
      <c r="K57" s="18">
        <f t="shared" si="13"/>
        <v>0.11415029305136534</v>
      </c>
      <c r="L57" s="18">
        <f t="shared" si="14"/>
        <v>0.12820844321165056</v>
      </c>
      <c r="M57" s="18">
        <f t="shared" si="15"/>
        <v>0.11280024087164829</v>
      </c>
      <c r="N57" s="18">
        <f t="shared" si="16"/>
        <v>0.12955849539136763</v>
      </c>
      <c r="O57" s="18">
        <f t="shared" si="17"/>
        <v>0.11014703110212259</v>
      </c>
      <c r="P57" s="18">
        <f t="shared" si="18"/>
        <v>0.13221170516089331</v>
      </c>
      <c r="Q57" s="18">
        <f t="shared" si="30"/>
        <v>6.1087652067454437E-2</v>
      </c>
      <c r="R57" s="18">
        <f t="shared" si="8"/>
        <v>-1.0279914953532483</v>
      </c>
      <c r="S57" s="18">
        <f t="shared" si="9"/>
        <v>4.2725982155878877E-3</v>
      </c>
      <c r="T57" s="18">
        <f t="shared" si="19"/>
        <v>0.11277714746025615</v>
      </c>
      <c r="U57" s="18">
        <f t="shared" si="20"/>
        <v>0.12958158880275977</v>
      </c>
      <c r="V57" s="40" t="str">
        <f t="shared" si="10"/>
        <v>Y</v>
      </c>
      <c r="W57" s="18">
        <v>2.2895000000000003</v>
      </c>
      <c r="X57" s="18">
        <f t="shared" si="0"/>
        <v>0.92948540191680973</v>
      </c>
      <c r="Y57" s="18">
        <v>0.92948540191680973</v>
      </c>
      <c r="Z57" s="18">
        <v>3.0272118151249597E-2</v>
      </c>
      <c r="AA57" s="18">
        <f t="shared" si="21"/>
        <v>-3.4975281831323897</v>
      </c>
      <c r="AB57" s="18">
        <f t="shared" si="22"/>
        <v>-2.6519355255891233</v>
      </c>
      <c r="AC57" s="18">
        <f t="shared" si="23"/>
        <v>-276.72586689246805</v>
      </c>
    </row>
    <row r="58" spans="1:29" x14ac:dyDescent="0.25">
      <c r="A58" s="13" t="str">
        <f t="shared" si="24"/>
        <v/>
      </c>
      <c r="B58" s="30">
        <f>IF(B57=$C$9,$C$6,IF(OR(ISNA(B57),B57=$C$6),NA(),Main!A25))</f>
        <v>24</v>
      </c>
      <c r="C58" s="29">
        <f>IF(ISNA(B58),NA(),IF(B58=$C$6,$C$19,Main!C25))</f>
        <v>0.12049999999999983</v>
      </c>
      <c r="D58" s="19">
        <f t="shared" si="25"/>
        <v>6.5395095367847406E-2</v>
      </c>
      <c r="E58" s="18">
        <f t="shared" si="26"/>
        <v>-1.0033150486058284</v>
      </c>
      <c r="F58" s="18">
        <f t="shared" si="27"/>
        <v>0.83746756387293164</v>
      </c>
      <c r="G58" s="18">
        <f t="shared" si="28"/>
        <v>0.12232380981868568</v>
      </c>
      <c r="H58" s="18">
        <f t="shared" si="29"/>
        <v>4.2414080704928497E-3</v>
      </c>
      <c r="I58" s="18">
        <f t="shared" si="11"/>
        <v>0.11687563296271453</v>
      </c>
      <c r="J58" s="18">
        <f t="shared" si="12"/>
        <v>0.12777198667465683</v>
      </c>
      <c r="K58" s="18">
        <f t="shared" si="13"/>
        <v>0.1153268161191974</v>
      </c>
      <c r="L58" s="18">
        <f t="shared" si="14"/>
        <v>0.12932080351817396</v>
      </c>
      <c r="M58" s="18">
        <f t="shared" si="15"/>
        <v>0.11398292570861596</v>
      </c>
      <c r="N58" s="18">
        <f t="shared" si="16"/>
        <v>0.1306646939287554</v>
      </c>
      <c r="O58" s="18">
        <f t="shared" si="17"/>
        <v>0.11134182544590324</v>
      </c>
      <c r="P58" s="18">
        <f t="shared" si="18"/>
        <v>0.13330579419146812</v>
      </c>
      <c r="Q58" s="18">
        <f t="shared" si="30"/>
        <v>6.1087652067454437E-2</v>
      </c>
      <c r="R58" s="18">
        <f t="shared" si="8"/>
        <v>-1.0279914953532483</v>
      </c>
      <c r="S58" s="18">
        <f t="shared" si="9"/>
        <v>4.2725982155878877E-3</v>
      </c>
      <c r="T58" s="18">
        <f t="shared" si="19"/>
        <v>0.11392158914743387</v>
      </c>
      <c r="U58" s="18">
        <f t="shared" si="20"/>
        <v>0.1307260304899375</v>
      </c>
      <c r="V58" s="40" t="str">
        <f t="shared" si="10"/>
        <v>Y</v>
      </c>
      <c r="W58" s="18">
        <v>2.2895000000000003</v>
      </c>
      <c r="X58" s="18">
        <f t="shared" si="0"/>
        <v>0.92948540191680973</v>
      </c>
      <c r="Y58" s="18">
        <v>0.92948540191680973</v>
      </c>
      <c r="Z58" s="18">
        <v>3.0272118151249597E-2</v>
      </c>
      <c r="AA58" s="18">
        <f t="shared" si="21"/>
        <v>-3.4975281831323897</v>
      </c>
      <c r="AB58" s="18">
        <f t="shared" si="22"/>
        <v>-2.6519355255891233</v>
      </c>
      <c r="AC58" s="18">
        <f t="shared" si="23"/>
        <v>-289.0247943099111</v>
      </c>
    </row>
    <row r="59" spans="1:29" x14ac:dyDescent="0.25">
      <c r="A59" s="13" t="str">
        <f t="shared" si="24"/>
        <v/>
      </c>
      <c r="B59" s="30">
        <f>IF(B58=$C$9,$C$6,IF(OR(ISNA(B58),B58=$C$6),NA(),Main!A26))</f>
        <v>25</v>
      </c>
      <c r="C59" s="29">
        <f>IF(ISNA(B59),NA(),IF(B59=$C$6,$C$19,Main!C26))</f>
        <v>0.12049999999999983</v>
      </c>
      <c r="D59" s="19">
        <f t="shared" si="25"/>
        <v>6.8119891008174394E-2</v>
      </c>
      <c r="E59" s="18">
        <f t="shared" si="26"/>
        <v>-0.98823402856251119</v>
      </c>
      <c r="F59" s="18">
        <f t="shared" si="27"/>
        <v>0.83746756387293164</v>
      </c>
      <c r="G59" s="18">
        <f t="shared" si="28"/>
        <v>0.12343843189990877</v>
      </c>
      <c r="H59" s="18">
        <f t="shared" si="29"/>
        <v>4.2228770267219032E-3</v>
      </c>
      <c r="I59" s="18">
        <f t="shared" si="11"/>
        <v>0.1180140585549679</v>
      </c>
      <c r="J59" s="18">
        <f t="shared" si="12"/>
        <v>0.12886280524484967</v>
      </c>
      <c r="K59" s="18">
        <f t="shared" si="13"/>
        <v>0.11647200861344259</v>
      </c>
      <c r="L59" s="18">
        <f t="shared" si="14"/>
        <v>0.13040485518637496</v>
      </c>
      <c r="M59" s="18">
        <f t="shared" si="15"/>
        <v>0.115133989765231</v>
      </c>
      <c r="N59" s="18">
        <f t="shared" si="16"/>
        <v>0.13174287403458657</v>
      </c>
      <c r="O59" s="18">
        <f t="shared" si="17"/>
        <v>0.11250442867624511</v>
      </c>
      <c r="P59" s="18">
        <f t="shared" si="18"/>
        <v>0.13437243512357244</v>
      </c>
      <c r="Q59" s="18">
        <f t="shared" si="30"/>
        <v>6.1087652067454437E-2</v>
      </c>
      <c r="R59" s="18">
        <f t="shared" si="8"/>
        <v>-1.0279914953532483</v>
      </c>
      <c r="S59" s="18">
        <f t="shared" si="9"/>
        <v>4.2725982155878877E-3</v>
      </c>
      <c r="T59" s="18">
        <f t="shared" si="19"/>
        <v>0.11503621122865697</v>
      </c>
      <c r="U59" s="18">
        <f t="shared" si="20"/>
        <v>0.13184065257116059</v>
      </c>
      <c r="V59" s="40" t="str">
        <f t="shared" si="10"/>
        <v>Y</v>
      </c>
      <c r="W59" s="18">
        <v>2.2895000000000003</v>
      </c>
      <c r="X59" s="18">
        <f t="shared" si="0"/>
        <v>0.92948540191680973</v>
      </c>
      <c r="Y59" s="18">
        <v>0.92948540191680973</v>
      </c>
      <c r="Z59" s="18">
        <v>3.0272118151249597E-2</v>
      </c>
      <c r="AA59" s="18">
        <f t="shared" si="21"/>
        <v>-3.4975281831323897</v>
      </c>
      <c r="AB59" s="18">
        <f t="shared" si="22"/>
        <v>-2.6519355255891233</v>
      </c>
      <c r="AC59" s="18">
        <f t="shared" si="23"/>
        <v>-301.3237217273541</v>
      </c>
    </row>
    <row r="60" spans="1:29" x14ac:dyDescent="0.25">
      <c r="A60" s="13" t="str">
        <f t="shared" si="24"/>
        <v/>
      </c>
      <c r="B60" s="30">
        <f>IF(B59=$C$9,$C$6,IF(OR(ISNA(B59),B59=$C$6),NA(),Main!A27))</f>
        <v>26</v>
      </c>
      <c r="C60" s="29">
        <f>IF(ISNA(B60),NA(),IF(B60=$C$6,$C$19,Main!C27))</f>
        <v>0.12049999999999983</v>
      </c>
      <c r="D60" s="19">
        <f t="shared" si="25"/>
        <v>7.0844686648501368E-2</v>
      </c>
      <c r="E60" s="18">
        <f t="shared" si="26"/>
        <v>-0.9735271486842928</v>
      </c>
      <c r="F60" s="18">
        <f t="shared" si="27"/>
        <v>0.83746756387293164</v>
      </c>
      <c r="G60" s="18">
        <f t="shared" si="28"/>
        <v>0.12452540168120164</v>
      </c>
      <c r="H60" s="18">
        <f t="shared" si="29"/>
        <v>4.2051997574061931E-3</v>
      </c>
      <c r="I60" s="18">
        <f t="shared" si="11"/>
        <v>0.11912373515625119</v>
      </c>
      <c r="J60" s="18">
        <f t="shared" si="12"/>
        <v>0.1299270682061521</v>
      </c>
      <c r="K60" s="18">
        <f t="shared" si="13"/>
        <v>0.11758814034755172</v>
      </c>
      <c r="L60" s="18">
        <f t="shared" si="14"/>
        <v>0.13146266301485157</v>
      </c>
      <c r="M60" s="18">
        <f t="shared" si="15"/>
        <v>0.11625572254322078</v>
      </c>
      <c r="N60" s="18">
        <f t="shared" si="16"/>
        <v>0.13279508081918251</v>
      </c>
      <c r="O60" s="18">
        <f t="shared" si="17"/>
        <v>0.11363716898754879</v>
      </c>
      <c r="P60" s="18">
        <f t="shared" si="18"/>
        <v>0.13541363437485451</v>
      </c>
      <c r="Q60" s="18">
        <f t="shared" si="30"/>
        <v>6.1087652067454437E-2</v>
      </c>
      <c r="R60" s="18">
        <f t="shared" si="8"/>
        <v>-1.0279914953532483</v>
      </c>
      <c r="S60" s="18">
        <f t="shared" si="9"/>
        <v>4.2725982155878877E-3</v>
      </c>
      <c r="T60" s="18">
        <f t="shared" si="19"/>
        <v>0.11612318100994984</v>
      </c>
      <c r="U60" s="18">
        <f t="shared" si="20"/>
        <v>0.13292762235245345</v>
      </c>
      <c r="V60" s="40" t="str">
        <f t="shared" si="10"/>
        <v>Y</v>
      </c>
      <c r="W60" s="18">
        <v>2.2895000000000003</v>
      </c>
      <c r="X60" s="18">
        <f t="shared" si="0"/>
        <v>0.92948540191680973</v>
      </c>
      <c r="Y60" s="18">
        <v>0.92948540191680973</v>
      </c>
      <c r="Z60" s="18">
        <v>0.10271805670624974</v>
      </c>
      <c r="AA60" s="18">
        <f t="shared" si="21"/>
        <v>-2.275767357577601</v>
      </c>
      <c r="AB60" s="18">
        <f t="shared" si="22"/>
        <v>-2.6519355255891233</v>
      </c>
      <c r="AC60" s="18">
        <f t="shared" si="23"/>
        <v>-251.31284704150292</v>
      </c>
    </row>
    <row r="61" spans="1:29" x14ac:dyDescent="0.25">
      <c r="A61" s="13" t="str">
        <f t="shared" si="24"/>
        <v/>
      </c>
      <c r="B61" s="30">
        <f>IF(B60=$C$9,$C$6,IF(OR(ISNA(B60),B60=$C$6),NA(),Main!A28))</f>
        <v>27</v>
      </c>
      <c r="C61" s="29">
        <f>IF(ISNA(B61),NA(),IF(B61=$C$6,$C$19,Main!C28))</f>
        <v>0.12049999999999983</v>
      </c>
      <c r="D61" s="19">
        <f t="shared" si="25"/>
        <v>7.3569482288828342E-2</v>
      </c>
      <c r="E61" s="18">
        <f t="shared" si="26"/>
        <v>-0.95916820555626825</v>
      </c>
      <c r="F61" s="18">
        <f t="shared" si="27"/>
        <v>0.83746756387293164</v>
      </c>
      <c r="G61" s="18">
        <f t="shared" si="28"/>
        <v>0.12558665582896833</v>
      </c>
      <c r="H61" s="18">
        <f t="shared" si="29"/>
        <v>4.1883208514553912E-3</v>
      </c>
      <c r="I61" s="18">
        <f t="shared" si="11"/>
        <v>0.12020667060966611</v>
      </c>
      <c r="J61" s="18">
        <f t="shared" si="12"/>
        <v>0.13096664104827055</v>
      </c>
      <c r="K61" s="18">
        <f t="shared" si="13"/>
        <v>0.11867723939885731</v>
      </c>
      <c r="L61" s="18">
        <f t="shared" si="14"/>
        <v>0.13249607225907936</v>
      </c>
      <c r="M61" s="18">
        <f t="shared" si="15"/>
        <v>0.11735016967692528</v>
      </c>
      <c r="N61" s="18">
        <f t="shared" si="16"/>
        <v>0.13382314198101139</v>
      </c>
      <c r="O61" s="18">
        <f t="shared" si="17"/>
        <v>0.11474212651831955</v>
      </c>
      <c r="P61" s="18">
        <f t="shared" si="18"/>
        <v>0.13643118513961711</v>
      </c>
      <c r="Q61" s="18">
        <f t="shared" si="30"/>
        <v>6.1087652067454437E-2</v>
      </c>
      <c r="R61" s="18">
        <f t="shared" si="8"/>
        <v>-1.0279914953532483</v>
      </c>
      <c r="S61" s="18">
        <f t="shared" si="9"/>
        <v>4.2725982155878877E-3</v>
      </c>
      <c r="T61" s="18">
        <f t="shared" si="19"/>
        <v>0.11718443515771652</v>
      </c>
      <c r="U61" s="18">
        <f t="shared" si="20"/>
        <v>0.13398887650022015</v>
      </c>
      <c r="V61" s="40" t="str">
        <f t="shared" si="10"/>
        <v>Y</v>
      </c>
      <c r="W61" s="18">
        <v>2.2895000000000003</v>
      </c>
      <c r="X61" s="18">
        <f t="shared" si="0"/>
        <v>0.92948540191680973</v>
      </c>
      <c r="Y61" s="18">
        <v>0.92948540191680973</v>
      </c>
      <c r="Z61" s="18">
        <v>0.10271805670624974</v>
      </c>
      <c r="AA61" s="18">
        <f t="shared" si="21"/>
        <v>-2.275767357577601</v>
      </c>
      <c r="AB61" s="18">
        <f t="shared" si="22"/>
        <v>-2.6519355255891233</v>
      </c>
      <c r="AC61" s="18">
        <f t="shared" si="23"/>
        <v>-261.16825280783638</v>
      </c>
    </row>
    <row r="62" spans="1:29" x14ac:dyDescent="0.25">
      <c r="A62" s="13" t="str">
        <f t="shared" si="24"/>
        <v/>
      </c>
      <c r="B62" s="30">
        <f>IF(B61=$C$9,$C$6,IF(OR(ISNA(B61),B61=$C$6),NA(),Main!A29))</f>
        <v>28</v>
      </c>
      <c r="C62" s="29">
        <f>IF(ISNA(B62),NA(),IF(B62=$C$6,$C$19,Main!C29))</f>
        <v>0.12049999999999983</v>
      </c>
      <c r="D62" s="19">
        <f t="shared" si="25"/>
        <v>7.6294277929155316E-2</v>
      </c>
      <c r="E62" s="18">
        <f t="shared" si="26"/>
        <v>-0.94513368101394435</v>
      </c>
      <c r="F62" s="18">
        <f t="shared" si="27"/>
        <v>0.83746756387293164</v>
      </c>
      <c r="G62" s="18">
        <f t="shared" si="28"/>
        <v>0.12662393254562343</v>
      </c>
      <c r="H62" s="18">
        <f t="shared" si="29"/>
        <v>4.1721906764499153E-3</v>
      </c>
      <c r="I62" s="18">
        <f t="shared" si="11"/>
        <v>0.12126466687150221</v>
      </c>
      <c r="J62" s="18">
        <f t="shared" si="12"/>
        <v>0.13198319821974466</v>
      </c>
      <c r="K62" s="18">
        <f t="shared" si="13"/>
        <v>0.11974112584770727</v>
      </c>
      <c r="L62" s="18">
        <f t="shared" si="14"/>
        <v>0.13350673924353959</v>
      </c>
      <c r="M62" s="18">
        <f t="shared" si="15"/>
        <v>0.11841916697272763</v>
      </c>
      <c r="N62" s="18">
        <f t="shared" si="16"/>
        <v>0.13482869811851925</v>
      </c>
      <c r="O62" s="18">
        <f t="shared" si="17"/>
        <v>0.11582116798076103</v>
      </c>
      <c r="P62" s="18">
        <f t="shared" si="18"/>
        <v>0.13742669711048583</v>
      </c>
      <c r="Q62" s="18">
        <f t="shared" si="30"/>
        <v>6.1087652067454437E-2</v>
      </c>
      <c r="R62" s="18">
        <f t="shared" si="8"/>
        <v>-1.0279914953532483</v>
      </c>
      <c r="S62" s="18">
        <f t="shared" si="9"/>
        <v>4.2725982155878877E-3</v>
      </c>
      <c r="T62" s="18">
        <f t="shared" si="19"/>
        <v>0.11822171187437162</v>
      </c>
      <c r="U62" s="18">
        <f t="shared" si="20"/>
        <v>0.13502615321687525</v>
      </c>
      <c r="V62" s="40" t="str">
        <f t="shared" si="10"/>
        <v>Y</v>
      </c>
      <c r="W62" s="18">
        <v>2.2895000000000003</v>
      </c>
      <c r="X62" s="18">
        <f t="shared" si="0"/>
        <v>0.92948540191680973</v>
      </c>
      <c r="Y62" s="18">
        <v>0.92948540191680973</v>
      </c>
      <c r="Z62" s="18">
        <v>0.10271805670624974</v>
      </c>
      <c r="AA62" s="18">
        <f t="shared" si="21"/>
        <v>-2.275767357577601</v>
      </c>
      <c r="AB62" s="18">
        <f t="shared" si="22"/>
        <v>-2.6519355255891233</v>
      </c>
      <c r="AC62" s="18">
        <f t="shared" si="23"/>
        <v>-271.02365857416981</v>
      </c>
    </row>
    <row r="63" spans="1:29" x14ac:dyDescent="0.25">
      <c r="A63" s="13" t="str">
        <f t="shared" si="24"/>
        <v/>
      </c>
      <c r="B63" s="30">
        <f>IF(B62=$C$9,$C$6,IF(OR(ISNA(B62),B62=$C$6),NA(),Main!A30))</f>
        <v>29</v>
      </c>
      <c r="C63" s="29">
        <f>IF(ISNA(B63),NA(),IF(B63=$C$6,$C$19,Main!C30))</f>
        <v>0.12049999999999983</v>
      </c>
      <c r="D63" s="19">
        <f t="shared" si="25"/>
        <v>7.901907356948229E-2</v>
      </c>
      <c r="E63" s="18">
        <f t="shared" si="26"/>
        <v>-0.93140238080105531</v>
      </c>
      <c r="F63" s="18">
        <f t="shared" si="27"/>
        <v>0.83746756387293164</v>
      </c>
      <c r="G63" s="18">
        <f t="shared" si="28"/>
        <v>0.12763879827600694</v>
      </c>
      <c r="H63" s="18">
        <f t="shared" si="29"/>
        <v>4.1567645932475391E-3</v>
      </c>
      <c r="I63" s="18">
        <f t="shared" si="11"/>
        <v>0.1222993477265058</v>
      </c>
      <c r="J63" s="18">
        <f t="shared" si="12"/>
        <v>0.13297824882550807</v>
      </c>
      <c r="K63" s="18">
        <f t="shared" si="13"/>
        <v>0.12078143977953258</v>
      </c>
      <c r="L63" s="18">
        <f t="shared" si="14"/>
        <v>0.13449615677248128</v>
      </c>
      <c r="M63" s="18">
        <f t="shared" si="15"/>
        <v>0.11946436865997377</v>
      </c>
      <c r="N63" s="18">
        <f t="shared" si="16"/>
        <v>0.13581322789204012</v>
      </c>
      <c r="O63" s="18">
        <f t="shared" si="17"/>
        <v>0.11687597540075471</v>
      </c>
      <c r="P63" s="18">
        <f t="shared" si="18"/>
        <v>0.13840162115125915</v>
      </c>
      <c r="Q63" s="18">
        <f t="shared" si="30"/>
        <v>6.1087652067454437E-2</v>
      </c>
      <c r="R63" s="18">
        <f t="shared" si="8"/>
        <v>-1.0279914953532483</v>
      </c>
      <c r="S63" s="18">
        <f t="shared" si="9"/>
        <v>4.2725982155878877E-3</v>
      </c>
      <c r="T63" s="18">
        <f t="shared" si="19"/>
        <v>0.11923657760475513</v>
      </c>
      <c r="U63" s="18">
        <f t="shared" si="20"/>
        <v>0.13604101894725876</v>
      </c>
      <c r="V63" s="40" t="str">
        <f t="shared" si="10"/>
        <v>Y</v>
      </c>
      <c r="W63" s="18">
        <v>2.2895000000000003</v>
      </c>
      <c r="X63" s="18">
        <f t="shared" si="0"/>
        <v>0.92948540191680973</v>
      </c>
      <c r="Y63" s="18">
        <v>0.92948540191680973</v>
      </c>
      <c r="Z63" s="18">
        <v>0.10271805670624974</v>
      </c>
      <c r="AA63" s="18">
        <f t="shared" si="21"/>
        <v>-2.275767357577601</v>
      </c>
      <c r="AB63" s="18">
        <f t="shared" si="22"/>
        <v>-2.6519355255891233</v>
      </c>
      <c r="AC63" s="18">
        <f t="shared" si="23"/>
        <v>-280.87906434050325</v>
      </c>
    </row>
    <row r="64" spans="1:29" x14ac:dyDescent="0.25">
      <c r="A64" s="13" t="str">
        <f t="shared" si="24"/>
        <v/>
      </c>
      <c r="B64" s="30">
        <f>IF(B63=$C$9,$C$6,IF(OR(ISNA(B63),B63=$C$6),NA(),Main!A31))</f>
        <v>30</v>
      </c>
      <c r="C64" s="29">
        <f>IF(ISNA(B64),NA(),IF(B64=$C$6,$C$19,Main!C31))</f>
        <v>0.12049999999999983</v>
      </c>
      <c r="D64" s="19">
        <f t="shared" si="25"/>
        <v>8.1743869209809264E-2</v>
      </c>
      <c r="E64" s="18">
        <f t="shared" si="26"/>
        <v>-0.91795513254753835</v>
      </c>
      <c r="F64" s="18">
        <f t="shared" si="27"/>
        <v>0.83746756387293164</v>
      </c>
      <c r="G64" s="18">
        <f t="shared" si="28"/>
        <v>0.12863267002950945</v>
      </c>
      <c r="H64" s="18">
        <f t="shared" si="29"/>
        <v>4.1420023005437692E-3</v>
      </c>
      <c r="I64" s="18">
        <f t="shared" si="11"/>
        <v>0.1233121819519311</v>
      </c>
      <c r="J64" s="18">
        <f t="shared" si="12"/>
        <v>0.13395315810708783</v>
      </c>
      <c r="K64" s="18">
        <f t="shared" si="13"/>
        <v>0.12179966468824242</v>
      </c>
      <c r="L64" s="18">
        <f t="shared" si="14"/>
        <v>0.1354656753707765</v>
      </c>
      <c r="M64" s="18">
        <f t="shared" si="15"/>
        <v>0.12048727100204372</v>
      </c>
      <c r="N64" s="18">
        <f t="shared" si="16"/>
        <v>0.13677806905697518</v>
      </c>
      <c r="O64" s="18">
        <f t="shared" si="17"/>
        <v>0.11790807013706973</v>
      </c>
      <c r="P64" s="18">
        <f t="shared" si="18"/>
        <v>0.13935726992194919</v>
      </c>
      <c r="Q64" s="18">
        <f t="shared" si="30"/>
        <v>6.1087652067454437E-2</v>
      </c>
      <c r="R64" s="18">
        <f t="shared" si="8"/>
        <v>-1.0279914953532483</v>
      </c>
      <c r="S64" s="18">
        <f t="shared" si="9"/>
        <v>4.2725982155878877E-3</v>
      </c>
      <c r="T64" s="18">
        <f t="shared" si="19"/>
        <v>0.12023044935825765</v>
      </c>
      <c r="U64" s="18">
        <f t="shared" si="20"/>
        <v>0.13703489070076127</v>
      </c>
      <c r="V64" s="40" t="str">
        <f t="shared" si="10"/>
        <v>Y</v>
      </c>
      <c r="W64" s="18">
        <v>2.2895000000000003</v>
      </c>
      <c r="X64" s="18">
        <f t="shared" si="0"/>
        <v>0.92948540191680973</v>
      </c>
      <c r="Y64" s="18">
        <v>0.92948540191680973</v>
      </c>
      <c r="Z64" s="18">
        <v>0.10271805670624974</v>
      </c>
      <c r="AA64" s="18">
        <f t="shared" si="21"/>
        <v>-2.275767357577601</v>
      </c>
      <c r="AB64" s="18">
        <f t="shared" si="22"/>
        <v>-2.6519355255891233</v>
      </c>
      <c r="AC64" s="18">
        <f t="shared" si="23"/>
        <v>-290.73447010683668</v>
      </c>
    </row>
    <row r="65" spans="1:29" x14ac:dyDescent="0.25">
      <c r="A65" s="13" t="str">
        <f t="shared" si="24"/>
        <v/>
      </c>
      <c r="B65" s="30">
        <f>IF(B64=$C$9,$C$6,IF(OR(ISNA(B64),B64=$C$6),NA(),Main!A32))</f>
        <v>31</v>
      </c>
      <c r="C65" s="29">
        <f>IF(ISNA(B65),NA(),IF(B65=$C$6,$C$19,Main!C32))</f>
        <v>0.12049999999999983</v>
      </c>
      <c r="D65" s="19">
        <f t="shared" si="25"/>
        <v>8.4468664850136238E-2</v>
      </c>
      <c r="E65" s="18">
        <f t="shared" si="26"/>
        <v>-0.90477453168930655</v>
      </c>
      <c r="F65" s="18">
        <f t="shared" si="27"/>
        <v>0.83746756387293164</v>
      </c>
      <c r="G65" s="18">
        <f t="shared" si="28"/>
        <v>0.12960683415887042</v>
      </c>
      <c r="H65" s="18">
        <f t="shared" si="29"/>
        <v>4.1278672843015731E-3</v>
      </c>
      <c r="I65" s="18">
        <f t="shared" si="11"/>
        <v>0.1243045028035573</v>
      </c>
      <c r="J65" s="18">
        <f t="shared" si="12"/>
        <v>0.13490916551418353</v>
      </c>
      <c r="K65" s="18">
        <f t="shared" si="13"/>
        <v>0.12279714716329072</v>
      </c>
      <c r="L65" s="18">
        <f t="shared" si="14"/>
        <v>0.1364165211544501</v>
      </c>
      <c r="M65" s="18">
        <f t="shared" si="15"/>
        <v>0.12148923215786633</v>
      </c>
      <c r="N65" s="18">
        <f t="shared" si="16"/>
        <v>0.13772443615987451</v>
      </c>
      <c r="O65" s="18">
        <f t="shared" si="17"/>
        <v>0.11891883308571449</v>
      </c>
      <c r="P65" s="18">
        <f t="shared" si="18"/>
        <v>0.14029483523202635</v>
      </c>
      <c r="Q65" s="18">
        <f t="shared" si="30"/>
        <v>6.1087652067454437E-2</v>
      </c>
      <c r="R65" s="18">
        <f t="shared" si="8"/>
        <v>-1.0279914953532483</v>
      </c>
      <c r="S65" s="18">
        <f t="shared" si="9"/>
        <v>4.2725982155878877E-3</v>
      </c>
      <c r="T65" s="18">
        <f t="shared" si="19"/>
        <v>0.12120461348761861</v>
      </c>
      <c r="U65" s="18">
        <f t="shared" si="20"/>
        <v>0.13800905483012224</v>
      </c>
      <c r="V65" s="40" t="str">
        <f t="shared" si="10"/>
        <v>Y</v>
      </c>
      <c r="W65" s="18">
        <v>2.2895000000000003</v>
      </c>
      <c r="X65" s="18">
        <f t="shared" si="0"/>
        <v>0.92948540191680973</v>
      </c>
      <c r="Y65" s="18">
        <v>0.92948540191680973</v>
      </c>
      <c r="Z65" s="18">
        <v>0.10271805670624974</v>
      </c>
      <c r="AA65" s="18">
        <f t="shared" si="21"/>
        <v>-2.275767357577601</v>
      </c>
      <c r="AB65" s="18">
        <f t="shared" si="22"/>
        <v>-2.6519355255891233</v>
      </c>
      <c r="AC65" s="18">
        <f t="shared" si="23"/>
        <v>-300.58987587317017</v>
      </c>
    </row>
    <row r="66" spans="1:29" x14ac:dyDescent="0.25">
      <c r="A66" s="13" t="str">
        <f t="shared" si="24"/>
        <v/>
      </c>
      <c r="B66" s="30">
        <f>IF(B65=$C$9,$C$6,IF(OR(ISNA(B65),B65=$C$6),NA(),Main!A33))</f>
        <v>32</v>
      </c>
      <c r="C66" s="29">
        <f>IF(ISNA(B66),NA(),IF(B66=$C$6,$C$19,Main!C33))</f>
        <v>0.12049999999999983</v>
      </c>
      <c r="D66" s="19">
        <f t="shared" si="25"/>
        <v>8.7193460490463212E-2</v>
      </c>
      <c r="E66" s="18">
        <f t="shared" si="26"/>
        <v>-0.89184472642822787</v>
      </c>
      <c r="F66" s="18">
        <f t="shared" si="27"/>
        <v>0.83746756387293164</v>
      </c>
      <c r="G66" s="18">
        <f t="shared" si="28"/>
        <v>0.13056246225355617</v>
      </c>
      <c r="H66" s="18">
        <f t="shared" si="29"/>
        <v>4.1143263524548212E-3</v>
      </c>
      <c r="I66" s="18">
        <f t="shared" si="11"/>
        <v>0.12527752450674987</v>
      </c>
      <c r="J66" s="18">
        <f t="shared" si="12"/>
        <v>0.13584740000036247</v>
      </c>
      <c r="K66" s="18">
        <f t="shared" si="13"/>
        <v>0.12377511355064773</v>
      </c>
      <c r="L66" s="18">
        <f t="shared" si="14"/>
        <v>0.13734981095646459</v>
      </c>
      <c r="M66" s="18">
        <f t="shared" si="15"/>
        <v>0.12247148899032004</v>
      </c>
      <c r="N66" s="18">
        <f t="shared" si="16"/>
        <v>0.13865343551679229</v>
      </c>
      <c r="O66" s="18">
        <f t="shared" si="17"/>
        <v>0.11990952177807498</v>
      </c>
      <c r="P66" s="18">
        <f t="shared" si="18"/>
        <v>0.14121540272903735</v>
      </c>
      <c r="Q66" s="18">
        <f t="shared" si="30"/>
        <v>6.1087652067454437E-2</v>
      </c>
      <c r="R66" s="18">
        <f t="shared" si="8"/>
        <v>-1.0279914953532483</v>
      </c>
      <c r="S66" s="18">
        <f t="shared" si="9"/>
        <v>4.2725982155878877E-3</v>
      </c>
      <c r="T66" s="18">
        <f t="shared" si="19"/>
        <v>0.12216024158230436</v>
      </c>
      <c r="U66" s="18">
        <f t="shared" si="20"/>
        <v>0.13896468292480799</v>
      </c>
      <c r="V66" s="40" t="str">
        <f t="shared" si="10"/>
        <v>Y</v>
      </c>
      <c r="W66" s="18">
        <v>2.2895000000000003</v>
      </c>
      <c r="X66" s="18">
        <f t="shared" si="0"/>
        <v>0.92948540191680973</v>
      </c>
      <c r="Y66" s="18">
        <v>0.92948540191680973</v>
      </c>
      <c r="Z66" s="18">
        <v>0.10271805670624974</v>
      </c>
      <c r="AA66" s="18">
        <f t="shared" si="21"/>
        <v>-2.275767357577601</v>
      </c>
      <c r="AB66" s="18">
        <f t="shared" si="22"/>
        <v>-2.6519355255891233</v>
      </c>
      <c r="AC66" s="18">
        <f t="shared" si="23"/>
        <v>-310.44528163950361</v>
      </c>
    </row>
    <row r="67" spans="1:29" x14ac:dyDescent="0.25">
      <c r="A67" s="13" t="str">
        <f t="shared" si="24"/>
        <v/>
      </c>
      <c r="B67" s="30">
        <f>IF(B66=$C$9,$C$6,IF(OR(ISNA(B66),B66=$C$6),NA(),Main!A34))</f>
        <v>33</v>
      </c>
      <c r="C67" s="29">
        <f>IF(ISNA(B67),NA(),IF(B67=$C$6,$C$19,Main!C34))</f>
        <v>0.14460000000000006</v>
      </c>
      <c r="D67" s="19">
        <f t="shared" si="25"/>
        <v>8.9918256130790186E-2</v>
      </c>
      <c r="E67" s="18">
        <f t="shared" si="26"/>
        <v>-0.87915123470829337</v>
      </c>
      <c r="F67" s="18">
        <f t="shared" si="27"/>
        <v>1.2892243326620076</v>
      </c>
      <c r="G67" s="18">
        <f t="shared" si="28"/>
        <v>0.13150062466685603</v>
      </c>
      <c r="H67" s="18">
        <f t="shared" si="29"/>
        <v>4.1013492394449376E-3</v>
      </c>
      <c r="I67" s="18">
        <f t="shared" si="11"/>
        <v>0.12623235629153737</v>
      </c>
      <c r="J67" s="18">
        <f t="shared" si="12"/>
        <v>0.13676889304217468</v>
      </c>
      <c r="K67" s="18">
        <f t="shared" si="13"/>
        <v>0.12473468413228664</v>
      </c>
      <c r="L67" s="18">
        <f t="shared" si="14"/>
        <v>0.13826656520142541</v>
      </c>
      <c r="M67" s="18">
        <f t="shared" si="15"/>
        <v>0.12343517137102218</v>
      </c>
      <c r="N67" s="18">
        <f t="shared" si="16"/>
        <v>0.13956607796268988</v>
      </c>
      <c r="O67" s="18">
        <f t="shared" si="17"/>
        <v>0.12088128493195668</v>
      </c>
      <c r="P67" s="18">
        <f t="shared" si="18"/>
        <v>0.14211996440175537</v>
      </c>
      <c r="Q67" s="18">
        <f t="shared" si="30"/>
        <v>0.13297265208219569</v>
      </c>
      <c r="R67" s="18">
        <f t="shared" si="8"/>
        <v>-0.70191453243759838</v>
      </c>
      <c r="S67" s="18">
        <f t="shared" si="9"/>
        <v>3.9544756728749682E-3</v>
      </c>
      <c r="T67" s="18">
        <f t="shared" si="19"/>
        <v>0.12372400361192711</v>
      </c>
      <c r="U67" s="18">
        <f t="shared" si="20"/>
        <v>0.13927724572178493</v>
      </c>
      <c r="V67" s="40" t="str">
        <f t="shared" si="10"/>
        <v>Y</v>
      </c>
      <c r="W67" s="18">
        <v>2.2654000000000001</v>
      </c>
      <c r="X67" s="18">
        <f t="shared" si="0"/>
        <v>0.89370335403291856</v>
      </c>
      <c r="Y67" s="18">
        <v>0.89370335403291856</v>
      </c>
      <c r="Z67" s="18">
        <v>0.10271805670624974</v>
      </c>
      <c r="AA67" s="18">
        <f t="shared" si="21"/>
        <v>-2.275767357577601</v>
      </c>
      <c r="AB67" s="18">
        <f t="shared" si="22"/>
        <v>-2.2415215466524265</v>
      </c>
      <c r="AC67" s="18">
        <f t="shared" si="23"/>
        <v>-293.6237787749518</v>
      </c>
    </row>
    <row r="68" spans="1:29" x14ac:dyDescent="0.25">
      <c r="A68" s="13" t="str">
        <f t="shared" si="24"/>
        <v/>
      </c>
      <c r="B68" s="30">
        <f>IF(B67=$C$9,$C$6,IF(OR(ISNA(B67),B67=$C$6),NA(),Main!A35))</f>
        <v>34</v>
      </c>
      <c r="C68" s="29">
        <f>IF(ISNA(B68),NA(),IF(B68=$C$6,$C$19,Main!C35))</f>
        <v>0.14460000000000006</v>
      </c>
      <c r="D68" s="19">
        <f t="shared" si="25"/>
        <v>9.264305177111716E-2</v>
      </c>
      <c r="E68" s="18">
        <f t="shared" si="26"/>
        <v>-0.8666807876209639</v>
      </c>
      <c r="F68" s="18">
        <f t="shared" si="27"/>
        <v>1.2892243326620076</v>
      </c>
      <c r="G68" s="18">
        <f t="shared" si="28"/>
        <v>0.13242230208962563</v>
      </c>
      <c r="H68" s="18">
        <f t="shared" si="29"/>
        <v>4.0889082683258941E-3</v>
      </c>
      <c r="I68" s="18">
        <f t="shared" si="11"/>
        <v>0.12717001440038811</v>
      </c>
      <c r="J68" s="18">
        <f t="shared" si="12"/>
        <v>0.13767458977886315</v>
      </c>
      <c r="K68" s="18">
        <f t="shared" si="13"/>
        <v>0.12567688525734771</v>
      </c>
      <c r="L68" s="18">
        <f t="shared" si="14"/>
        <v>0.13916771892190355</v>
      </c>
      <c r="M68" s="18">
        <f t="shared" si="15"/>
        <v>0.12438131441855507</v>
      </c>
      <c r="N68" s="18">
        <f t="shared" si="16"/>
        <v>0.14046328976069619</v>
      </c>
      <c r="O68" s="18">
        <f t="shared" si="17"/>
        <v>0.1218351749002161</v>
      </c>
      <c r="P68" s="18">
        <f t="shared" si="18"/>
        <v>0.14300942927903518</v>
      </c>
      <c r="Q68" s="18">
        <f t="shared" si="30"/>
        <v>0.13297265208219569</v>
      </c>
      <c r="R68" s="18">
        <f t="shared" si="8"/>
        <v>-0.70191453243759838</v>
      </c>
      <c r="S68" s="18">
        <f t="shared" si="9"/>
        <v>3.9544756728749682E-3</v>
      </c>
      <c r="T68" s="18">
        <f t="shared" si="19"/>
        <v>0.12464568103469671</v>
      </c>
      <c r="U68" s="18">
        <f t="shared" si="20"/>
        <v>0.14019892314455454</v>
      </c>
      <c r="V68" s="40" t="str">
        <f t="shared" si="10"/>
        <v>Y</v>
      </c>
      <c r="W68" s="18">
        <v>2.2654000000000001</v>
      </c>
      <c r="X68" s="18">
        <f t="shared" si="0"/>
        <v>0.89370335403291856</v>
      </c>
      <c r="Y68" s="18">
        <v>0.89370335403291856</v>
      </c>
      <c r="Z68" s="18">
        <v>0.10271805670624974</v>
      </c>
      <c r="AA68" s="18">
        <f t="shared" si="21"/>
        <v>-2.275767357577601</v>
      </c>
      <c r="AB68" s="18">
        <f t="shared" si="22"/>
        <v>-2.2415215466524265</v>
      </c>
      <c r="AC68" s="18">
        <f t="shared" si="23"/>
        <v>-302.65835658341183</v>
      </c>
    </row>
    <row r="69" spans="1:29" x14ac:dyDescent="0.25">
      <c r="A69" s="13" t="str">
        <f t="shared" si="24"/>
        <v/>
      </c>
      <c r="B69" s="30">
        <f>IF(B68=$C$9,$C$6,IF(OR(ISNA(B68),B68=$C$6),NA(),Main!A36))</f>
        <v>35</v>
      </c>
      <c r="C69" s="29">
        <f>IF(ISNA(B69),NA(),IF(B69=$C$6,$C$19,Main!C36))</f>
        <v>0.14460000000000006</v>
      </c>
      <c r="D69" s="19">
        <f t="shared" si="25"/>
        <v>9.5367847411444148E-2</v>
      </c>
      <c r="E69" s="18">
        <f t="shared" si="26"/>
        <v>-0.85442119476232992</v>
      </c>
      <c r="F69" s="18">
        <f t="shared" si="27"/>
        <v>1.2892243326620076</v>
      </c>
      <c r="G69" s="18">
        <f t="shared" si="28"/>
        <v>0.1333283955015957</v>
      </c>
      <c r="H69" s="18">
        <f t="shared" si="29"/>
        <v>4.0769780606217864E-3</v>
      </c>
      <c r="I69" s="18">
        <f t="shared" si="11"/>
        <v>0.1280914324122128</v>
      </c>
      <c r="J69" s="18">
        <f t="shared" si="12"/>
        <v>0.1385653585909786</v>
      </c>
      <c r="K69" s="18">
        <f t="shared" si="13"/>
        <v>0.12660265977209118</v>
      </c>
      <c r="L69" s="18">
        <f t="shared" si="14"/>
        <v>0.14005413123110022</v>
      </c>
      <c r="M69" s="18">
        <f t="shared" si="15"/>
        <v>0.1253108690203506</v>
      </c>
      <c r="N69" s="18">
        <f t="shared" si="16"/>
        <v>0.14134592198284079</v>
      </c>
      <c r="O69" s="18">
        <f t="shared" si="17"/>
        <v>0.12277215837331516</v>
      </c>
      <c r="P69" s="18">
        <f t="shared" si="18"/>
        <v>0.14388463262987622</v>
      </c>
      <c r="Q69" s="18">
        <f t="shared" si="30"/>
        <v>0.13297265208219569</v>
      </c>
      <c r="R69" s="18">
        <f t="shared" si="8"/>
        <v>-0.70191453243759838</v>
      </c>
      <c r="S69" s="18">
        <f t="shared" si="9"/>
        <v>3.9544756728749682E-3</v>
      </c>
      <c r="T69" s="18">
        <f t="shared" si="19"/>
        <v>0.12555177444666679</v>
      </c>
      <c r="U69" s="18">
        <f t="shared" si="20"/>
        <v>0.1411050165565246</v>
      </c>
      <c r="V69" s="40" t="str">
        <f t="shared" si="10"/>
        <v>Y</v>
      </c>
      <c r="W69" s="18">
        <v>2.2654000000000001</v>
      </c>
      <c r="X69" s="18">
        <f t="shared" si="0"/>
        <v>0.89370335403291856</v>
      </c>
      <c r="Y69" s="18">
        <v>0.89370335403291856</v>
      </c>
      <c r="Z69" s="18">
        <v>0.10271805670624974</v>
      </c>
      <c r="AA69" s="18">
        <f t="shared" si="21"/>
        <v>-2.275767357577601</v>
      </c>
      <c r="AB69" s="18">
        <f t="shared" si="22"/>
        <v>-2.2415215466524265</v>
      </c>
      <c r="AC69" s="18">
        <f t="shared" si="23"/>
        <v>-311.69293439187192</v>
      </c>
    </row>
    <row r="70" spans="1:29" x14ac:dyDescent="0.25">
      <c r="A70" s="13" t="str">
        <f t="shared" si="24"/>
        <v/>
      </c>
      <c r="B70" s="30">
        <f>IF(B69=$C$9,$C$6,IF(OR(ISNA(B69),B69=$C$6),NA(),Main!A37))</f>
        <v>36</v>
      </c>
      <c r="C70" s="29">
        <f>IF(ISNA(B70),NA(),IF(B70=$C$6,$C$19,Main!C37))</f>
        <v>0.14460000000000006</v>
      </c>
      <c r="D70" s="19">
        <f t="shared" si="25"/>
        <v>9.8092643051771122E-2</v>
      </c>
      <c r="E70" s="18">
        <f t="shared" si="26"/>
        <v>-0.84236122792875645</v>
      </c>
      <c r="F70" s="18">
        <f t="shared" si="27"/>
        <v>1.2892243326620076</v>
      </c>
      <c r="G70" s="18">
        <f t="shared" si="28"/>
        <v>0.13421973476730248</v>
      </c>
      <c r="H70" s="18">
        <f t="shared" si="29"/>
        <v>4.0655352860256132E-3</v>
      </c>
      <c r="I70" s="18">
        <f t="shared" si="11"/>
        <v>0.12899747015981211</v>
      </c>
      <c r="J70" s="18">
        <f t="shared" si="12"/>
        <v>0.13944199937479285</v>
      </c>
      <c r="K70" s="18">
        <f t="shared" si="13"/>
        <v>0.12751287602874609</v>
      </c>
      <c r="L70" s="18">
        <f t="shared" si="14"/>
        <v>0.14092659350585887</v>
      </c>
      <c r="M70" s="18">
        <f t="shared" si="15"/>
        <v>0.12622471092084706</v>
      </c>
      <c r="N70" s="18">
        <f t="shared" si="16"/>
        <v>0.1422147586137579</v>
      </c>
      <c r="O70" s="18">
        <f t="shared" si="17"/>
        <v>0.12369312562333939</v>
      </c>
      <c r="P70" s="18">
        <f t="shared" si="18"/>
        <v>0.14474634391126556</v>
      </c>
      <c r="Q70" s="18">
        <f t="shared" si="30"/>
        <v>0.13297265208219569</v>
      </c>
      <c r="R70" s="18">
        <f t="shared" si="8"/>
        <v>-0.70191453243759838</v>
      </c>
      <c r="S70" s="18">
        <f t="shared" si="9"/>
        <v>3.9544756728749682E-3</v>
      </c>
      <c r="T70" s="18">
        <f t="shared" si="19"/>
        <v>0.12644311371237357</v>
      </c>
      <c r="U70" s="18">
        <f t="shared" si="20"/>
        <v>0.14199635582223138</v>
      </c>
      <c r="V70" s="40" t="str">
        <f t="shared" si="10"/>
        <v>Y</v>
      </c>
      <c r="W70" s="18">
        <v>2.2654000000000001</v>
      </c>
      <c r="X70" s="18">
        <f t="shared" si="0"/>
        <v>0.89370335403291856</v>
      </c>
      <c r="Y70" s="18">
        <v>0.89370335403291856</v>
      </c>
      <c r="Z70" s="18">
        <v>0.10271805670624974</v>
      </c>
      <c r="AA70" s="18">
        <f t="shared" si="21"/>
        <v>-2.275767357577601</v>
      </c>
      <c r="AB70" s="18">
        <f t="shared" si="22"/>
        <v>-2.2415215466524265</v>
      </c>
      <c r="AC70" s="18">
        <f t="shared" si="23"/>
        <v>-320.72751220033194</v>
      </c>
    </row>
    <row r="71" spans="1:29" x14ac:dyDescent="0.25">
      <c r="A71" s="13" t="str">
        <f t="shared" si="24"/>
        <v/>
      </c>
      <c r="B71" s="30">
        <f>IF(B70=$C$9,$C$6,IF(OR(ISNA(B70),B70=$C$6),NA(),Main!A38))</f>
        <v>37</v>
      </c>
      <c r="C71" s="29">
        <f>IF(ISNA(B71),NA(),IF(B71=$C$6,$C$19,Main!C38))</f>
        <v>0.14460000000000006</v>
      </c>
      <c r="D71" s="19">
        <f t="shared" si="25"/>
        <v>0.1008174386920981</v>
      </c>
      <c r="E71" s="18">
        <f t="shared" si="26"/>
        <v>-0.83049052021574266</v>
      </c>
      <c r="F71" s="18">
        <f t="shared" si="27"/>
        <v>1.2892243326620076</v>
      </c>
      <c r="G71" s="18">
        <f t="shared" si="28"/>
        <v>0.13509708609358317</v>
      </c>
      <c r="H71" s="18">
        <f t="shared" si="29"/>
        <v>4.0545584455206401E-3</v>
      </c>
      <c r="I71" s="18">
        <f t="shared" si="11"/>
        <v>0.12988892146595726</v>
      </c>
      <c r="J71" s="18">
        <f t="shared" si="12"/>
        <v>0.14030525072120908</v>
      </c>
      <c r="K71" s="18">
        <f t="shared" si="13"/>
        <v>0.12840833570078769</v>
      </c>
      <c r="L71" s="18">
        <f t="shared" si="14"/>
        <v>0.14178583648637866</v>
      </c>
      <c r="M71" s="18">
        <f t="shared" si="15"/>
        <v>0.12712364860548447</v>
      </c>
      <c r="N71" s="18">
        <f t="shared" si="16"/>
        <v>0.14307052358168187</v>
      </c>
      <c r="O71" s="18">
        <f t="shared" si="17"/>
        <v>0.12459889852304207</v>
      </c>
      <c r="P71" s="18">
        <f t="shared" si="18"/>
        <v>0.14559527366412428</v>
      </c>
      <c r="Q71" s="18">
        <f t="shared" si="30"/>
        <v>0.13297265208219569</v>
      </c>
      <c r="R71" s="18">
        <f t="shared" si="8"/>
        <v>-0.70191453243759838</v>
      </c>
      <c r="S71" s="18">
        <f t="shared" si="9"/>
        <v>3.9544756728749682E-3</v>
      </c>
      <c r="T71" s="18">
        <f t="shared" si="19"/>
        <v>0.12732046503865427</v>
      </c>
      <c r="U71" s="18">
        <f t="shared" si="20"/>
        <v>0.14287370714851208</v>
      </c>
      <c r="V71" s="40" t="str">
        <f t="shared" si="10"/>
        <v>Y</v>
      </c>
      <c r="W71" s="18">
        <v>2.2654000000000001</v>
      </c>
      <c r="X71" s="18">
        <f t="shared" si="0"/>
        <v>0.89370335403291856</v>
      </c>
      <c r="Y71" s="18">
        <v>0.89370335403291856</v>
      </c>
      <c r="Z71" s="18">
        <v>0.10271805670624974</v>
      </c>
      <c r="AA71" s="18">
        <f t="shared" si="21"/>
        <v>-2.275767357577601</v>
      </c>
      <c r="AB71" s="18">
        <f t="shared" si="22"/>
        <v>-2.2415215466524265</v>
      </c>
      <c r="AC71" s="18">
        <f t="shared" si="23"/>
        <v>-329.76209000879203</v>
      </c>
    </row>
    <row r="72" spans="1:29" x14ac:dyDescent="0.25">
      <c r="A72" s="13" t="str">
        <f t="shared" si="24"/>
        <v/>
      </c>
      <c r="B72" s="30">
        <f>IF(B71=$C$9,$C$6,IF(OR(ISNA(B71),B71=$C$6),NA(),Main!A39))</f>
        <v>38</v>
      </c>
      <c r="C72" s="29">
        <f>IF(ISNA(B72),NA(),IF(B72=$C$6,$C$19,Main!C39))</f>
        <v>0.14460000000000006</v>
      </c>
      <c r="D72" s="19">
        <f t="shared" si="25"/>
        <v>0.10354223433242507</v>
      </c>
      <c r="E72" s="18">
        <f t="shared" si="26"/>
        <v>-0.81879947812076181</v>
      </c>
      <c r="F72" s="18">
        <f t="shared" si="27"/>
        <v>1.2892243326620076</v>
      </c>
      <c r="G72" s="18">
        <f t="shared" si="28"/>
        <v>0.13596115852596147</v>
      </c>
      <c r="H72" s="18">
        <f t="shared" si="29"/>
        <v>4.0440276826842411E-3</v>
      </c>
      <c r="I72" s="18">
        <f t="shared" si="11"/>
        <v>0.13076652088215965</v>
      </c>
      <c r="J72" s="18">
        <f t="shared" si="12"/>
        <v>0.14115579616976329</v>
      </c>
      <c r="K72" s="18">
        <f t="shared" si="13"/>
        <v>0.1292897805906123</v>
      </c>
      <c r="L72" s="18">
        <f t="shared" si="14"/>
        <v>0.14263253646131063</v>
      </c>
      <c r="M72" s="18">
        <f t="shared" si="15"/>
        <v>0.12800843016816787</v>
      </c>
      <c r="N72" s="18">
        <f t="shared" si="16"/>
        <v>0.14391388688375506</v>
      </c>
      <c r="O72" s="18">
        <f t="shared" si="17"/>
        <v>0.12549023753080776</v>
      </c>
      <c r="P72" s="18">
        <f t="shared" si="18"/>
        <v>0.14643207952111517</v>
      </c>
      <c r="Q72" s="18">
        <f t="shared" si="30"/>
        <v>0.13297265208219569</v>
      </c>
      <c r="R72" s="18">
        <f t="shared" si="8"/>
        <v>-0.70191453243759838</v>
      </c>
      <c r="S72" s="18">
        <f t="shared" si="9"/>
        <v>3.9544756728749682E-3</v>
      </c>
      <c r="T72" s="18">
        <f t="shared" si="19"/>
        <v>0.12818453747103256</v>
      </c>
      <c r="U72" s="18">
        <f t="shared" si="20"/>
        <v>0.14373777958089037</v>
      </c>
      <c r="V72" s="40" t="str">
        <f t="shared" si="10"/>
        <v>Y</v>
      </c>
      <c r="W72" s="18">
        <v>2.2654000000000001</v>
      </c>
      <c r="X72" s="18">
        <f t="shared" si="0"/>
        <v>0.89370335403291856</v>
      </c>
      <c r="Y72" s="18">
        <v>0.89370335403291856</v>
      </c>
      <c r="Z72" s="18">
        <v>0.10271805670624974</v>
      </c>
      <c r="AA72" s="18">
        <f t="shared" si="21"/>
        <v>-2.275767357577601</v>
      </c>
      <c r="AB72" s="18">
        <f t="shared" si="22"/>
        <v>-2.2415215466524265</v>
      </c>
      <c r="AC72" s="18">
        <f t="shared" si="23"/>
        <v>-338.79666781725206</v>
      </c>
    </row>
    <row r="73" spans="1:29" x14ac:dyDescent="0.25">
      <c r="A73" s="13" t="str">
        <f t="shared" si="24"/>
        <v/>
      </c>
      <c r="B73" s="30">
        <f>IF(B72=$C$9,$C$6,IF(OR(ISNA(B72),B72=$C$6),NA(),Main!A40))</f>
        <v>39</v>
      </c>
      <c r="C73" s="29">
        <f>IF(ISNA(B73),NA(),IF(B73=$C$6,$C$19,Main!C40))</f>
        <v>0.14460000000000006</v>
      </c>
      <c r="D73" s="19">
        <f t="shared" si="25"/>
        <v>0.10626702997275204</v>
      </c>
      <c r="E73" s="18">
        <f t="shared" si="26"/>
        <v>-0.80727920467752934</v>
      </c>
      <c r="F73" s="18">
        <f t="shared" si="27"/>
        <v>1.2892243326620076</v>
      </c>
      <c r="G73" s="18">
        <f t="shared" si="28"/>
        <v>0.13681260962971123</v>
      </c>
      <c r="H73" s="18">
        <f t="shared" si="29"/>
        <v>4.0339246188711795E-3</v>
      </c>
      <c r="I73" s="18">
        <f t="shared" si="11"/>
        <v>0.13163094958144511</v>
      </c>
      <c r="J73" s="18">
        <f t="shared" si="12"/>
        <v>0.14199426967797735</v>
      </c>
      <c r="K73" s="18">
        <f t="shared" si="13"/>
        <v>0.13015789858249702</v>
      </c>
      <c r="L73" s="18">
        <f t="shared" si="14"/>
        <v>0.14346732067692544</v>
      </c>
      <c r="M73" s="18">
        <f t="shared" si="15"/>
        <v>0.12887974931644927</v>
      </c>
      <c r="N73" s="18">
        <f t="shared" si="16"/>
        <v>0.14474546994297319</v>
      </c>
      <c r="O73" s="18">
        <f t="shared" si="17"/>
        <v>0.12636784779846447</v>
      </c>
      <c r="P73" s="18">
        <f t="shared" si="18"/>
        <v>0.14725737146095799</v>
      </c>
      <c r="Q73" s="18">
        <f t="shared" si="30"/>
        <v>0.13297265208219569</v>
      </c>
      <c r="R73" s="18">
        <f t="shared" si="8"/>
        <v>-0.70191453243759838</v>
      </c>
      <c r="S73" s="18">
        <f t="shared" si="9"/>
        <v>3.9544756728749682E-3</v>
      </c>
      <c r="T73" s="18">
        <f t="shared" si="19"/>
        <v>0.12903598857478232</v>
      </c>
      <c r="U73" s="18">
        <f t="shared" si="20"/>
        <v>0.14458923068464014</v>
      </c>
      <c r="V73" s="40" t="str">
        <f t="shared" si="10"/>
        <v>Y</v>
      </c>
      <c r="W73" s="18">
        <v>2.2654000000000001</v>
      </c>
      <c r="X73" s="18">
        <f t="shared" si="0"/>
        <v>0.89370335403291856</v>
      </c>
      <c r="Y73" s="18">
        <v>0.89370335403291856</v>
      </c>
      <c r="Z73" s="18">
        <v>0.10271805670624974</v>
      </c>
      <c r="AA73" s="18">
        <f t="shared" si="21"/>
        <v>-2.275767357577601</v>
      </c>
      <c r="AB73" s="18">
        <f t="shared" si="22"/>
        <v>-2.2415215466524265</v>
      </c>
      <c r="AC73" s="18">
        <f t="shared" si="23"/>
        <v>-347.83124562571214</v>
      </c>
    </row>
    <row r="74" spans="1:29" x14ac:dyDescent="0.25">
      <c r="A74" s="13" t="str">
        <f t="shared" si="24"/>
        <v/>
      </c>
      <c r="B74" s="30">
        <f>IF(B73=$C$9,$C$6,IF(OR(ISNA(B73),B73=$C$6),NA(),Main!A41))</f>
        <v>40</v>
      </c>
      <c r="C74" s="29">
        <f>IF(ISNA(B74),NA(),IF(B74=$C$6,$C$19,Main!C41))</f>
        <v>0.14460000000000006</v>
      </c>
      <c r="D74" s="19">
        <f t="shared" si="25"/>
        <v>0.10899182561307902</v>
      </c>
      <c r="E74" s="18">
        <f t="shared" si="26"/>
        <v>-0.79592143199101972</v>
      </c>
      <c r="F74" s="18">
        <f t="shared" si="27"/>
        <v>1.2892243326620076</v>
      </c>
      <c r="G74" s="18">
        <f t="shared" si="28"/>
        <v>0.13765205047612175</v>
      </c>
      <c r="H74" s="18">
        <f t="shared" si="29"/>
        <v>4.0242322087231854E-3</v>
      </c>
      <c r="I74" s="18">
        <f t="shared" si="11"/>
        <v>0.13248284053022005</v>
      </c>
      <c r="J74" s="18">
        <f t="shared" si="12"/>
        <v>0.14282126042202345</v>
      </c>
      <c r="K74" s="18">
        <f t="shared" si="13"/>
        <v>0.13101332886722877</v>
      </c>
      <c r="L74" s="18">
        <f t="shared" si="14"/>
        <v>0.14429077208501473</v>
      </c>
      <c r="M74" s="18">
        <f t="shared" si="15"/>
        <v>0.12973825064193845</v>
      </c>
      <c r="N74" s="18">
        <f t="shared" si="16"/>
        <v>0.14556585031030506</v>
      </c>
      <c r="O74" s="18">
        <f t="shared" si="17"/>
        <v>0.12723238453166796</v>
      </c>
      <c r="P74" s="18">
        <f t="shared" si="18"/>
        <v>0.14807171642057554</v>
      </c>
      <c r="Q74" s="18">
        <f t="shared" si="30"/>
        <v>0.13297265208219569</v>
      </c>
      <c r="R74" s="18">
        <f t="shared" si="8"/>
        <v>-0.70191453243759838</v>
      </c>
      <c r="S74" s="18">
        <f t="shared" si="9"/>
        <v>3.9544756728749682E-3</v>
      </c>
      <c r="T74" s="18">
        <f t="shared" si="19"/>
        <v>0.12987542942119285</v>
      </c>
      <c r="U74" s="18">
        <f t="shared" si="20"/>
        <v>0.14542867153105066</v>
      </c>
      <c r="V74" s="40" t="str">
        <f t="shared" si="10"/>
        <v>Y</v>
      </c>
      <c r="W74" s="18">
        <v>2.2654000000000001</v>
      </c>
      <c r="X74" s="18">
        <f t="shared" si="0"/>
        <v>0.89370335403291856</v>
      </c>
      <c r="Y74" s="18">
        <v>0.89370335403291856</v>
      </c>
      <c r="Z74" s="18">
        <v>0.10271805670624974</v>
      </c>
      <c r="AA74" s="18">
        <f t="shared" si="21"/>
        <v>-2.275767357577601</v>
      </c>
      <c r="AB74" s="18">
        <f t="shared" si="22"/>
        <v>-2.2415215466524265</v>
      </c>
      <c r="AC74" s="18">
        <f t="shared" si="23"/>
        <v>-356.86582343417217</v>
      </c>
    </row>
    <row r="75" spans="1:29" x14ac:dyDescent="0.25">
      <c r="A75" s="13" t="str">
        <f t="shared" si="24"/>
        <v/>
      </c>
      <c r="B75" s="30">
        <f>IF(B74=$C$9,$C$6,IF(OR(ISNA(B74),B74=$C$6),NA(),Main!A42))</f>
        <v>41</v>
      </c>
      <c r="C75" s="29">
        <f>IF(ISNA(B75),NA(),IF(B75=$C$6,$C$19,Main!C42))</f>
        <v>0.14460000000000006</v>
      </c>
      <c r="D75" s="19">
        <f t="shared" si="25"/>
        <v>0.11171662125340599</v>
      </c>
      <c r="E75" s="18">
        <f t="shared" si="26"/>
        <v>-0.78471846181813831</v>
      </c>
      <c r="F75" s="18">
        <f t="shared" si="27"/>
        <v>1.2892243326620076</v>
      </c>
      <c r="G75" s="18">
        <f t="shared" si="28"/>
        <v>0.13848005003411654</v>
      </c>
      <c r="H75" s="18">
        <f t="shared" si="29"/>
        <v>4.0149346130554991E-3</v>
      </c>
      <c r="I75" s="18">
        <f t="shared" si="11"/>
        <v>0.13332278304317013</v>
      </c>
      <c r="J75" s="18">
        <f t="shared" si="12"/>
        <v>0.14363731702506294</v>
      </c>
      <c r="K75" s="18">
        <f t="shared" si="13"/>
        <v>0.13185666654342063</v>
      </c>
      <c r="L75" s="18">
        <f t="shared" si="14"/>
        <v>0.14510343352481245</v>
      </c>
      <c r="M75" s="18">
        <f t="shared" si="15"/>
        <v>0.13058453426189512</v>
      </c>
      <c r="N75" s="18">
        <f t="shared" si="16"/>
        <v>0.14637556580633795</v>
      </c>
      <c r="O75" s="18">
        <f t="shared" si="17"/>
        <v>0.12808445771064661</v>
      </c>
      <c r="P75" s="18">
        <f t="shared" si="18"/>
        <v>0.14887564235758646</v>
      </c>
      <c r="Q75" s="18">
        <f t="shared" si="30"/>
        <v>0.13297265208219569</v>
      </c>
      <c r="R75" s="18">
        <f t="shared" si="8"/>
        <v>-0.70191453243759838</v>
      </c>
      <c r="S75" s="18">
        <f t="shared" si="9"/>
        <v>3.9544756728749682E-3</v>
      </c>
      <c r="T75" s="18">
        <f t="shared" si="19"/>
        <v>0.13070342897918763</v>
      </c>
      <c r="U75" s="18">
        <f t="shared" si="20"/>
        <v>0.14625667108904544</v>
      </c>
      <c r="V75" s="40" t="str">
        <f t="shared" si="10"/>
        <v>Y</v>
      </c>
      <c r="W75" s="18">
        <v>2.2654000000000001</v>
      </c>
      <c r="X75" s="18">
        <f t="shared" si="0"/>
        <v>0.89370335403291856</v>
      </c>
      <c r="Y75" s="18">
        <v>0.89370335403291856</v>
      </c>
      <c r="Z75" s="18">
        <v>0.10271805670624974</v>
      </c>
      <c r="AA75" s="18">
        <f t="shared" si="21"/>
        <v>-2.275767357577601</v>
      </c>
      <c r="AB75" s="18">
        <f t="shared" si="22"/>
        <v>-2.2415215466524265</v>
      </c>
      <c r="AC75" s="18">
        <f t="shared" si="23"/>
        <v>-365.9004012426322</v>
      </c>
    </row>
    <row r="76" spans="1:29" x14ac:dyDescent="0.25">
      <c r="A76" s="13" t="str">
        <f t="shared" si="24"/>
        <v/>
      </c>
      <c r="B76" s="30">
        <f>IF(B75=$C$9,$C$6,IF(OR(ISNA(B75),B75=$C$6),NA(),Main!A43))</f>
        <v>42</v>
      </c>
      <c r="C76" s="29">
        <f>IF(ISNA(B76),NA(),IF(B76=$C$6,$C$19,Main!C43))</f>
        <v>0.14460000000000006</v>
      </c>
      <c r="D76" s="19">
        <f t="shared" si="25"/>
        <v>0.11444141689373297</v>
      </c>
      <c r="E76" s="18">
        <f t="shared" si="26"/>
        <v>-0.77366311306242552</v>
      </c>
      <c r="F76" s="18">
        <f t="shared" si="27"/>
        <v>1.2892243326620076</v>
      </c>
      <c r="G76" s="18">
        <f t="shared" si="28"/>
        <v>0.1392971390508638</v>
      </c>
      <c r="H76" s="18">
        <f t="shared" si="29"/>
        <v>4.0060170866601527E-3</v>
      </c>
      <c r="I76" s="18">
        <f t="shared" si="11"/>
        <v>0.13415132680798977</v>
      </c>
      <c r="J76" s="18">
        <f t="shared" si="12"/>
        <v>0.14444295129373783</v>
      </c>
      <c r="K76" s="18">
        <f t="shared" si="13"/>
        <v>0.13268846668321152</v>
      </c>
      <c r="L76" s="18">
        <f t="shared" si="14"/>
        <v>0.14590581141851608</v>
      </c>
      <c r="M76" s="18">
        <f t="shared" si="15"/>
        <v>0.13141915992047826</v>
      </c>
      <c r="N76" s="18">
        <f t="shared" si="16"/>
        <v>0.14717511818124934</v>
      </c>
      <c r="O76" s="18">
        <f t="shared" si="17"/>
        <v>0.12892463626131515</v>
      </c>
      <c r="P76" s="18">
        <f t="shared" si="18"/>
        <v>0.14966964184041245</v>
      </c>
      <c r="Q76" s="18">
        <f t="shared" si="30"/>
        <v>0.13297265208219569</v>
      </c>
      <c r="R76" s="18">
        <f t="shared" si="8"/>
        <v>-0.70191453243759838</v>
      </c>
      <c r="S76" s="18">
        <f t="shared" si="9"/>
        <v>3.9544756728749682E-3</v>
      </c>
      <c r="T76" s="18">
        <f t="shared" si="19"/>
        <v>0.13152051799593489</v>
      </c>
      <c r="U76" s="18">
        <f t="shared" si="20"/>
        <v>0.14707376010579271</v>
      </c>
      <c r="V76" s="40" t="str">
        <f t="shared" si="10"/>
        <v>Y</v>
      </c>
      <c r="W76" s="18">
        <v>2.2654000000000001</v>
      </c>
      <c r="X76" s="18">
        <f t="shared" si="0"/>
        <v>0.89370335403291856</v>
      </c>
      <c r="Y76" s="18">
        <v>0.89370335403291856</v>
      </c>
      <c r="Z76" s="18">
        <v>0.10271805670624974</v>
      </c>
      <c r="AA76" s="18">
        <f t="shared" si="21"/>
        <v>-2.275767357577601</v>
      </c>
      <c r="AB76" s="18">
        <f t="shared" si="22"/>
        <v>-2.2415215466524265</v>
      </c>
      <c r="AC76" s="18">
        <f t="shared" si="23"/>
        <v>-374.93497905109228</v>
      </c>
    </row>
    <row r="77" spans="1:29" x14ac:dyDescent="0.25">
      <c r="A77" s="13" t="str">
        <f t="shared" si="24"/>
        <v/>
      </c>
      <c r="B77" s="30">
        <f>IF(B76=$C$9,$C$6,IF(OR(ISNA(B76),B76=$C$6),NA(),Main!A44))</f>
        <v>43</v>
      </c>
      <c r="C77" s="29">
        <f>IF(ISNA(B77),NA(),IF(B77=$C$6,$C$19,Main!C44))</f>
        <v>0.14460000000000006</v>
      </c>
      <c r="D77" s="19">
        <f t="shared" si="25"/>
        <v>0.11716621253405994</v>
      </c>
      <c r="E77" s="18">
        <f t="shared" si="26"/>
        <v>-0.76274867523336187</v>
      </c>
      <c r="F77" s="18">
        <f t="shared" si="27"/>
        <v>1.2892243326620076</v>
      </c>
      <c r="G77" s="18">
        <f t="shared" si="28"/>
        <v>0.14010381349154938</v>
      </c>
      <c r="H77" s="18">
        <f t="shared" si="29"/>
        <v>3.9974658789640703E-3</v>
      </c>
      <c r="I77" s="18">
        <f t="shared" si="11"/>
        <v>0.13496898545276184</v>
      </c>
      <c r="J77" s="18">
        <f t="shared" si="12"/>
        <v>0.14523864153033691</v>
      </c>
      <c r="K77" s="18">
        <f t="shared" si="13"/>
        <v>0.13350924793592225</v>
      </c>
      <c r="L77" s="18">
        <f t="shared" si="14"/>
        <v>0.1466983790471765</v>
      </c>
      <c r="M77" s="18">
        <f t="shared" si="15"/>
        <v>0.13224265062387866</v>
      </c>
      <c r="N77" s="18">
        <f t="shared" si="16"/>
        <v>0.1479649763592201</v>
      </c>
      <c r="O77" s="18">
        <f t="shared" si="17"/>
        <v>0.12975345175226657</v>
      </c>
      <c r="P77" s="18">
        <f t="shared" si="18"/>
        <v>0.15045417523083218</v>
      </c>
      <c r="Q77" s="18">
        <f t="shared" si="30"/>
        <v>0.13297265208219569</v>
      </c>
      <c r="R77" s="18">
        <f t="shared" si="8"/>
        <v>-0.70191453243759838</v>
      </c>
      <c r="S77" s="18">
        <f t="shared" si="9"/>
        <v>3.9544756728749682E-3</v>
      </c>
      <c r="T77" s="18">
        <f t="shared" si="19"/>
        <v>0.13232719243662047</v>
      </c>
      <c r="U77" s="18">
        <f t="shared" si="20"/>
        <v>0.14788043454647828</v>
      </c>
      <c r="V77" s="40" t="str">
        <f t="shared" si="10"/>
        <v>Y</v>
      </c>
      <c r="W77" s="18">
        <v>2.2654000000000001</v>
      </c>
      <c r="X77" s="18">
        <f t="shared" si="0"/>
        <v>0.89370335403291856</v>
      </c>
      <c r="Y77" s="18">
        <v>0.89370335403291856</v>
      </c>
      <c r="Z77" s="18">
        <v>0.10271805670624974</v>
      </c>
      <c r="AA77" s="18">
        <f t="shared" si="21"/>
        <v>-2.275767357577601</v>
      </c>
      <c r="AB77" s="18">
        <f t="shared" si="22"/>
        <v>-2.2415215466524265</v>
      </c>
      <c r="AC77" s="18">
        <f t="shared" si="23"/>
        <v>-383.96955685955231</v>
      </c>
    </row>
    <row r="78" spans="1:29" x14ac:dyDescent="0.25">
      <c r="A78" s="13" t="str">
        <f t="shared" si="24"/>
        <v/>
      </c>
      <c r="B78" s="30">
        <f>IF(B77=$C$9,$C$6,IF(OR(ISNA(B77),B77=$C$6),NA(),Main!A45))</f>
        <v>44</v>
      </c>
      <c r="C78" s="29">
        <f>IF(ISNA(B78),NA(),IF(B78=$C$6,$C$19,Main!C45))</f>
        <v>0.14460000000000006</v>
      </c>
      <c r="D78" s="19">
        <f t="shared" si="25"/>
        <v>0.11989100817438691</v>
      </c>
      <c r="E78" s="18">
        <f t="shared" si="26"/>
        <v>-0.75196886707016575</v>
      </c>
      <c r="F78" s="18">
        <f t="shared" si="27"/>
        <v>1.2892243326620076</v>
      </c>
      <c r="G78" s="18">
        <f t="shared" si="28"/>
        <v>0.14090053759744775</v>
      </c>
      <c r="H78" s="18">
        <f t="shared" si="29"/>
        <v>3.9892681458062081E-3</v>
      </c>
      <c r="I78" s="18">
        <f t="shared" si="11"/>
        <v>0.13577623971735275</v>
      </c>
      <c r="J78" s="18">
        <f t="shared" si="12"/>
        <v>0.14602483547754275</v>
      </c>
      <c r="K78" s="18">
        <f t="shared" si="13"/>
        <v>0.13431949573166663</v>
      </c>
      <c r="L78" s="18">
        <f t="shared" si="14"/>
        <v>0.14748157946322887</v>
      </c>
      <c r="M78" s="18">
        <f t="shared" si="15"/>
        <v>0.13305549587188328</v>
      </c>
      <c r="N78" s="18">
        <f t="shared" si="16"/>
        <v>0.14874557932301222</v>
      </c>
      <c r="O78" s="18">
        <f t="shared" si="17"/>
        <v>0.13057140168127265</v>
      </c>
      <c r="P78" s="18">
        <f t="shared" si="18"/>
        <v>0.15122967351362285</v>
      </c>
      <c r="Q78" s="18">
        <f t="shared" si="30"/>
        <v>0.13297265208219569</v>
      </c>
      <c r="R78" s="18">
        <f t="shared" si="8"/>
        <v>-0.70191453243759838</v>
      </c>
      <c r="S78" s="18">
        <f t="shared" si="9"/>
        <v>3.9544756728749682E-3</v>
      </c>
      <c r="T78" s="18">
        <f t="shared" si="19"/>
        <v>0.13312391654251884</v>
      </c>
      <c r="U78" s="18">
        <f t="shared" si="20"/>
        <v>0.14867715865237666</v>
      </c>
      <c r="V78" s="40" t="str">
        <f t="shared" si="10"/>
        <v>Y</v>
      </c>
      <c r="W78" s="18">
        <v>2.2654000000000001</v>
      </c>
      <c r="X78" s="18">
        <f t="shared" si="0"/>
        <v>0.89370335403291856</v>
      </c>
      <c r="Y78" s="18">
        <v>0.89370335403291856</v>
      </c>
      <c r="Z78" s="18">
        <v>0.10271805670624974</v>
      </c>
      <c r="AA78" s="18">
        <f t="shared" si="21"/>
        <v>-2.275767357577601</v>
      </c>
      <c r="AB78" s="18">
        <f t="shared" si="22"/>
        <v>-2.2415215466524265</v>
      </c>
      <c r="AC78" s="18">
        <f t="shared" si="23"/>
        <v>-393.0041346680124</v>
      </c>
    </row>
    <row r="79" spans="1:29" x14ac:dyDescent="0.25">
      <c r="A79" s="13" t="str">
        <f t="shared" si="24"/>
        <v/>
      </c>
      <c r="B79" s="30">
        <f>IF(B78=$C$9,$C$6,IF(OR(ISNA(B78),B78=$C$6),NA(),Main!A46))</f>
        <v>45</v>
      </c>
      <c r="C79" s="29">
        <f>IF(ISNA(B79),NA(),IF(B79=$C$6,$C$19,Main!C46))</f>
        <v>0.14460000000000006</v>
      </c>
      <c r="D79" s="19">
        <f t="shared" si="25"/>
        <v>0.1226158038147139</v>
      </c>
      <c r="E79" s="18">
        <f t="shared" si="26"/>
        <v>-0.74131779965297839</v>
      </c>
      <c r="F79" s="18">
        <f t="shared" si="27"/>
        <v>1.2892243326620076</v>
      </c>
      <c r="G79" s="18">
        <f t="shared" si="28"/>
        <v>0.14168774661233491</v>
      </c>
      <c r="H79" s="18">
        <f t="shared" si="29"/>
        <v>3.9814118708662556E-3</v>
      </c>
      <c r="I79" s="18">
        <f t="shared" si="11"/>
        <v>0.13657354028075178</v>
      </c>
      <c r="J79" s="18">
        <f t="shared" si="12"/>
        <v>0.14680195294391804</v>
      </c>
      <c r="K79" s="18">
        <f t="shared" si="13"/>
        <v>0.13511966513738219</v>
      </c>
      <c r="L79" s="18">
        <f t="shared" si="14"/>
        <v>0.14825582808728763</v>
      </c>
      <c r="M79" s="18">
        <f t="shared" si="15"/>
        <v>0.13385815453880154</v>
      </c>
      <c r="N79" s="18">
        <f t="shared" si="16"/>
        <v>0.14951733868586828</v>
      </c>
      <c r="O79" s="18">
        <f t="shared" si="17"/>
        <v>0.13137895240513592</v>
      </c>
      <c r="P79" s="18">
        <f t="shared" si="18"/>
        <v>0.1519965408195339</v>
      </c>
      <c r="Q79" s="18">
        <f t="shared" si="30"/>
        <v>0.13297265208219569</v>
      </c>
      <c r="R79" s="18">
        <f t="shared" si="8"/>
        <v>-0.70191453243759838</v>
      </c>
      <c r="S79" s="18">
        <f t="shared" si="9"/>
        <v>3.9544756728749682E-3</v>
      </c>
      <c r="T79" s="18">
        <f t="shared" si="19"/>
        <v>0.133911125557406</v>
      </c>
      <c r="U79" s="18">
        <f t="shared" si="20"/>
        <v>0.14946436766726381</v>
      </c>
      <c r="V79" s="40" t="str">
        <f t="shared" si="10"/>
        <v>Y</v>
      </c>
      <c r="W79" s="18">
        <v>2.2654000000000001</v>
      </c>
      <c r="X79" s="18">
        <f t="shared" si="0"/>
        <v>0.89370335403291856</v>
      </c>
      <c r="Y79" s="18">
        <v>0.89370335403291856</v>
      </c>
      <c r="Z79" s="18">
        <v>0.10271805670624974</v>
      </c>
      <c r="AA79" s="18">
        <f t="shared" si="21"/>
        <v>-2.275767357577601</v>
      </c>
      <c r="AB79" s="18">
        <f t="shared" si="22"/>
        <v>-2.2415215466524265</v>
      </c>
      <c r="AC79" s="18">
        <f t="shared" si="23"/>
        <v>-402.03871247647243</v>
      </c>
    </row>
    <row r="80" spans="1:29" x14ac:dyDescent="0.25">
      <c r="A80" s="13" t="str">
        <f t="shared" si="24"/>
        <v/>
      </c>
      <c r="B80" s="30">
        <f>IF(B79=$C$9,$C$6,IF(OR(ISNA(B79),B79=$C$6),NA(),Main!A47))</f>
        <v>46</v>
      </c>
      <c r="C80" s="29">
        <f>IF(ISNA(B80),NA(),IF(B80=$C$6,$C$19,Main!C47))</f>
        <v>0.14460000000000006</v>
      </c>
      <c r="D80" s="19">
        <f t="shared" si="25"/>
        <v>0.12534059945504086</v>
      </c>
      <c r="E80" s="18">
        <f t="shared" si="26"/>
        <v>-0.73078994342610726</v>
      </c>
      <c r="F80" s="18">
        <f t="shared" si="27"/>
        <v>1.2892243326620076</v>
      </c>
      <c r="G80" s="18">
        <f t="shared" si="28"/>
        <v>0.14246584921976513</v>
      </c>
      <c r="H80" s="18">
        <f t="shared" si="29"/>
        <v>3.9738857954993156E-3</v>
      </c>
      <c r="I80" s="18">
        <f t="shared" si="11"/>
        <v>0.13736131028847665</v>
      </c>
      <c r="J80" s="18">
        <f t="shared" si="12"/>
        <v>0.14757038815105361</v>
      </c>
      <c r="K80" s="18">
        <f t="shared" si="13"/>
        <v>0.13591018340985786</v>
      </c>
      <c r="L80" s="18">
        <f t="shared" si="14"/>
        <v>0.1490215150296724</v>
      </c>
      <c r="M80" s="18">
        <f t="shared" si="15"/>
        <v>0.13465105744872469</v>
      </c>
      <c r="N80" s="18">
        <f t="shared" si="16"/>
        <v>0.15028064099080557</v>
      </c>
      <c r="O80" s="18">
        <f t="shared" si="17"/>
        <v>0.13217654175864066</v>
      </c>
      <c r="P80" s="18">
        <f t="shared" si="18"/>
        <v>0.1527551566808896</v>
      </c>
      <c r="Q80" s="18">
        <f t="shared" si="30"/>
        <v>0.13297265208219569</v>
      </c>
      <c r="R80" s="18">
        <f t="shared" si="8"/>
        <v>-0.70191453243759838</v>
      </c>
      <c r="S80" s="18">
        <f t="shared" si="9"/>
        <v>3.9544756728749682E-3</v>
      </c>
      <c r="T80" s="18">
        <f t="shared" si="19"/>
        <v>0.13468922816483622</v>
      </c>
      <c r="U80" s="18">
        <f t="shared" si="20"/>
        <v>0.15024247027469403</v>
      </c>
      <c r="V80" s="40" t="str">
        <f t="shared" si="10"/>
        <v>Y</v>
      </c>
      <c r="W80" s="18">
        <v>2.2654000000000001</v>
      </c>
      <c r="X80" s="18">
        <f t="shared" si="0"/>
        <v>0.89370335403291856</v>
      </c>
      <c r="Y80" s="18">
        <v>0.89370335403291856</v>
      </c>
      <c r="Z80" s="18">
        <v>0.10271805670624974</v>
      </c>
      <c r="AA80" s="18">
        <f t="shared" si="21"/>
        <v>-2.275767357577601</v>
      </c>
      <c r="AB80" s="18">
        <f t="shared" si="22"/>
        <v>-2.2415215466524265</v>
      </c>
      <c r="AC80" s="18">
        <f t="shared" si="23"/>
        <v>-411.07329028493251</v>
      </c>
    </row>
    <row r="81" spans="1:29" x14ac:dyDescent="0.25">
      <c r="A81" s="13" t="str">
        <f t="shared" si="24"/>
        <v/>
      </c>
      <c r="B81" s="30">
        <f>IF(B80=$C$9,$C$6,IF(OR(ISNA(B80),B80=$C$6),NA(),Main!A48))</f>
        <v>47</v>
      </c>
      <c r="C81" s="29">
        <f>IF(ISNA(B81),NA(),IF(B81=$C$6,$C$19,Main!C48))</f>
        <v>0.14460000000000006</v>
      </c>
      <c r="D81" s="19">
        <f t="shared" si="25"/>
        <v>0.12806539509536785</v>
      </c>
      <c r="E81" s="18">
        <f t="shared" si="26"/>
        <v>-0.72038009864262165</v>
      </c>
      <c r="F81" s="18">
        <f t="shared" si="27"/>
        <v>1.2892243326620076</v>
      </c>
      <c r="G81" s="18">
        <f t="shared" si="28"/>
        <v>0.14323522972747951</v>
      </c>
      <c r="H81" s="18">
        <f t="shared" si="29"/>
        <v>3.9666793559151696E-3</v>
      </c>
      <c r="I81" s="18">
        <f t="shared" si="11"/>
        <v>0.13813994761767667</v>
      </c>
      <c r="J81" s="18">
        <f t="shared" si="12"/>
        <v>0.14833051183728235</v>
      </c>
      <c r="K81" s="18">
        <f t="shared" si="13"/>
        <v>0.13669145228377705</v>
      </c>
      <c r="L81" s="18">
        <f t="shared" si="14"/>
        <v>0.14977900717118198</v>
      </c>
      <c r="M81" s="18">
        <f t="shared" si="15"/>
        <v>0.13543460968347373</v>
      </c>
      <c r="N81" s="18">
        <f t="shared" si="16"/>
        <v>0.15103584977148529</v>
      </c>
      <c r="O81" s="18">
        <f t="shared" si="17"/>
        <v>0.1329645814016189</v>
      </c>
      <c r="P81" s="18">
        <f t="shared" si="18"/>
        <v>0.15350587805334012</v>
      </c>
      <c r="Q81" s="18">
        <f t="shared" si="30"/>
        <v>0.13297265208219569</v>
      </c>
      <c r="R81" s="18">
        <f t="shared" si="8"/>
        <v>-0.70191453243759838</v>
      </c>
      <c r="S81" s="18">
        <f t="shared" si="9"/>
        <v>3.9544756728749682E-3</v>
      </c>
      <c r="T81" s="18">
        <f t="shared" si="19"/>
        <v>0.13545860867255061</v>
      </c>
      <c r="U81" s="18">
        <f t="shared" si="20"/>
        <v>0.15101185078240842</v>
      </c>
      <c r="V81" s="40" t="str">
        <f t="shared" si="10"/>
        <v>Y</v>
      </c>
      <c r="W81" s="18">
        <v>2.2654000000000001</v>
      </c>
      <c r="X81" s="18">
        <f t="shared" si="0"/>
        <v>0.89370335403291856</v>
      </c>
      <c r="Y81" s="18">
        <v>0.89370335403291856</v>
      </c>
      <c r="Z81" s="18">
        <v>0.10271805670624974</v>
      </c>
      <c r="AA81" s="18">
        <f t="shared" si="21"/>
        <v>-2.275767357577601</v>
      </c>
      <c r="AB81" s="18">
        <f t="shared" si="22"/>
        <v>-2.2415215466524265</v>
      </c>
      <c r="AC81" s="18">
        <f t="shared" si="23"/>
        <v>-420.10786809339254</v>
      </c>
    </row>
    <row r="82" spans="1:29" x14ac:dyDescent="0.25">
      <c r="A82" s="13" t="str">
        <f t="shared" si="24"/>
        <v/>
      </c>
      <c r="B82" s="30">
        <f>IF(B81=$C$9,$C$6,IF(OR(ISNA(B81),B81=$C$6),NA(),Main!A49))</f>
        <v>48</v>
      </c>
      <c r="C82" s="29">
        <f>IF(ISNA(B82),NA(),IF(B82=$C$6,$C$19,Main!C49))</f>
        <v>0.14460000000000006</v>
      </c>
      <c r="D82" s="19">
        <f t="shared" si="25"/>
        <v>0.13079019073569481</v>
      </c>
      <c r="E82" s="18">
        <f t="shared" si="26"/>
        <v>-0.71008336881022838</v>
      </c>
      <c r="F82" s="18">
        <f t="shared" si="27"/>
        <v>1.2892243326620076</v>
      </c>
      <c r="G82" s="18">
        <f t="shared" si="28"/>
        <v>0.14399625002999278</v>
      </c>
      <c r="H82" s="18">
        <f t="shared" si="29"/>
        <v>3.959782626794423E-3</v>
      </c>
      <c r="I82" s="18">
        <f t="shared" si="11"/>
        <v>0.13890982691214568</v>
      </c>
      <c r="J82" s="18">
        <f t="shared" si="12"/>
        <v>0.14908267314783988</v>
      </c>
      <c r="K82" s="18">
        <f t="shared" si="13"/>
        <v>0.13746385002732001</v>
      </c>
      <c r="L82" s="18">
        <f t="shared" si="14"/>
        <v>0.15052865003266555</v>
      </c>
      <c r="M82" s="18">
        <f t="shared" si="15"/>
        <v>0.13620919265606699</v>
      </c>
      <c r="N82" s="18">
        <f t="shared" si="16"/>
        <v>0.15178330740391857</v>
      </c>
      <c r="O82" s="18">
        <f t="shared" si="17"/>
        <v>0.13374345892752793</v>
      </c>
      <c r="P82" s="18">
        <f t="shared" si="18"/>
        <v>0.15424904113245763</v>
      </c>
      <c r="Q82" s="18">
        <f t="shared" si="30"/>
        <v>0.13297265208219569</v>
      </c>
      <c r="R82" s="18">
        <f t="shared" si="8"/>
        <v>-0.70191453243759838</v>
      </c>
      <c r="S82" s="18">
        <f t="shared" si="9"/>
        <v>3.9544756728749682E-3</v>
      </c>
      <c r="T82" s="18">
        <f t="shared" si="19"/>
        <v>0.13621962897506387</v>
      </c>
      <c r="U82" s="18">
        <f t="shared" si="20"/>
        <v>0.15177287108492168</v>
      </c>
      <c r="V82" s="40" t="str">
        <f t="shared" si="10"/>
        <v>Y</v>
      </c>
      <c r="W82" s="18">
        <v>2.2654000000000001</v>
      </c>
      <c r="X82" s="18">
        <f t="shared" si="0"/>
        <v>0.89370335403291856</v>
      </c>
      <c r="Y82" s="18">
        <v>0.89370335403291856</v>
      </c>
      <c r="Z82" s="18">
        <v>0.10271805670624974</v>
      </c>
      <c r="AA82" s="18">
        <f t="shared" si="21"/>
        <v>-2.275767357577601</v>
      </c>
      <c r="AB82" s="18">
        <f t="shared" si="22"/>
        <v>-2.2415215466524265</v>
      </c>
      <c r="AC82" s="18">
        <f t="shared" si="23"/>
        <v>-429.14244590185262</v>
      </c>
    </row>
    <row r="83" spans="1:29" x14ac:dyDescent="0.25">
      <c r="A83" s="13" t="str">
        <f t="shared" si="24"/>
        <v/>
      </c>
      <c r="B83" s="30">
        <f>IF(B82=$C$9,$C$6,IF(OR(ISNA(B82),B82=$C$6),NA(),Main!A50))</f>
        <v>49</v>
      </c>
      <c r="C83" s="29">
        <f>IF(ISNA(B83),NA(),IF(B83=$C$6,$C$19,Main!C50))</f>
        <v>0.14460000000000006</v>
      </c>
      <c r="D83" s="19">
        <f t="shared" si="25"/>
        <v>0.1335149863760218</v>
      </c>
      <c r="E83" s="18">
        <f t="shared" si="26"/>
        <v>-0.6998951367775833</v>
      </c>
      <c r="F83" s="18">
        <f t="shared" si="27"/>
        <v>1.2892243326620076</v>
      </c>
      <c r="G83" s="18">
        <f t="shared" si="28"/>
        <v>0.14474925137602859</v>
      </c>
      <c r="H83" s="18">
        <f t="shared" si="29"/>
        <v>3.9531862705625264E-3</v>
      </c>
      <c r="I83" s="18">
        <f t="shared" si="11"/>
        <v>0.13967130141491602</v>
      </c>
      <c r="J83" s="18">
        <f t="shared" si="12"/>
        <v>0.14982720133714117</v>
      </c>
      <c r="K83" s="18">
        <f t="shared" si="13"/>
        <v>0.13822773329328125</v>
      </c>
      <c r="L83" s="18">
        <f t="shared" si="14"/>
        <v>0.15127076945877593</v>
      </c>
      <c r="M83" s="18">
        <f t="shared" si="15"/>
        <v>0.13697516597791001</v>
      </c>
      <c r="N83" s="18">
        <f t="shared" si="16"/>
        <v>0.15252333677414717</v>
      </c>
      <c r="O83" s="18">
        <f t="shared" si="17"/>
        <v>0.13451353976222694</v>
      </c>
      <c r="P83" s="18">
        <f t="shared" si="18"/>
        <v>0.15498496298983025</v>
      </c>
      <c r="Q83" s="18">
        <f t="shared" si="30"/>
        <v>0.13297265208219569</v>
      </c>
      <c r="R83" s="18">
        <f t="shared" si="8"/>
        <v>-0.70191453243759838</v>
      </c>
      <c r="S83" s="18">
        <f t="shared" si="9"/>
        <v>3.9544756728749682E-3</v>
      </c>
      <c r="T83" s="18">
        <f t="shared" si="19"/>
        <v>0.13697263032109969</v>
      </c>
      <c r="U83" s="18">
        <f t="shared" si="20"/>
        <v>0.1525258724309575</v>
      </c>
      <c r="V83" s="40" t="str">
        <f t="shared" si="10"/>
        <v>Y</v>
      </c>
      <c r="W83" s="18">
        <v>2.2654000000000001</v>
      </c>
      <c r="X83" s="18">
        <f t="shared" si="0"/>
        <v>0.89370335403291856</v>
      </c>
      <c r="Y83" s="18">
        <v>0.89370335403291856</v>
      </c>
      <c r="Z83" s="18">
        <v>0.10271805670624974</v>
      </c>
      <c r="AA83" s="18">
        <f t="shared" si="21"/>
        <v>-2.275767357577601</v>
      </c>
      <c r="AB83" s="18">
        <f t="shared" si="22"/>
        <v>-2.2415215466524265</v>
      </c>
      <c r="AC83" s="18">
        <f t="shared" si="23"/>
        <v>-438.17702371031265</v>
      </c>
    </row>
    <row r="84" spans="1:29" x14ac:dyDescent="0.25">
      <c r="A84" s="13" t="str">
        <f t="shared" si="24"/>
        <v/>
      </c>
      <c r="B84" s="30">
        <f>IF(B83=$C$9,$C$6,IF(OR(ISNA(B83),B83=$C$6),NA(),Main!A51))</f>
        <v>50</v>
      </c>
      <c r="C84" s="29">
        <f>IF(ISNA(B84),NA(),IF(B84=$C$6,$C$19,Main!C51))</f>
        <v>0.14460000000000006</v>
      </c>
      <c r="D84" s="19">
        <f t="shared" si="25"/>
        <v>0.13623978201634879</v>
      </c>
      <c r="E84" s="18">
        <f t="shared" si="26"/>
        <v>-0.68981104315002129</v>
      </c>
      <c r="F84" s="18">
        <f t="shared" si="27"/>
        <v>1.2892243326620076</v>
      </c>
      <c r="G84" s="18">
        <f t="shared" si="28"/>
        <v>0.14549455596378971</v>
      </c>
      <c r="H84" s="18">
        <f t="shared" si="29"/>
        <v>3.9468814916508426E-3</v>
      </c>
      <c r="I84" s="18">
        <f t="shared" si="11"/>
        <v>0.14042470462228124</v>
      </c>
      <c r="J84" s="18">
        <f t="shared" si="12"/>
        <v>0.15056440730529819</v>
      </c>
      <c r="K84" s="18">
        <f t="shared" si="13"/>
        <v>0.13898343878979449</v>
      </c>
      <c r="L84" s="18">
        <f t="shared" si="14"/>
        <v>0.15200567313778493</v>
      </c>
      <c r="M84" s="18">
        <f t="shared" si="15"/>
        <v>0.13773286914401303</v>
      </c>
      <c r="N84" s="18">
        <f t="shared" si="16"/>
        <v>0.15325624278356639</v>
      </c>
      <c r="O84" s="18">
        <f t="shared" si="17"/>
        <v>0.13527516887767582</v>
      </c>
      <c r="P84" s="18">
        <f t="shared" si="18"/>
        <v>0.1557139430499036</v>
      </c>
      <c r="Q84" s="18">
        <f t="shared" si="30"/>
        <v>0.13297265208219569</v>
      </c>
      <c r="R84" s="18">
        <f t="shared" si="8"/>
        <v>-0.70191453243759838</v>
      </c>
      <c r="S84" s="18">
        <f t="shared" si="9"/>
        <v>3.9544756728749682E-3</v>
      </c>
      <c r="T84" s="18">
        <f t="shared" si="19"/>
        <v>0.13771793490886081</v>
      </c>
      <c r="U84" s="18">
        <f t="shared" si="20"/>
        <v>0.15327117701871862</v>
      </c>
      <c r="V84" s="40" t="str">
        <f t="shared" si="10"/>
        <v>Y</v>
      </c>
      <c r="W84" s="18">
        <v>2.2654000000000001</v>
      </c>
      <c r="X84" s="18">
        <f t="shared" si="0"/>
        <v>0.89370335403291856</v>
      </c>
      <c r="Y84" s="18">
        <v>0.89370335403291856</v>
      </c>
      <c r="Z84" s="18">
        <v>0.10271805670624974</v>
      </c>
      <c r="AA84" s="18">
        <f t="shared" si="21"/>
        <v>-2.275767357577601</v>
      </c>
      <c r="AB84" s="18">
        <f t="shared" si="22"/>
        <v>-2.2415215466524265</v>
      </c>
      <c r="AC84" s="18">
        <f t="shared" si="23"/>
        <v>-447.21160151877274</v>
      </c>
    </row>
    <row r="85" spans="1:29" x14ac:dyDescent="0.25">
      <c r="A85" s="13" t="str">
        <f t="shared" si="24"/>
        <v/>
      </c>
      <c r="B85" s="30">
        <f>IF(B84=$C$9,$C$6,IF(OR(ISNA(B84),B84=$C$6),NA(),Main!A52))</f>
        <v>51</v>
      </c>
      <c r="C85" s="29">
        <f>IF(ISNA(B85),NA(),IF(B85=$C$6,$C$19,Main!C52))</f>
        <v>0.14460000000000006</v>
      </c>
      <c r="D85" s="19">
        <f t="shared" si="25"/>
        <v>0.13896457765667575</v>
      </c>
      <c r="E85" s="18">
        <f t="shared" si="26"/>
        <v>-0.67982696676579046</v>
      </c>
      <c r="F85" s="18">
        <f t="shared" si="27"/>
        <v>1.2892243326620076</v>
      </c>
      <c r="G85" s="18">
        <f t="shared" si="28"/>
        <v>0.14623246838393883</v>
      </c>
      <c r="H85" s="18">
        <f t="shared" si="29"/>
        <v>3.9408599951652901E-3</v>
      </c>
      <c r="I85" s="18">
        <f t="shared" si="11"/>
        <v>0.14117035177986795</v>
      </c>
      <c r="J85" s="18">
        <f t="shared" si="12"/>
        <v>0.15129458498800971</v>
      </c>
      <c r="K85" s="18">
        <f t="shared" si="13"/>
        <v>0.13973128479149735</v>
      </c>
      <c r="L85" s="18">
        <f t="shared" si="14"/>
        <v>0.15273365197638031</v>
      </c>
      <c r="M85" s="18">
        <f t="shared" si="15"/>
        <v>0.13848262305725134</v>
      </c>
      <c r="N85" s="18">
        <f t="shared" si="16"/>
        <v>0.15398231371062632</v>
      </c>
      <c r="O85" s="18">
        <f t="shared" si="17"/>
        <v>0.13602867234193247</v>
      </c>
      <c r="P85" s="18">
        <f t="shared" si="18"/>
        <v>0.15643626442594519</v>
      </c>
      <c r="Q85" s="18">
        <f t="shared" si="30"/>
        <v>0.13297265208219569</v>
      </c>
      <c r="R85" s="18">
        <f t="shared" si="8"/>
        <v>-0.70191453243759838</v>
      </c>
      <c r="S85" s="18">
        <f t="shared" si="9"/>
        <v>3.9544756728749682E-3</v>
      </c>
      <c r="T85" s="18">
        <f t="shared" si="19"/>
        <v>0.13845584732900992</v>
      </c>
      <c r="U85" s="18">
        <f t="shared" si="20"/>
        <v>0.15400908943886774</v>
      </c>
      <c r="V85" s="40" t="str">
        <f t="shared" si="10"/>
        <v>Y</v>
      </c>
      <c r="W85" s="18">
        <v>2.2654000000000001</v>
      </c>
      <c r="X85" s="18">
        <f t="shared" si="0"/>
        <v>0.89370335403291856</v>
      </c>
      <c r="Y85" s="18">
        <v>0.89370335403291856</v>
      </c>
      <c r="Z85" s="18">
        <v>0.10271805670624974</v>
      </c>
      <c r="AA85" s="18">
        <f t="shared" si="21"/>
        <v>-2.275767357577601</v>
      </c>
      <c r="AB85" s="18">
        <f t="shared" si="22"/>
        <v>-2.2415215466524265</v>
      </c>
      <c r="AC85" s="18">
        <f t="shared" si="23"/>
        <v>-456.24617932723277</v>
      </c>
    </row>
    <row r="86" spans="1:29" x14ac:dyDescent="0.25">
      <c r="A86" s="13" t="str">
        <f t="shared" si="24"/>
        <v/>
      </c>
      <c r="B86" s="30">
        <f>IF(B85=$C$9,$C$6,IF(OR(ISNA(B85),B85=$C$6),NA(),Main!A53))</f>
        <v>52</v>
      </c>
      <c r="C86" s="29">
        <f>IF(ISNA(B86),NA(),IF(B86=$C$6,$C$19,Main!C53))</f>
        <v>0.14460000000000006</v>
      </c>
      <c r="D86" s="19">
        <f t="shared" si="25"/>
        <v>0.14168937329700274</v>
      </c>
      <c r="E86" s="18">
        <f t="shared" si="26"/>
        <v>-0.66993900699956543</v>
      </c>
      <c r="F86" s="18">
        <f t="shared" si="27"/>
        <v>1.2892243326620076</v>
      </c>
      <c r="G86" s="18">
        <f t="shared" si="28"/>
        <v>0.14696327692752698</v>
      </c>
      <c r="H86" s="18">
        <f t="shared" si="29"/>
        <v>3.9351139494604049E-3</v>
      </c>
      <c r="I86" s="18">
        <f t="shared" si="11"/>
        <v>0.14190854123863858</v>
      </c>
      <c r="J86" s="18">
        <f t="shared" si="12"/>
        <v>0.15201801261641537</v>
      </c>
      <c r="K86" s="18">
        <f t="shared" si="13"/>
        <v>0.14047157250920075</v>
      </c>
      <c r="L86" s="18">
        <f t="shared" si="14"/>
        <v>0.1534549813458532</v>
      </c>
      <c r="M86" s="18">
        <f t="shared" si="15"/>
        <v>0.13922473140989322</v>
      </c>
      <c r="N86" s="18">
        <f t="shared" si="16"/>
        <v>0.15470182244516073</v>
      </c>
      <c r="O86" s="18">
        <f t="shared" si="17"/>
        <v>0.1367743587239855</v>
      </c>
      <c r="P86" s="18">
        <f t="shared" si="18"/>
        <v>0.15715219513106846</v>
      </c>
      <c r="Q86" s="18">
        <f t="shared" si="30"/>
        <v>0.13297265208219569</v>
      </c>
      <c r="R86" s="18">
        <f t="shared" si="8"/>
        <v>-0.70191453243759838</v>
      </c>
      <c r="S86" s="18">
        <f t="shared" si="9"/>
        <v>3.9544756728749682E-3</v>
      </c>
      <c r="T86" s="18">
        <f t="shared" si="19"/>
        <v>0.13918665587259807</v>
      </c>
      <c r="U86" s="18">
        <f t="shared" si="20"/>
        <v>0.15473989798245588</v>
      </c>
      <c r="V86" s="40" t="str">
        <f t="shared" si="10"/>
        <v>Y</v>
      </c>
      <c r="W86" s="18">
        <v>2.2654000000000001</v>
      </c>
      <c r="X86" s="18">
        <f t="shared" si="0"/>
        <v>0.89370335403291856</v>
      </c>
      <c r="Y86" s="18">
        <v>0.89370335403291856</v>
      </c>
      <c r="Z86" s="18">
        <v>0.10271805670624974</v>
      </c>
      <c r="AA86" s="18">
        <f t="shared" si="21"/>
        <v>-2.275767357577601</v>
      </c>
      <c r="AB86" s="18">
        <f t="shared" si="22"/>
        <v>-2.2415215466524265</v>
      </c>
      <c r="AC86" s="18">
        <f t="shared" si="23"/>
        <v>-465.28075713569285</v>
      </c>
    </row>
    <row r="87" spans="1:29" x14ac:dyDescent="0.25">
      <c r="A87" s="13" t="str">
        <f t="shared" si="24"/>
        <v/>
      </c>
      <c r="B87" s="30">
        <f>IF(B86=$C$9,$C$6,IF(OR(ISNA(B86),B86=$C$6),NA(),Main!A54))</f>
        <v>53</v>
      </c>
      <c r="C87" s="29">
        <f>IF(ISNA(B87),NA(),IF(B87=$C$6,$C$19,Main!C54))</f>
        <v>0.14460000000000006</v>
      </c>
      <c r="D87" s="19">
        <f t="shared" si="25"/>
        <v>0.1444141689373297</v>
      </c>
      <c r="E87" s="18">
        <f t="shared" si="26"/>
        <v>-0.66014346769037424</v>
      </c>
      <c r="F87" s="18">
        <f t="shared" si="27"/>
        <v>1.2892243326620076</v>
      </c>
      <c r="G87" s="18">
        <f t="shared" si="28"/>
        <v>0.14768725477386313</v>
      </c>
      <c r="H87" s="18">
        <f t="shared" si="29"/>
        <v>3.9296359521824378E-3</v>
      </c>
      <c r="I87" s="18">
        <f t="shared" si="11"/>
        <v>0.14263955568637948</v>
      </c>
      <c r="J87" s="18">
        <f t="shared" si="12"/>
        <v>0.15273495386134678</v>
      </c>
      <c r="K87" s="18">
        <f t="shared" si="13"/>
        <v>0.14120458733377686</v>
      </c>
      <c r="L87" s="18">
        <f t="shared" si="14"/>
        <v>0.1541699222139494</v>
      </c>
      <c r="M87" s="18">
        <f t="shared" si="15"/>
        <v>0.13995948193824712</v>
      </c>
      <c r="N87" s="18">
        <f t="shared" si="16"/>
        <v>0.15541502760947914</v>
      </c>
      <c r="O87" s="18">
        <f t="shared" si="17"/>
        <v>0.13751252036954609</v>
      </c>
      <c r="P87" s="18">
        <f t="shared" si="18"/>
        <v>0.15786198917818017</v>
      </c>
      <c r="Q87" s="18">
        <f t="shared" si="30"/>
        <v>0.13297265208219569</v>
      </c>
      <c r="R87" s="18">
        <f t="shared" si="8"/>
        <v>-0.70191453243759838</v>
      </c>
      <c r="S87" s="18">
        <f t="shared" si="9"/>
        <v>3.9544756728749682E-3</v>
      </c>
      <c r="T87" s="18">
        <f t="shared" si="19"/>
        <v>0.13991063371893422</v>
      </c>
      <c r="U87" s="18">
        <f t="shared" si="20"/>
        <v>0.15546387582879204</v>
      </c>
      <c r="V87" s="40" t="str">
        <f t="shared" si="10"/>
        <v>Y</v>
      </c>
      <c r="W87" s="18">
        <v>2.2654000000000001</v>
      </c>
      <c r="X87" s="18">
        <f t="shared" si="0"/>
        <v>0.89370335403291856</v>
      </c>
      <c r="Y87" s="18">
        <v>0.89370335403291856</v>
      </c>
      <c r="Z87" s="18">
        <v>0.10271805670624974</v>
      </c>
      <c r="AA87" s="18">
        <f t="shared" si="21"/>
        <v>-2.275767357577601</v>
      </c>
      <c r="AB87" s="18">
        <f t="shared" si="22"/>
        <v>-2.2415215466524265</v>
      </c>
      <c r="AC87" s="18">
        <f t="shared" si="23"/>
        <v>-474.31533494415288</v>
      </c>
    </row>
    <row r="88" spans="1:29" x14ac:dyDescent="0.25">
      <c r="A88" s="13" t="str">
        <f t="shared" si="24"/>
        <v/>
      </c>
      <c r="B88" s="30">
        <f>IF(B87=$C$9,$C$6,IF(OR(ISNA(B87),B87=$C$6),NA(),Main!A55))</f>
        <v>54</v>
      </c>
      <c r="C88" s="29">
        <f>IF(ISNA(B88),NA(),IF(B88=$C$6,$C$19,Main!C55))</f>
        <v>0.14460000000000006</v>
      </c>
      <c r="D88" s="19">
        <f t="shared" si="25"/>
        <v>0.14713896457765668</v>
      </c>
      <c r="E88" s="18">
        <f t="shared" si="26"/>
        <v>-0.65043684251698197</v>
      </c>
      <c r="F88" s="18">
        <f t="shared" si="27"/>
        <v>1.2892243326620076</v>
      </c>
      <c r="G88" s="18">
        <f t="shared" si="28"/>
        <v>0.14840466107140421</v>
      </c>
      <c r="H88" s="18">
        <f t="shared" si="29"/>
        <v>3.9244189994011407E-3</v>
      </c>
      <c r="I88" s="18">
        <f t="shared" si="11"/>
        <v>0.14336366326824157</v>
      </c>
      <c r="J88" s="18">
        <f t="shared" si="12"/>
        <v>0.15344565887456685</v>
      </c>
      <c r="K88" s="18">
        <f t="shared" si="13"/>
        <v>0.14193059996797183</v>
      </c>
      <c r="L88" s="18">
        <f t="shared" si="14"/>
        <v>0.15487872217483659</v>
      </c>
      <c r="M88" s="18">
        <f t="shared" si="15"/>
        <v>0.14068714756425488</v>
      </c>
      <c r="N88" s="18">
        <f t="shared" si="16"/>
        <v>0.15612217457855354</v>
      </c>
      <c r="O88" s="18">
        <f t="shared" si="17"/>
        <v>0.13824343456186303</v>
      </c>
      <c r="P88" s="18">
        <f t="shared" si="18"/>
        <v>0.15856588758094539</v>
      </c>
      <c r="Q88" s="18">
        <f t="shared" si="30"/>
        <v>0.13297265208219569</v>
      </c>
      <c r="R88" s="18">
        <f t="shared" si="8"/>
        <v>-0.70191453243759838</v>
      </c>
      <c r="S88" s="18">
        <f t="shared" si="9"/>
        <v>3.9544756728749682E-3</v>
      </c>
      <c r="T88" s="18">
        <f t="shared" si="19"/>
        <v>0.1406280400164753</v>
      </c>
      <c r="U88" s="18">
        <f t="shared" si="20"/>
        <v>0.15618128212633312</v>
      </c>
      <c r="V88" s="40" t="str">
        <f t="shared" si="10"/>
        <v>Y</v>
      </c>
      <c r="W88" s="18">
        <v>2.2654000000000001</v>
      </c>
      <c r="X88" s="18">
        <f t="shared" si="0"/>
        <v>0.89370335403291856</v>
      </c>
      <c r="Y88" s="18">
        <v>0.89370335403291856</v>
      </c>
      <c r="Z88" s="18">
        <v>0.10271805670624974</v>
      </c>
      <c r="AA88" s="18">
        <f t="shared" si="21"/>
        <v>-2.275767357577601</v>
      </c>
      <c r="AB88" s="18">
        <f t="shared" si="22"/>
        <v>-2.2415215466524265</v>
      </c>
      <c r="AC88" s="18">
        <f t="shared" si="23"/>
        <v>-483.34991275261297</v>
      </c>
    </row>
    <row r="89" spans="1:29" x14ac:dyDescent="0.25">
      <c r="A89" s="13" t="str">
        <f t="shared" si="24"/>
        <v/>
      </c>
      <c r="B89" s="30">
        <f>IF(B88=$C$9,$C$6,IF(OR(ISNA(B88),B88=$C$6),NA(),Main!A56))</f>
        <v>55</v>
      </c>
      <c r="C89" s="29">
        <f>IF(ISNA(B89),NA(),IF(B89=$C$6,$C$19,Main!C56))</f>
        <v>0.14460000000000006</v>
      </c>
      <c r="D89" s="19">
        <f t="shared" si="25"/>
        <v>0.14986376021798364</v>
      </c>
      <c r="E89" s="18">
        <f t="shared" si="26"/>
        <v>-0.64081580166596297</v>
      </c>
      <c r="F89" s="18">
        <f t="shared" si="27"/>
        <v>1.2892243326620076</v>
      </c>
      <c r="G89" s="18">
        <f t="shared" si="28"/>
        <v>0.14911574192310345</v>
      </c>
      <c r="H89" s="18">
        <f t="shared" si="29"/>
        <v>3.9194564574978599E-3</v>
      </c>
      <c r="I89" s="18">
        <f t="shared" si="11"/>
        <v>0.14408111860819917</v>
      </c>
      <c r="J89" s="18">
        <f t="shared" si="12"/>
        <v>0.15415036523800774</v>
      </c>
      <c r="K89" s="18">
        <f t="shared" si="13"/>
        <v>0.14264986745813019</v>
      </c>
      <c r="L89" s="18">
        <f t="shared" si="14"/>
        <v>0.15558161638807672</v>
      </c>
      <c r="M89" s="18">
        <f t="shared" si="15"/>
        <v>0.14140798743612354</v>
      </c>
      <c r="N89" s="18">
        <f t="shared" si="16"/>
        <v>0.15682349641008336</v>
      </c>
      <c r="O89" s="18">
        <f t="shared" si="17"/>
        <v>0.13896736457985925</v>
      </c>
      <c r="P89" s="18">
        <f t="shared" si="18"/>
        <v>0.15926411926634765</v>
      </c>
      <c r="Q89" s="18">
        <f t="shared" si="30"/>
        <v>0.13297265208219569</v>
      </c>
      <c r="R89" s="18">
        <f t="shared" si="8"/>
        <v>-0.70191453243759838</v>
      </c>
      <c r="S89" s="18">
        <f t="shared" si="9"/>
        <v>3.9544756728749682E-3</v>
      </c>
      <c r="T89" s="18">
        <f t="shared" si="19"/>
        <v>0.14133912086817454</v>
      </c>
      <c r="U89" s="18">
        <f t="shared" si="20"/>
        <v>0.15689236297803236</v>
      </c>
      <c r="V89" s="40" t="str">
        <f t="shared" si="10"/>
        <v>Y</v>
      </c>
      <c r="W89" s="18">
        <v>2.2654000000000001</v>
      </c>
      <c r="X89" s="18">
        <f t="shared" si="0"/>
        <v>0.89370335403291856</v>
      </c>
      <c r="Y89" s="18">
        <v>0.89370335403291856</v>
      </c>
      <c r="Z89" s="18">
        <v>0.10271805670624974</v>
      </c>
      <c r="AA89" s="18">
        <f t="shared" si="21"/>
        <v>-2.275767357577601</v>
      </c>
      <c r="AB89" s="18">
        <f t="shared" si="22"/>
        <v>-2.2415215466524265</v>
      </c>
      <c r="AC89" s="18">
        <f t="shared" si="23"/>
        <v>-492.38449056107299</v>
      </c>
    </row>
    <row r="90" spans="1:29" x14ac:dyDescent="0.25">
      <c r="A90" s="13" t="str">
        <f t="shared" si="24"/>
        <v/>
      </c>
      <c r="B90" s="30">
        <f>IF(B89=$C$9,$C$6,IF(OR(ISNA(B89),B89=$C$6),NA(),Main!A57))</f>
        <v>56</v>
      </c>
      <c r="C90" s="29">
        <f>IF(ISNA(B90),NA(),IF(B90=$C$6,$C$19,Main!C57))</f>
        <v>0.14460000000000006</v>
      </c>
      <c r="D90" s="19">
        <f t="shared" si="25"/>
        <v>0.15258855585831063</v>
      </c>
      <c r="E90" s="18">
        <f t="shared" si="26"/>
        <v>-0.6312771796567419</v>
      </c>
      <c r="F90" s="18">
        <f t="shared" si="27"/>
        <v>1.2892243326620076</v>
      </c>
      <c r="G90" s="18">
        <f t="shared" si="28"/>
        <v>0.14982073128624868</v>
      </c>
      <c r="H90" s="18">
        <f t="shared" si="29"/>
        <v>3.9147420375187343E-3</v>
      </c>
      <c r="I90" s="18">
        <f t="shared" si="11"/>
        <v>0.1447921637418321</v>
      </c>
      <c r="J90" s="18">
        <f t="shared" si="12"/>
        <v>0.15484929883066526</v>
      </c>
      <c r="K90" s="18">
        <f t="shared" si="13"/>
        <v>0.14336263413634212</v>
      </c>
      <c r="L90" s="18">
        <f t="shared" si="14"/>
        <v>0.15627882843615523</v>
      </c>
      <c r="M90" s="18">
        <f t="shared" si="15"/>
        <v>0.14212224787859867</v>
      </c>
      <c r="N90" s="18">
        <f t="shared" si="16"/>
        <v>0.15751921469389868</v>
      </c>
      <c r="O90" s="18">
        <f t="shared" si="17"/>
        <v>0.13968456066437554</v>
      </c>
      <c r="P90" s="18">
        <f t="shared" si="18"/>
        <v>0.15995690190812181</v>
      </c>
      <c r="Q90" s="18">
        <f t="shared" si="30"/>
        <v>0.13297265208219569</v>
      </c>
      <c r="R90" s="18">
        <f t="shared" si="8"/>
        <v>-0.70191453243759838</v>
      </c>
      <c r="S90" s="18">
        <f t="shared" si="9"/>
        <v>3.9544756728749682E-3</v>
      </c>
      <c r="T90" s="18">
        <f t="shared" si="19"/>
        <v>0.14204411023131977</v>
      </c>
      <c r="U90" s="18">
        <f t="shared" si="20"/>
        <v>0.15759735234117758</v>
      </c>
      <c r="V90" s="40" t="str">
        <f t="shared" si="10"/>
        <v>Y</v>
      </c>
      <c r="W90" s="18">
        <v>2.2654000000000001</v>
      </c>
      <c r="X90" s="18">
        <f t="shared" si="0"/>
        <v>0.89370335403291856</v>
      </c>
      <c r="Y90" s="18">
        <v>0.89370335403291856</v>
      </c>
      <c r="Z90" s="18">
        <v>0.10271805670624974</v>
      </c>
      <c r="AA90" s="18">
        <f t="shared" si="21"/>
        <v>-2.275767357577601</v>
      </c>
      <c r="AB90" s="18">
        <f t="shared" si="22"/>
        <v>-2.2415215466524265</v>
      </c>
      <c r="AC90" s="18">
        <f t="shared" si="23"/>
        <v>-501.41906836953308</v>
      </c>
    </row>
    <row r="91" spans="1:29" x14ac:dyDescent="0.25">
      <c r="A91" s="13" t="str">
        <f t="shared" si="24"/>
        <v/>
      </c>
      <c r="B91" s="30">
        <f>IF(B90=$C$9,$C$6,IF(OR(ISNA(B90),B90=$C$6),NA(),Main!A58))</f>
        <v>57</v>
      </c>
      <c r="C91" s="29">
        <f>IF(ISNA(B91),NA(),IF(B91=$C$6,$C$19,Main!C58))</f>
        <v>0.14460000000000006</v>
      </c>
      <c r="D91" s="19">
        <f t="shared" si="25"/>
        <v>0.15531335149863759</v>
      </c>
      <c r="E91" s="18">
        <f t="shared" si="26"/>
        <v>-0.62181796420429791</v>
      </c>
      <c r="F91" s="18">
        <f t="shared" si="27"/>
        <v>1.2892243326620076</v>
      </c>
      <c r="G91" s="18">
        <f t="shared" si="28"/>
        <v>0.1505198517956079</v>
      </c>
      <c r="H91" s="18">
        <f t="shared" si="29"/>
        <v>3.9102697717371508E-3</v>
      </c>
      <c r="I91" s="18">
        <f t="shared" si="11"/>
        <v>0.14549702896957728</v>
      </c>
      <c r="J91" s="18">
        <f t="shared" si="12"/>
        <v>0.15554267462163851</v>
      </c>
      <c r="K91" s="18">
        <f t="shared" si="13"/>
        <v>0.14406913248225375</v>
      </c>
      <c r="L91" s="18">
        <f t="shared" si="14"/>
        <v>0.15697057110896204</v>
      </c>
      <c r="M91" s="18">
        <f t="shared" si="15"/>
        <v>0.14283016326220099</v>
      </c>
      <c r="N91" s="18">
        <f t="shared" si="16"/>
        <v>0.1582095403290148</v>
      </c>
      <c r="O91" s="18">
        <f t="shared" si="17"/>
        <v>0.14039526090200141</v>
      </c>
      <c r="P91" s="18">
        <f t="shared" si="18"/>
        <v>0.16064444268921438</v>
      </c>
      <c r="Q91" s="18">
        <f t="shared" si="30"/>
        <v>0.13297265208219569</v>
      </c>
      <c r="R91" s="18">
        <f t="shared" si="8"/>
        <v>-0.70191453243759838</v>
      </c>
      <c r="S91" s="18">
        <f t="shared" si="9"/>
        <v>3.9544756728749682E-3</v>
      </c>
      <c r="T91" s="18">
        <f t="shared" si="19"/>
        <v>0.14274323074067899</v>
      </c>
      <c r="U91" s="18">
        <f t="shared" si="20"/>
        <v>0.1582964728505368</v>
      </c>
      <c r="V91" s="40" t="str">
        <f t="shared" si="10"/>
        <v>Y</v>
      </c>
      <c r="W91" s="18">
        <v>2.2654000000000001</v>
      </c>
      <c r="X91" s="18">
        <f t="shared" si="0"/>
        <v>0.89370335403291856</v>
      </c>
      <c r="Y91" s="18">
        <v>0.89370335403291856</v>
      </c>
      <c r="Z91" s="18">
        <v>0.10271805670624974</v>
      </c>
      <c r="AA91" s="18">
        <f t="shared" si="21"/>
        <v>-2.275767357577601</v>
      </c>
      <c r="AB91" s="18">
        <f t="shared" si="22"/>
        <v>-2.2415215466524265</v>
      </c>
      <c r="AC91" s="18">
        <f t="shared" si="23"/>
        <v>-510.45364617799311</v>
      </c>
    </row>
    <row r="92" spans="1:29" x14ac:dyDescent="0.25">
      <c r="A92" s="13" t="str">
        <f t="shared" si="24"/>
        <v/>
      </c>
      <c r="B92" s="30">
        <f>IF(B91=$C$9,$C$6,IF(OR(ISNA(B91),B91=$C$6),NA(),Main!A59))</f>
        <v>58</v>
      </c>
      <c r="C92" s="29">
        <f>IF(ISNA(B92),NA(),IF(B92=$C$6,$C$19,Main!C59))</f>
        <v>0.14460000000000006</v>
      </c>
      <c r="D92" s="19">
        <f t="shared" si="25"/>
        <v>0.15803814713896458</v>
      </c>
      <c r="E92" s="18">
        <f t="shared" si="26"/>
        <v>-0.61243528601439234</v>
      </c>
      <c r="F92" s="18">
        <f t="shared" si="27"/>
        <v>1.2892243326620076</v>
      </c>
      <c r="G92" s="18">
        <f t="shared" si="28"/>
        <v>0.15121331551765324</v>
      </c>
      <c r="H92" s="18">
        <f t="shared" si="29"/>
        <v>3.9060339922002436E-3</v>
      </c>
      <c r="I92" s="18">
        <f t="shared" si="11"/>
        <v>0.14619593363851016</v>
      </c>
      <c r="J92" s="18">
        <f t="shared" si="12"/>
        <v>0.15623069739679632</v>
      </c>
      <c r="K92" s="18">
        <f t="shared" si="13"/>
        <v>0.14476958391268263</v>
      </c>
      <c r="L92" s="18">
        <f t="shared" si="14"/>
        <v>0.15765704712262385</v>
      </c>
      <c r="M92" s="18">
        <f t="shared" si="15"/>
        <v>0.14353195679963923</v>
      </c>
      <c r="N92" s="18">
        <f t="shared" si="16"/>
        <v>0.15889467423566725</v>
      </c>
      <c r="O92" s="18">
        <f t="shared" si="17"/>
        <v>0.14109969203484707</v>
      </c>
      <c r="P92" s="18">
        <f t="shared" si="18"/>
        <v>0.16132693900045941</v>
      </c>
      <c r="Q92" s="18">
        <f t="shared" si="30"/>
        <v>0.13297265208219569</v>
      </c>
      <c r="R92" s="18">
        <f t="shared" si="8"/>
        <v>-0.70191453243759838</v>
      </c>
      <c r="S92" s="18">
        <f t="shared" si="9"/>
        <v>3.9544756728749682E-3</v>
      </c>
      <c r="T92" s="18">
        <f t="shared" si="19"/>
        <v>0.14343669446272433</v>
      </c>
      <c r="U92" s="18">
        <f t="shared" si="20"/>
        <v>0.15898993657258215</v>
      </c>
      <c r="V92" s="40" t="str">
        <f t="shared" si="10"/>
        <v>Y</v>
      </c>
      <c r="W92" s="18">
        <v>2.2654000000000001</v>
      </c>
      <c r="X92" s="18">
        <f t="shared" si="0"/>
        <v>0.89370335403291856</v>
      </c>
      <c r="Y92" s="18">
        <v>0.89370335403291856</v>
      </c>
      <c r="Z92" s="18">
        <v>0.10271805670624974</v>
      </c>
      <c r="AA92" s="18">
        <f t="shared" si="21"/>
        <v>-2.275767357577601</v>
      </c>
      <c r="AB92" s="18">
        <f t="shared" si="22"/>
        <v>-2.2415215466524265</v>
      </c>
      <c r="AC92" s="18">
        <f t="shared" si="23"/>
        <v>-519.48822398645314</v>
      </c>
    </row>
    <row r="93" spans="1:29" x14ac:dyDescent="0.25">
      <c r="A93" s="13" t="str">
        <f t="shared" si="24"/>
        <v/>
      </c>
      <c r="B93" s="30">
        <f>IF(B92=$C$9,$C$6,IF(OR(ISNA(B92),B92=$C$6),NA(),Main!A60))</f>
        <v>59</v>
      </c>
      <c r="C93" s="29">
        <f>IF(ISNA(B93),NA(),IF(B93=$C$6,$C$19,Main!C60))</f>
        <v>0.14460000000000006</v>
      </c>
      <c r="D93" s="19">
        <f t="shared" si="25"/>
        <v>0.16076294277929154</v>
      </c>
      <c r="E93" s="18">
        <f t="shared" si="26"/>
        <v>-0.60312640941846263</v>
      </c>
      <c r="F93" s="18">
        <f t="shared" si="27"/>
        <v>1.2892243326620076</v>
      </c>
      <c r="G93" s="18">
        <f t="shared" si="28"/>
        <v>0.15190132464272577</v>
      </c>
      <c r="H93" s="18">
        <f t="shared" si="29"/>
        <v>3.9020293110606282E-3</v>
      </c>
      <c r="I93" s="18">
        <f t="shared" si="11"/>
        <v>0.14688908685977381</v>
      </c>
      <c r="J93" s="18">
        <f t="shared" si="12"/>
        <v>0.15691356242567772</v>
      </c>
      <c r="K93" s="18">
        <f t="shared" si="13"/>
        <v>0.14546419950622899</v>
      </c>
      <c r="L93" s="18">
        <f t="shared" si="14"/>
        <v>0.15833844977922254</v>
      </c>
      <c r="M93" s="18">
        <f t="shared" si="15"/>
        <v>0.14422784127665342</v>
      </c>
      <c r="N93" s="18">
        <f t="shared" si="16"/>
        <v>0.15957480800879811</v>
      </c>
      <c r="O93" s="18">
        <f t="shared" si="17"/>
        <v>0.14179807020363391</v>
      </c>
      <c r="P93" s="18">
        <f t="shared" si="18"/>
        <v>0.16200457908181762</v>
      </c>
      <c r="Q93" s="18">
        <f t="shared" si="30"/>
        <v>0.13297265208219569</v>
      </c>
      <c r="R93" s="18">
        <f t="shared" si="8"/>
        <v>-0.70191453243759838</v>
      </c>
      <c r="S93" s="18">
        <f t="shared" si="9"/>
        <v>3.9544756728749682E-3</v>
      </c>
      <c r="T93" s="18">
        <f t="shared" si="19"/>
        <v>0.14412470358779686</v>
      </c>
      <c r="U93" s="18">
        <f t="shared" si="20"/>
        <v>0.15967794569765467</v>
      </c>
      <c r="V93" s="40" t="str">
        <f t="shared" si="10"/>
        <v>Y</v>
      </c>
      <c r="W93" s="18">
        <v>2.2654000000000001</v>
      </c>
      <c r="X93" s="18">
        <f t="shared" si="0"/>
        <v>0.89370335403291856</v>
      </c>
      <c r="Y93" s="18">
        <v>0.89370335403291856</v>
      </c>
      <c r="Z93" s="18">
        <v>0.10271805670624974</v>
      </c>
      <c r="AA93" s="18">
        <f t="shared" si="21"/>
        <v>-2.275767357577601</v>
      </c>
      <c r="AB93" s="18">
        <f t="shared" si="22"/>
        <v>-2.2415215466524265</v>
      </c>
      <c r="AC93" s="18">
        <f t="shared" si="23"/>
        <v>-528.52280179491322</v>
      </c>
    </row>
    <row r="94" spans="1:29" x14ac:dyDescent="0.25">
      <c r="A94" s="13" t="str">
        <f t="shared" si="24"/>
        <v/>
      </c>
      <c r="B94" s="30">
        <f>IF(B93=$C$9,$C$6,IF(OR(ISNA(B93),B93=$C$6),NA(),Main!A61))</f>
        <v>60</v>
      </c>
      <c r="C94" s="29">
        <f>IF(ISNA(B94),NA(),IF(B94=$C$6,$C$19,Main!C61))</f>
        <v>0.14460000000000006</v>
      </c>
      <c r="D94" s="19">
        <f t="shared" si="25"/>
        <v>0.16348773841961853</v>
      </c>
      <c r="E94" s="18">
        <f t="shared" si="26"/>
        <v>-0.59388872376597768</v>
      </c>
      <c r="F94" s="18">
        <f t="shared" si="27"/>
        <v>1.2892243326620076</v>
      </c>
      <c r="G94" s="18">
        <f t="shared" si="28"/>
        <v>0.15258407212121747</v>
      </c>
      <c r="H94" s="18">
        <f t="shared" si="29"/>
        <v>3.8982506025175261E-3</v>
      </c>
      <c r="I94" s="18">
        <f t="shared" si="11"/>
        <v>0.14757668816795788</v>
      </c>
      <c r="J94" s="18">
        <f t="shared" si="12"/>
        <v>0.15759145607447705</v>
      </c>
      <c r="K94" s="18">
        <f t="shared" si="13"/>
        <v>0.14615318066924923</v>
      </c>
      <c r="L94" s="18">
        <f t="shared" si="14"/>
        <v>0.1590149635731857</v>
      </c>
      <c r="M94" s="18">
        <f t="shared" si="15"/>
        <v>0.14491801972371024</v>
      </c>
      <c r="N94" s="18">
        <f t="shared" si="16"/>
        <v>0.1602501245187247</v>
      </c>
      <c r="O94" s="18">
        <f t="shared" si="17"/>
        <v>0.14249060163063515</v>
      </c>
      <c r="P94" s="18">
        <f t="shared" si="18"/>
        <v>0.16267754261179979</v>
      </c>
      <c r="Q94" s="18">
        <f t="shared" si="30"/>
        <v>0.13297265208219569</v>
      </c>
      <c r="R94" s="18">
        <f t="shared" si="8"/>
        <v>-0.70191453243759838</v>
      </c>
      <c r="S94" s="18">
        <f t="shared" si="9"/>
        <v>3.9544756728749682E-3</v>
      </c>
      <c r="T94" s="18">
        <f t="shared" si="19"/>
        <v>0.14480745106628856</v>
      </c>
      <c r="U94" s="18">
        <f t="shared" si="20"/>
        <v>0.16036069317614637</v>
      </c>
      <c r="V94" s="40" t="str">
        <f t="shared" si="10"/>
        <v>Y</v>
      </c>
      <c r="W94" s="18">
        <v>2.2654000000000001</v>
      </c>
      <c r="X94" s="18">
        <f t="shared" si="0"/>
        <v>0.89370335403291856</v>
      </c>
      <c r="Y94" s="18">
        <v>0.89370335403291856</v>
      </c>
      <c r="Z94" s="18">
        <v>0.10271805670624974</v>
      </c>
      <c r="AA94" s="18">
        <f t="shared" si="21"/>
        <v>-2.275767357577601</v>
      </c>
      <c r="AB94" s="18">
        <f t="shared" si="22"/>
        <v>-2.2415215466524265</v>
      </c>
      <c r="AC94" s="18">
        <f t="shared" si="23"/>
        <v>-537.55737960337331</v>
      </c>
    </row>
    <row r="95" spans="1:29" x14ac:dyDescent="0.25">
      <c r="A95" s="13" t="str">
        <f t="shared" si="24"/>
        <v/>
      </c>
      <c r="B95" s="30">
        <f>IF(B94=$C$9,$C$6,IF(OR(ISNA(B94),B94=$C$6),NA(),Main!A62))</f>
        <v>61</v>
      </c>
      <c r="C95" s="29">
        <f>IF(ISNA(B95),NA(),IF(B95=$C$6,$C$19,Main!C62))</f>
        <v>0.14460000000000006</v>
      </c>
      <c r="D95" s="19">
        <f t="shared" si="25"/>
        <v>0.16621253405994552</v>
      </c>
      <c r="E95" s="18">
        <f t="shared" si="26"/>
        <v>-0.58471973550133338</v>
      </c>
      <c r="F95" s="18">
        <f t="shared" si="27"/>
        <v>1.2892243326620076</v>
      </c>
      <c r="G95" s="18">
        <f t="shared" si="28"/>
        <v>0.15326174224915928</v>
      </c>
      <c r="H95" s="18">
        <f t="shared" si="29"/>
        <v>3.8946929862114033E-3</v>
      </c>
      <c r="I95" s="18">
        <f t="shared" si="11"/>
        <v>0.14825892812801661</v>
      </c>
      <c r="J95" s="18">
        <f t="shared" si="12"/>
        <v>0.15826455637030196</v>
      </c>
      <c r="K95" s="18">
        <f t="shared" si="13"/>
        <v>0.14683671974883764</v>
      </c>
      <c r="L95" s="18">
        <f t="shared" si="14"/>
        <v>0.15968676474948093</v>
      </c>
      <c r="M95" s="18">
        <f t="shared" si="15"/>
        <v>0.14560268603424623</v>
      </c>
      <c r="N95" s="18">
        <f t="shared" si="16"/>
        <v>0.16092079846407234</v>
      </c>
      <c r="O95" s="18">
        <f t="shared" si="17"/>
        <v>0.14317748324825891</v>
      </c>
      <c r="P95" s="18">
        <f t="shared" si="18"/>
        <v>0.16334600125005966</v>
      </c>
      <c r="Q95" s="18">
        <f t="shared" si="30"/>
        <v>0.13297265208219569</v>
      </c>
      <c r="R95" s="18">
        <f t="shared" si="8"/>
        <v>-0.70191453243759838</v>
      </c>
      <c r="S95" s="18">
        <f t="shared" si="9"/>
        <v>3.9544756728749682E-3</v>
      </c>
      <c r="T95" s="18">
        <f t="shared" si="19"/>
        <v>0.14548512119423038</v>
      </c>
      <c r="U95" s="18">
        <f t="shared" si="20"/>
        <v>0.16103836330408819</v>
      </c>
      <c r="V95" s="40" t="str">
        <f t="shared" si="10"/>
        <v>Y</v>
      </c>
      <c r="W95" s="18">
        <v>2.2654000000000001</v>
      </c>
      <c r="X95" s="18">
        <f t="shared" si="0"/>
        <v>0.89370335403291856</v>
      </c>
      <c r="Y95" s="18">
        <v>0.89370335403291856</v>
      </c>
      <c r="Z95" s="18">
        <v>0.22745712522122905</v>
      </c>
      <c r="AA95" s="18">
        <f t="shared" si="21"/>
        <v>-1.4807935189180821</v>
      </c>
      <c r="AB95" s="18">
        <f t="shared" si="22"/>
        <v>-2.2415215466524265</v>
      </c>
      <c r="AC95" s="18">
        <f t="shared" si="23"/>
        <v>-450.40012293403151</v>
      </c>
    </row>
    <row r="96" spans="1:29" x14ac:dyDescent="0.25">
      <c r="A96" s="13" t="str">
        <f t="shared" si="24"/>
        <v/>
      </c>
      <c r="B96" s="30">
        <f>IF(B95=$C$9,$C$6,IF(OR(ISNA(B95),B95=$C$6),NA(),Main!A63))</f>
        <v>62</v>
      </c>
      <c r="C96" s="29">
        <f>IF(ISNA(B96),NA(),IF(B96=$C$6,$C$19,Main!C63))</f>
        <v>0.14460000000000006</v>
      </c>
      <c r="D96" s="19">
        <f t="shared" si="25"/>
        <v>0.16893732970027248</v>
      </c>
      <c r="E96" s="18">
        <f t="shared" si="26"/>
        <v>-0.5756170608604565</v>
      </c>
      <c r="F96" s="18">
        <f t="shared" si="27"/>
        <v>1.2892243326620076</v>
      </c>
      <c r="G96" s="18">
        <f t="shared" si="28"/>
        <v>0.15393451120800747</v>
      </c>
      <c r="H96" s="18">
        <f t="shared" si="29"/>
        <v>3.8913518119336478E-3</v>
      </c>
      <c r="I96" s="18">
        <f t="shared" si="11"/>
        <v>0.14893598889469589</v>
      </c>
      <c r="J96" s="18">
        <f t="shared" si="12"/>
        <v>0.15893303352131904</v>
      </c>
      <c r="K96" s="18">
        <f t="shared" si="13"/>
        <v>0.14751500059783687</v>
      </c>
      <c r="L96" s="18">
        <f t="shared" si="14"/>
        <v>0.16035402181817807</v>
      </c>
      <c r="M96" s="18">
        <f t="shared" si="15"/>
        <v>0.14628202553452288</v>
      </c>
      <c r="N96" s="18">
        <f t="shared" si="16"/>
        <v>0.16158699688149206</v>
      </c>
      <c r="O96" s="18">
        <f t="shared" si="17"/>
        <v>0.14385890327842474</v>
      </c>
      <c r="P96" s="18">
        <f t="shared" si="18"/>
        <v>0.1640101191375902</v>
      </c>
      <c r="Q96" s="18">
        <f t="shared" si="30"/>
        <v>0.13297265208219569</v>
      </c>
      <c r="R96" s="18">
        <f t="shared" si="8"/>
        <v>-0.70191453243759838</v>
      </c>
      <c r="S96" s="18">
        <f t="shared" si="9"/>
        <v>3.9544756728749682E-3</v>
      </c>
      <c r="T96" s="18">
        <f t="shared" si="19"/>
        <v>0.14615789015307856</v>
      </c>
      <c r="U96" s="18">
        <f t="shared" si="20"/>
        <v>0.16171113226293637</v>
      </c>
      <c r="V96" s="40" t="str">
        <f t="shared" si="10"/>
        <v>Y</v>
      </c>
      <c r="W96" s="18">
        <v>2.2654000000000001</v>
      </c>
      <c r="X96" s="18">
        <f t="shared" si="0"/>
        <v>0.89370335403291856</v>
      </c>
      <c r="Y96" s="18">
        <v>0.89370335403291856</v>
      </c>
      <c r="Z96" s="18">
        <v>0.22745712522122905</v>
      </c>
      <c r="AA96" s="18">
        <f t="shared" si="21"/>
        <v>-1.4807935189180821</v>
      </c>
      <c r="AB96" s="18">
        <f t="shared" si="22"/>
        <v>-2.2415215466524265</v>
      </c>
      <c r="AC96" s="18">
        <f t="shared" si="23"/>
        <v>-457.84475306517254</v>
      </c>
    </row>
    <row r="97" spans="1:29" x14ac:dyDescent="0.25">
      <c r="A97" s="13" t="str">
        <f t="shared" si="24"/>
        <v/>
      </c>
      <c r="B97" s="30">
        <f>IF(B96=$C$9,$C$6,IF(OR(ISNA(B96),B96=$C$6),NA(),Main!A64))</f>
        <v>63</v>
      </c>
      <c r="C97" s="29">
        <f>IF(ISNA(B97),NA(),IF(B97=$C$6,$C$19,Main!C64))</f>
        <v>0.14460000000000006</v>
      </c>
      <c r="D97" s="19">
        <f t="shared" si="25"/>
        <v>0.17166212534059946</v>
      </c>
      <c r="E97" s="18">
        <f t="shared" si="26"/>
        <v>-0.56657841912937545</v>
      </c>
      <c r="F97" s="18">
        <f t="shared" si="27"/>
        <v>1.2892243326620076</v>
      </c>
      <c r="G97" s="18">
        <f t="shared" si="28"/>
        <v>0.15460254756289527</v>
      </c>
      <c r="H97" s="18">
        <f t="shared" si="29"/>
        <v>3.8882226455280232E-3</v>
      </c>
      <c r="I97" s="18">
        <f t="shared" si="11"/>
        <v>0.14960804472889486</v>
      </c>
      <c r="J97" s="18">
        <f t="shared" si="12"/>
        <v>0.15959705039689567</v>
      </c>
      <c r="K97" s="18">
        <f t="shared" si="13"/>
        <v>0.14818819909634795</v>
      </c>
      <c r="L97" s="18">
        <f t="shared" si="14"/>
        <v>0.16101689602944258</v>
      </c>
      <c r="M97" s="18">
        <f t="shared" si="15"/>
        <v>0.14695621550960394</v>
      </c>
      <c r="N97" s="18">
        <f t="shared" si="16"/>
        <v>0.16224887961618659</v>
      </c>
      <c r="O97" s="18">
        <f t="shared" si="17"/>
        <v>0.14453504176731974</v>
      </c>
      <c r="P97" s="18">
        <f t="shared" si="18"/>
        <v>0.16467005335847079</v>
      </c>
      <c r="Q97" s="18">
        <f t="shared" si="30"/>
        <v>0.13297265208219569</v>
      </c>
      <c r="R97" s="18">
        <f t="shared" si="8"/>
        <v>-0.70191453243759838</v>
      </c>
      <c r="S97" s="18">
        <f t="shared" si="9"/>
        <v>3.9544756728749682E-3</v>
      </c>
      <c r="T97" s="18">
        <f t="shared" si="19"/>
        <v>0.14682592650796636</v>
      </c>
      <c r="U97" s="18">
        <f t="shared" si="20"/>
        <v>0.16237916861782417</v>
      </c>
      <c r="V97" s="40" t="str">
        <f t="shared" si="10"/>
        <v>Y</v>
      </c>
      <c r="W97" s="18">
        <v>2.2654000000000001</v>
      </c>
      <c r="X97" s="18">
        <f t="shared" si="0"/>
        <v>0.89370335403291856</v>
      </c>
      <c r="Y97" s="18">
        <v>0.89370335403291856</v>
      </c>
      <c r="Z97" s="18">
        <v>0.22745712522122905</v>
      </c>
      <c r="AA97" s="18">
        <f t="shared" si="21"/>
        <v>-1.4807935189180821</v>
      </c>
      <c r="AB97" s="18">
        <f t="shared" si="22"/>
        <v>-2.2415215466524265</v>
      </c>
      <c r="AC97" s="18">
        <f t="shared" si="23"/>
        <v>-465.28938319631357</v>
      </c>
    </row>
    <row r="98" spans="1:29" x14ac:dyDescent="0.25">
      <c r="A98" s="13" t="str">
        <f t="shared" si="24"/>
        <v/>
      </c>
      <c r="B98" s="30">
        <f>IF(B97=$C$9,$C$6,IF(OR(ISNA(B97),B97=$C$6),NA(),Main!A65))</f>
        <v>64</v>
      </c>
      <c r="C98" s="29">
        <f>IF(ISNA(B98),NA(),IF(B98=$C$6,$C$19,Main!C65))</f>
        <v>0.14460000000000006</v>
      </c>
      <c r="D98" s="19">
        <f t="shared" si="25"/>
        <v>0.17438692098092642</v>
      </c>
      <c r="E98" s="18">
        <f t="shared" si="26"/>
        <v>-0.55760162641321787</v>
      </c>
      <c r="F98" s="18">
        <f t="shared" si="27"/>
        <v>1.2892243326620076</v>
      </c>
      <c r="G98" s="18">
        <f t="shared" si="28"/>
        <v>0.15526601272315979</v>
      </c>
      <c r="H98" s="18">
        <f t="shared" si="29"/>
        <v>3.8853012558739812E-3</v>
      </c>
      <c r="I98" s="18">
        <f t="shared" si="11"/>
        <v>0.15027526247491296</v>
      </c>
      <c r="J98" s="18">
        <f t="shared" si="12"/>
        <v>0.16025676297140662</v>
      </c>
      <c r="K98" s="18">
        <f t="shared" si="13"/>
        <v>0.14885648363373047</v>
      </c>
      <c r="L98" s="18">
        <f t="shared" si="14"/>
        <v>0.16167554181258911</v>
      </c>
      <c r="M98" s="18">
        <f t="shared" si="15"/>
        <v>0.14762542568947981</v>
      </c>
      <c r="N98" s="18">
        <f t="shared" si="16"/>
        <v>0.16290659975683977</v>
      </c>
      <c r="O98" s="18">
        <f t="shared" si="17"/>
        <v>0.14520607107962866</v>
      </c>
      <c r="P98" s="18">
        <f t="shared" si="18"/>
        <v>0.16532595436669092</v>
      </c>
      <c r="Q98" s="18">
        <f t="shared" si="30"/>
        <v>0.13297265208219569</v>
      </c>
      <c r="R98" s="18">
        <f t="shared" si="8"/>
        <v>-0.70191453243759838</v>
      </c>
      <c r="S98" s="18">
        <f t="shared" si="9"/>
        <v>3.9544756728749682E-3</v>
      </c>
      <c r="T98" s="18">
        <f t="shared" si="19"/>
        <v>0.14748939166823088</v>
      </c>
      <c r="U98" s="18">
        <f t="shared" si="20"/>
        <v>0.1630426337780887</v>
      </c>
      <c r="V98" s="40" t="str">
        <f t="shared" si="10"/>
        <v>Y</v>
      </c>
      <c r="W98" s="18">
        <v>2.2654000000000001</v>
      </c>
      <c r="X98" s="18">
        <f t="shared" si="0"/>
        <v>0.89370335403291856</v>
      </c>
      <c r="Y98" s="18">
        <v>0.89370335403291856</v>
      </c>
      <c r="Z98" s="18">
        <v>0.22745712522122905</v>
      </c>
      <c r="AA98" s="18">
        <f t="shared" si="21"/>
        <v>-1.4807935189180821</v>
      </c>
      <c r="AB98" s="18">
        <f t="shared" si="22"/>
        <v>-2.2415215466524265</v>
      </c>
      <c r="AC98" s="18">
        <f t="shared" si="23"/>
        <v>-472.73401332745459</v>
      </c>
    </row>
    <row r="99" spans="1:29" x14ac:dyDescent="0.25">
      <c r="A99" s="13" t="str">
        <f t="shared" si="24"/>
        <v/>
      </c>
      <c r="B99" s="30">
        <f>IF(B98=$C$9,$C$6,IF(OR(ISNA(B98),B98=$C$6),NA(),Main!A66))</f>
        <v>65</v>
      </c>
      <c r="C99" s="29">
        <f>IF(ISNA(B99),NA(),IF(B99=$C$6,$C$19,Main!C66))</f>
        <v>0.14460000000000006</v>
      </c>
      <c r="D99" s="19">
        <f t="shared" si="25"/>
        <v>0.17711171662125341</v>
      </c>
      <c r="E99" s="18">
        <f t="shared" si="26"/>
        <v>-0.54868458986955226</v>
      </c>
      <c r="F99" s="18">
        <f t="shared" si="27"/>
        <v>1.2892243326620076</v>
      </c>
      <c r="G99" s="18">
        <f t="shared" si="28"/>
        <v>0.15592506136854947</v>
      </c>
      <c r="H99" s="18">
        <f t="shared" si="29"/>
        <v>3.8825836028535932E-3</v>
      </c>
      <c r="I99" s="18">
        <f t="shared" si="11"/>
        <v>0.1509378020021141</v>
      </c>
      <c r="J99" s="18">
        <f t="shared" si="12"/>
        <v>0.16091232073498485</v>
      </c>
      <c r="K99" s="18">
        <f t="shared" si="13"/>
        <v>0.14952001555466096</v>
      </c>
      <c r="L99" s="18">
        <f t="shared" si="14"/>
        <v>0.16233010718243798</v>
      </c>
      <c r="M99" s="18">
        <f t="shared" si="15"/>
        <v>0.14828981869893862</v>
      </c>
      <c r="N99" s="18">
        <f t="shared" si="16"/>
        <v>0.16356030403816033</v>
      </c>
      <c r="O99" s="18">
        <f t="shared" si="17"/>
        <v>0.14587215635589765</v>
      </c>
      <c r="P99" s="18">
        <f t="shared" si="18"/>
        <v>0.1659779663812013</v>
      </c>
      <c r="Q99" s="18">
        <f t="shared" si="30"/>
        <v>0.13297265208219569</v>
      </c>
      <c r="R99" s="18">
        <f t="shared" si="8"/>
        <v>-0.70191453243759838</v>
      </c>
      <c r="S99" s="18">
        <f t="shared" si="9"/>
        <v>3.9544756728749682E-3</v>
      </c>
      <c r="T99" s="18">
        <f t="shared" si="19"/>
        <v>0.14814844031362057</v>
      </c>
      <c r="U99" s="18">
        <f t="shared" si="20"/>
        <v>0.16370168242347838</v>
      </c>
      <c r="V99" s="40" t="str">
        <f t="shared" si="10"/>
        <v>Y</v>
      </c>
      <c r="W99" s="18">
        <v>2.2654000000000001</v>
      </c>
      <c r="X99" s="18">
        <f t="shared" ref="X99:X162" si="31">IF(OR(NOT(ISNUMBER(W99)),ISNA(B99)),"",(EXP(-EXP(-(W99-$C$28)/$C$29))))</f>
        <v>0.89370335403291856</v>
      </c>
      <c r="Y99" s="18">
        <v>0.89370335403291856</v>
      </c>
      <c r="Z99" s="18">
        <v>0.22745712522122905</v>
      </c>
      <c r="AA99" s="18">
        <f t="shared" si="21"/>
        <v>-1.4807935189180821</v>
      </c>
      <c r="AB99" s="18">
        <f t="shared" si="22"/>
        <v>-2.2415215466524265</v>
      </c>
      <c r="AC99" s="18">
        <f t="shared" si="23"/>
        <v>-480.17864345859562</v>
      </c>
    </row>
    <row r="100" spans="1:29" x14ac:dyDescent="0.25">
      <c r="A100" s="13" t="str">
        <f t="shared" si="24"/>
        <v/>
      </c>
      <c r="B100" s="30">
        <f>IF(B99=$C$9,$C$6,IF(OR(ISNA(B99),B99=$C$6),NA(),Main!A67))</f>
        <v>66</v>
      </c>
      <c r="C100" s="29">
        <f>IF(ISNA(B100),NA(),IF(B100=$C$6,$C$19,Main!C67))</f>
        <v>0.14460000000000006</v>
      </c>
      <c r="D100" s="19">
        <f t="shared" si="25"/>
        <v>0.17983651226158037</v>
      </c>
      <c r="E100" s="18">
        <f t="shared" si="26"/>
        <v>-0.53982530236479342</v>
      </c>
      <c r="F100" s="18">
        <f t="shared" si="27"/>
        <v>1.2892243326620076</v>
      </c>
      <c r="G100" s="18">
        <f t="shared" si="28"/>
        <v>0.15657984184416351</v>
      </c>
      <c r="H100" s="18">
        <f t="shared" si="29"/>
        <v>3.8800658262141755E-3</v>
      </c>
      <c r="I100" s="18">
        <f t="shared" si="11"/>
        <v>0.15159581661417232</v>
      </c>
      <c r="J100" s="18">
        <f t="shared" si="12"/>
        <v>0.16156386707415471</v>
      </c>
      <c r="K100" s="18">
        <f t="shared" si="13"/>
        <v>0.15017894957244543</v>
      </c>
      <c r="L100" s="18">
        <f t="shared" si="14"/>
        <v>0.1629807341158816</v>
      </c>
      <c r="M100" s="18">
        <f t="shared" si="15"/>
        <v>0.14894955047440767</v>
      </c>
      <c r="N100" s="18">
        <f t="shared" si="16"/>
        <v>0.16421013321391936</v>
      </c>
      <c r="O100" s="18">
        <f t="shared" si="17"/>
        <v>0.14653345593631101</v>
      </c>
      <c r="P100" s="18">
        <f t="shared" si="18"/>
        <v>0.16662622775201602</v>
      </c>
      <c r="Q100" s="18">
        <f t="shared" si="30"/>
        <v>0.13297265208219569</v>
      </c>
      <c r="R100" s="18">
        <f t="shared" ref="R100:R163" si="32">IF(ISNA(B100),NA(),-LN(-LN(Q100)))</f>
        <v>-0.70191453243759838</v>
      </c>
      <c r="S100" s="18">
        <f t="shared" ref="S100:S163" si="33">IF(ISNA(B100),NA(),$C$16*SQRT((1.109+0.514*R100+0.608*R100^2)/$C$9))</f>
        <v>3.9544756728749682E-3</v>
      </c>
      <c r="T100" s="18">
        <f t="shared" si="19"/>
        <v>0.14880322078923461</v>
      </c>
      <c r="U100" s="18">
        <f t="shared" si="20"/>
        <v>0.16435646289909242</v>
      </c>
      <c r="V100" s="40" t="str">
        <f t="shared" ref="V100:V163" si="34">IF(V99="","",IF(B100&lt;N,"Y",""))</f>
        <v>Y</v>
      </c>
      <c r="W100" s="18">
        <v>2.2654000000000001</v>
      </c>
      <c r="X100" s="18">
        <f t="shared" si="31"/>
        <v>0.89370335403291856</v>
      </c>
      <c r="Y100" s="18">
        <v>0.89370335403291856</v>
      </c>
      <c r="Z100" s="18">
        <v>0.22745712522122905</v>
      </c>
      <c r="AA100" s="18">
        <f t="shared" si="21"/>
        <v>-1.4807935189180821</v>
      </c>
      <c r="AB100" s="18">
        <f t="shared" si="22"/>
        <v>-2.2415215466524265</v>
      </c>
      <c r="AC100" s="18">
        <f t="shared" si="23"/>
        <v>-487.62327358973664</v>
      </c>
    </row>
    <row r="101" spans="1:29" x14ac:dyDescent="0.25">
      <c r="A101" s="13" t="str">
        <f t="shared" si="24"/>
        <v/>
      </c>
      <c r="B101" s="30">
        <f>IF(B100=$C$9,$C$6,IF(OR(ISNA(B100),B100=$C$6),NA(),Main!A68))</f>
        <v>67</v>
      </c>
      <c r="C101" s="29">
        <f>IF(ISNA(B101),NA(),IF(B101=$C$6,$C$19,Main!C68))</f>
        <v>0.14460000000000006</v>
      </c>
      <c r="D101" s="19">
        <f t="shared" si="25"/>
        <v>0.18256130790190736</v>
      </c>
      <c r="E101" s="18">
        <f t="shared" si="26"/>
        <v>-0.53102183751662624</v>
      </c>
      <c r="F101" s="18">
        <f t="shared" si="27"/>
        <v>1.2892243326620076</v>
      </c>
      <c r="G101" s="18">
        <f t="shared" si="28"/>
        <v>0.15723049652686097</v>
      </c>
      <c r="H101" s="18">
        <f t="shared" si="29"/>
        <v>3.8777442352477599E-3</v>
      </c>
      <c r="I101" s="18">
        <f t="shared" ref="I101:I164" si="35">IF(ISNA(B101),NA(),G101-$C$10*H101)</f>
        <v>0.15224945342873777</v>
      </c>
      <c r="J101" s="18">
        <f t="shared" ref="J101:J164" si="36">IF(ISNA(B101),NA(),G101+$C$10*H101)</f>
        <v>0.16221153962498416</v>
      </c>
      <c r="K101" s="18">
        <f t="shared" ref="K101:K164" si="37">IF(ISNA(B101),NA(),G101-$C$11*H101)</f>
        <v>0.15083343415245407</v>
      </c>
      <c r="L101" s="18">
        <f t="shared" ref="L101:L164" si="38">IF(ISNA(B101),NA(),G101+$C$11*H101)</f>
        <v>0.16362755890126787</v>
      </c>
      <c r="M101" s="18">
        <f t="shared" ref="M101:M164" si="39">IF(ISNA(B101),NA(),G101-$C$12*H101)</f>
        <v>0.14960477065065822</v>
      </c>
      <c r="N101" s="18">
        <f t="shared" ref="N101:N164" si="40">IF(ISNA(B101),NA(),G101+$C$12*H101)</f>
        <v>0.16485622240306372</v>
      </c>
      <c r="O101" s="18">
        <f t="shared" ref="O101:O164" si="41">IF(ISNA(B101),NA(),G101-$C$13*H101)</f>
        <v>0.14719012175382251</v>
      </c>
      <c r="P101" s="18">
        <f t="shared" ref="P101:P164" si="42">IF(ISNA(B101),NA(),G101+$C$13*H101)</f>
        <v>0.16727087129989943</v>
      </c>
      <c r="Q101" s="18">
        <f t="shared" si="30"/>
        <v>0.13297265208219569</v>
      </c>
      <c r="R101" s="18">
        <f t="shared" si="32"/>
        <v>-0.70191453243759838</v>
      </c>
      <c r="S101" s="18">
        <f t="shared" si="33"/>
        <v>3.9544756728749682E-3</v>
      </c>
      <c r="T101" s="18">
        <f t="shared" ref="T101:T164" si="43">IF(ISNA(B101),NA(),G101-$C$12*S101)</f>
        <v>0.14945387547193206</v>
      </c>
      <c r="U101" s="18">
        <f t="shared" ref="U101:U164" si="44">IF(ISNA(B101),NA(),G101+$C$12*S101)</f>
        <v>0.16500711758178987</v>
      </c>
      <c r="V101" s="40" t="str">
        <f t="shared" si="34"/>
        <v>Y</v>
      </c>
      <c r="W101" s="18">
        <v>2.2654000000000001</v>
      </c>
      <c r="X101" s="18">
        <f t="shared" si="31"/>
        <v>0.89370335403291856</v>
      </c>
      <c r="Y101" s="18">
        <v>0.89370335403291856</v>
      </c>
      <c r="Z101" s="18">
        <v>0.22745712522122905</v>
      </c>
      <c r="AA101" s="18">
        <f t="shared" ref="AA101:AA164" si="45">IF(OR(NOT(ISNUMBER(W101)),ISNA(B101)),"",LN(Z101))</f>
        <v>-1.4807935189180821</v>
      </c>
      <c r="AB101" s="18">
        <f t="shared" ref="AB101:AB164" si="46">IF(OR(NOT(ISNUMBER(W101)),ISNA(B101)),"",LN(1-Y101))</f>
        <v>-2.2415215466524265</v>
      </c>
      <c r="AC101" s="18">
        <f t="shared" ref="AC101:AC164" si="47">IF(OR(NOT(ISNUMBER(W101)),ISNA(B101)),"",(2*B101-1)*(AA101+AB101))</f>
        <v>-495.06790372087767</v>
      </c>
    </row>
    <row r="102" spans="1:29" x14ac:dyDescent="0.25">
      <c r="A102" s="13" t="str">
        <f t="shared" si="24"/>
        <v/>
      </c>
      <c r="B102" s="30">
        <f>IF(B101=$C$9,$C$6,IF(OR(ISNA(B101),B101=$C$6),NA(),Main!A69))</f>
        <v>68</v>
      </c>
      <c r="C102" s="29">
        <f>IF(ISNA(B102),NA(),IF(B102=$C$6,$C$19,Main!C69))</f>
        <v>0.14460000000000006</v>
      </c>
      <c r="D102" s="19">
        <f t="shared" si="25"/>
        <v>0.18528610354223432</v>
      </c>
      <c r="E102" s="18">
        <f t="shared" si="26"/>
        <v>-0.52227234508915088</v>
      </c>
      <c r="F102" s="18">
        <f t="shared" si="27"/>
        <v>1.2892243326620076</v>
      </c>
      <c r="G102" s="18">
        <f t="shared" si="28"/>
        <v>0.15787716216560069</v>
      </c>
      <c r="H102" s="18">
        <f t="shared" si="29"/>
        <v>3.8756152992165688E-3</v>
      </c>
      <c r="I102" s="18">
        <f t="shared" si="35"/>
        <v>0.15289885373007545</v>
      </c>
      <c r="J102" s="18">
        <f t="shared" si="36"/>
        <v>0.16285547060112593</v>
      </c>
      <c r="K102" s="18">
        <f t="shared" si="37"/>
        <v>0.15148361186825623</v>
      </c>
      <c r="L102" s="18">
        <f t="shared" si="38"/>
        <v>0.16427071246294514</v>
      </c>
      <c r="M102" s="18">
        <f t="shared" si="39"/>
        <v>0.1502556229199741</v>
      </c>
      <c r="N102" s="18">
        <f t="shared" si="40"/>
        <v>0.16549870141122727</v>
      </c>
      <c r="O102" s="18">
        <f t="shared" si="41"/>
        <v>0.147842299699286</v>
      </c>
      <c r="P102" s="18">
        <f t="shared" si="42"/>
        <v>0.16791202463191537</v>
      </c>
      <c r="Q102" s="18">
        <f t="shared" si="30"/>
        <v>0.13297265208219569</v>
      </c>
      <c r="R102" s="18">
        <f t="shared" si="32"/>
        <v>-0.70191453243759838</v>
      </c>
      <c r="S102" s="18">
        <f t="shared" si="33"/>
        <v>3.9544756728749682E-3</v>
      </c>
      <c r="T102" s="18">
        <f t="shared" si="43"/>
        <v>0.15010054111067178</v>
      </c>
      <c r="U102" s="18">
        <f t="shared" si="44"/>
        <v>0.16565378322052959</v>
      </c>
      <c r="V102" s="40" t="str">
        <f t="shared" si="34"/>
        <v>Y</v>
      </c>
      <c r="W102" s="18">
        <v>2.2654000000000001</v>
      </c>
      <c r="X102" s="18">
        <f t="shared" si="31"/>
        <v>0.89370335403291856</v>
      </c>
      <c r="Y102" s="18">
        <v>0.89370335403291856</v>
      </c>
      <c r="Z102" s="18">
        <v>0.22745712522122905</v>
      </c>
      <c r="AA102" s="18">
        <f t="shared" si="45"/>
        <v>-1.4807935189180821</v>
      </c>
      <c r="AB102" s="18">
        <f t="shared" si="46"/>
        <v>-2.2415215466524265</v>
      </c>
      <c r="AC102" s="18">
        <f t="shared" si="47"/>
        <v>-502.51253385201869</v>
      </c>
    </row>
    <row r="103" spans="1:29" x14ac:dyDescent="0.25">
      <c r="A103" s="13" t="str">
        <f t="shared" si="24"/>
        <v/>
      </c>
      <c r="B103" s="30">
        <f>IF(B102=$C$9,$C$6,IF(OR(ISNA(B102),B102=$C$6),NA(),Main!A70))</f>
        <v>69</v>
      </c>
      <c r="C103" s="29">
        <f>IF(ISNA(B103),NA(),IF(B103=$C$6,$C$19,Main!C70))</f>
        <v>0.14460000000000006</v>
      </c>
      <c r="D103" s="19">
        <f t="shared" si="25"/>
        <v>0.18801089918256131</v>
      </c>
      <c r="E103" s="18">
        <f t="shared" si="26"/>
        <v>-0.51357504671076604</v>
      </c>
      <c r="F103" s="18">
        <f t="shared" si="27"/>
        <v>1.2892243326620076</v>
      </c>
      <c r="G103" s="18">
        <f t="shared" si="28"/>
        <v>0.15851997019792802</v>
      </c>
      <c r="H103" s="18">
        <f t="shared" si="29"/>
        <v>3.873675638460757E-3</v>
      </c>
      <c r="I103" s="18">
        <f t="shared" si="35"/>
        <v>0.15354415329697399</v>
      </c>
      <c r="J103" s="18">
        <f t="shared" si="36"/>
        <v>0.16349578709888204</v>
      </c>
      <c r="K103" s="18">
        <f t="shared" si="37"/>
        <v>0.15212961973277656</v>
      </c>
      <c r="L103" s="18">
        <f t="shared" si="38"/>
        <v>0.16491032066307948</v>
      </c>
      <c r="M103" s="18">
        <f t="shared" si="39"/>
        <v>0.15090224536612537</v>
      </c>
      <c r="N103" s="18">
        <f t="shared" si="40"/>
        <v>0.16613769502973066</v>
      </c>
      <c r="O103" s="18">
        <f t="shared" si="41"/>
        <v>0.14849012996096614</v>
      </c>
      <c r="P103" s="18">
        <f t="shared" si="42"/>
        <v>0.1685498104348899</v>
      </c>
      <c r="Q103" s="18">
        <f t="shared" si="30"/>
        <v>0.13297265208219569</v>
      </c>
      <c r="R103" s="18">
        <f t="shared" si="32"/>
        <v>-0.70191453243759838</v>
      </c>
      <c r="S103" s="18">
        <f t="shared" si="33"/>
        <v>3.9544756728749682E-3</v>
      </c>
      <c r="T103" s="18">
        <f t="shared" si="43"/>
        <v>0.15074334914299911</v>
      </c>
      <c r="U103" s="18">
        <f t="shared" si="44"/>
        <v>0.16629659125285692</v>
      </c>
      <c r="V103" s="40" t="str">
        <f t="shared" si="34"/>
        <v>Y</v>
      </c>
      <c r="W103" s="18">
        <v>2.2654000000000001</v>
      </c>
      <c r="X103" s="18">
        <f t="shared" si="31"/>
        <v>0.89370335403291856</v>
      </c>
      <c r="Y103" s="18">
        <v>0.89370335403291856</v>
      </c>
      <c r="Z103" s="18">
        <v>0.22745712522122905</v>
      </c>
      <c r="AA103" s="18">
        <f t="shared" si="45"/>
        <v>-1.4807935189180821</v>
      </c>
      <c r="AB103" s="18">
        <f t="shared" si="46"/>
        <v>-2.2415215466524265</v>
      </c>
      <c r="AC103" s="18">
        <f t="shared" si="47"/>
        <v>-509.95716398315966</v>
      </c>
    </row>
    <row r="104" spans="1:29" x14ac:dyDescent="0.25">
      <c r="A104" s="13" t="str">
        <f t="shared" si="24"/>
        <v/>
      </c>
      <c r="B104" s="30">
        <f>IF(B103=$C$9,$C$6,IF(OR(ISNA(B103),B103=$C$6),NA(),Main!A71))</f>
        <v>70</v>
      </c>
      <c r="C104" s="29">
        <f>IF(ISNA(B104),NA(),IF(B104=$C$6,$C$19,Main!C71))</f>
        <v>0.14460000000000006</v>
      </c>
      <c r="D104" s="19">
        <f t="shared" si="25"/>
        <v>0.1907356948228883</v>
      </c>
      <c r="E104" s="18">
        <f t="shared" si="26"/>
        <v>-0.50492823188775338</v>
      </c>
      <c r="F104" s="18">
        <f t="shared" si="27"/>
        <v>1.2892243326620076</v>
      </c>
      <c r="G104" s="18">
        <f t="shared" si="28"/>
        <v>0.15915904704460643</v>
      </c>
      <c r="H104" s="18">
        <f t="shared" si="29"/>
        <v>3.8719220161309957E-3</v>
      </c>
      <c r="I104" s="18">
        <f t="shared" si="35"/>
        <v>0.15418548270799715</v>
      </c>
      <c r="J104" s="18">
        <f t="shared" si="36"/>
        <v>0.16413261138121571</v>
      </c>
      <c r="K104" s="18">
        <f t="shared" si="37"/>
        <v>0.15277158950656516</v>
      </c>
      <c r="L104" s="18">
        <f t="shared" si="38"/>
        <v>0.16554650458264769</v>
      </c>
      <c r="M104" s="18">
        <f t="shared" si="39"/>
        <v>0.1515447707752581</v>
      </c>
      <c r="N104" s="18">
        <f t="shared" si="40"/>
        <v>0.16677332331395475</v>
      </c>
      <c r="O104" s="18">
        <f t="shared" si="41"/>
        <v>0.14913374734057633</v>
      </c>
      <c r="P104" s="18">
        <f t="shared" si="42"/>
        <v>0.16918434674863653</v>
      </c>
      <c r="Q104" s="18">
        <f t="shared" si="30"/>
        <v>0.13297265208219569</v>
      </c>
      <c r="R104" s="18">
        <f t="shared" si="32"/>
        <v>-0.70191453243759838</v>
      </c>
      <c r="S104" s="18">
        <f t="shared" si="33"/>
        <v>3.9544756728749682E-3</v>
      </c>
      <c r="T104" s="18">
        <f t="shared" si="43"/>
        <v>0.15138242598967752</v>
      </c>
      <c r="U104" s="18">
        <f t="shared" si="44"/>
        <v>0.16693566809953533</v>
      </c>
      <c r="V104" s="40" t="str">
        <f t="shared" si="34"/>
        <v>Y</v>
      </c>
      <c r="W104" s="18">
        <v>2.2654000000000001</v>
      </c>
      <c r="X104" s="18">
        <f t="shared" si="31"/>
        <v>0.89370335403291856</v>
      </c>
      <c r="Y104" s="18">
        <v>0.89370335403291856</v>
      </c>
      <c r="Z104" s="18">
        <v>0.22745712522122905</v>
      </c>
      <c r="AA104" s="18">
        <f t="shared" si="45"/>
        <v>-1.4807935189180821</v>
      </c>
      <c r="AB104" s="18">
        <f t="shared" si="46"/>
        <v>-2.2415215466524265</v>
      </c>
      <c r="AC104" s="18">
        <f t="shared" si="47"/>
        <v>-517.40179411430074</v>
      </c>
    </row>
    <row r="105" spans="1:29" x14ac:dyDescent="0.25">
      <c r="A105" s="13" t="str">
        <f t="shared" si="24"/>
        <v/>
      </c>
      <c r="B105" s="30">
        <f>IF(B104=$C$9,$C$6,IF(OR(ISNA(B104),B104=$C$6),NA(),Main!A72))</f>
        <v>71</v>
      </c>
      <c r="C105" s="29">
        <f>IF(ISNA(B105),NA(),IF(B105=$C$6,$C$19,Main!C72))</f>
        <v>0.14460000000000006</v>
      </c>
      <c r="D105" s="19">
        <f t="shared" si="25"/>
        <v>0.19346049046321526</v>
      </c>
      <c r="E105" s="18">
        <f t="shared" si="26"/>
        <v>-0.49633025428914096</v>
      </c>
      <c r="F105" s="18">
        <f t="shared" si="27"/>
        <v>1.2892243326620076</v>
      </c>
      <c r="G105" s="18">
        <f t="shared" si="28"/>
        <v>0.15979451438419939</v>
      </c>
      <c r="H105" s="18">
        <f t="shared" si="29"/>
        <v>3.8703513304940216E-3</v>
      </c>
      <c r="I105" s="18">
        <f t="shared" si="35"/>
        <v>0.15482296762594924</v>
      </c>
      <c r="J105" s="18">
        <f t="shared" si="36"/>
        <v>0.16476606114244954</v>
      </c>
      <c r="K105" s="18">
        <f t="shared" si="37"/>
        <v>0.15340964798507312</v>
      </c>
      <c r="L105" s="18">
        <f t="shared" si="38"/>
        <v>0.16617938078332567</v>
      </c>
      <c r="M105" s="18">
        <f t="shared" si="39"/>
        <v>0.15218332692560768</v>
      </c>
      <c r="N105" s="18">
        <f t="shared" si="40"/>
        <v>0.1674057018427911</v>
      </c>
      <c r="O105" s="18">
        <f t="shared" si="41"/>
        <v>0.14977328154778333</v>
      </c>
      <c r="P105" s="18">
        <f t="shared" si="42"/>
        <v>0.16981574722061546</v>
      </c>
      <c r="Q105" s="18">
        <f t="shared" si="30"/>
        <v>0.13297265208219569</v>
      </c>
      <c r="R105" s="18">
        <f t="shared" si="32"/>
        <v>-0.70191453243759838</v>
      </c>
      <c r="S105" s="18">
        <f t="shared" si="33"/>
        <v>3.9544756728749682E-3</v>
      </c>
      <c r="T105" s="18">
        <f t="shared" si="43"/>
        <v>0.15201789332927049</v>
      </c>
      <c r="U105" s="18">
        <f t="shared" si="44"/>
        <v>0.1675711354391283</v>
      </c>
      <c r="V105" s="40" t="str">
        <f t="shared" si="34"/>
        <v>Y</v>
      </c>
      <c r="W105" s="18">
        <v>2.2654000000000001</v>
      </c>
      <c r="X105" s="18">
        <f t="shared" si="31"/>
        <v>0.89370335403291856</v>
      </c>
      <c r="Y105" s="18">
        <v>0.89370335403291856</v>
      </c>
      <c r="Z105" s="18">
        <v>0.22745712522122905</v>
      </c>
      <c r="AA105" s="18">
        <f t="shared" si="45"/>
        <v>-1.4807935189180821</v>
      </c>
      <c r="AB105" s="18">
        <f t="shared" si="46"/>
        <v>-2.2415215466524265</v>
      </c>
      <c r="AC105" s="18">
        <f t="shared" si="47"/>
        <v>-524.84642424544177</v>
      </c>
    </row>
    <row r="106" spans="1:29" x14ac:dyDescent="0.25">
      <c r="A106" s="13" t="str">
        <f t="shared" si="24"/>
        <v/>
      </c>
      <c r="B106" s="30">
        <f>IF(B105=$C$9,$C$6,IF(OR(ISNA(B105),B105=$C$6),NA(),Main!A73))</f>
        <v>72</v>
      </c>
      <c r="C106" s="29">
        <f>IF(ISNA(B106),NA(),IF(B106=$C$6,$C$19,Main!C73))</f>
        <v>0.16869999999999985</v>
      </c>
      <c r="D106" s="19">
        <f t="shared" si="25"/>
        <v>0.19618528610354224</v>
      </c>
      <c r="E106" s="18">
        <f t="shared" si="26"/>
        <v>-0.48777952828075433</v>
      </c>
      <c r="F106" s="18">
        <f t="shared" si="27"/>
        <v>1.5245485835132204</v>
      </c>
      <c r="G106" s="18">
        <f t="shared" si="28"/>
        <v>0.16042648940923487</v>
      </c>
      <c r="H106" s="18">
        <f t="shared" si="29"/>
        <v>3.8689606077643057E-3</v>
      </c>
      <c r="I106" s="18">
        <f t="shared" si="35"/>
        <v>0.15545672906324765</v>
      </c>
      <c r="J106" s="18">
        <f t="shared" si="36"/>
        <v>0.1653962497552221</v>
      </c>
      <c r="K106" s="18">
        <f t="shared" si="37"/>
        <v>0.15404391726664224</v>
      </c>
      <c r="L106" s="18">
        <f t="shared" si="38"/>
        <v>0.16680906155182751</v>
      </c>
      <c r="M106" s="18">
        <f t="shared" si="39"/>
        <v>0.1528180368577601</v>
      </c>
      <c r="N106" s="18">
        <f t="shared" si="40"/>
        <v>0.16803494196070964</v>
      </c>
      <c r="O106" s="18">
        <f t="shared" si="41"/>
        <v>0.15040885747493216</v>
      </c>
      <c r="P106" s="18">
        <f t="shared" si="42"/>
        <v>0.17044412134353759</v>
      </c>
      <c r="Q106" s="18">
        <f t="shared" si="30"/>
        <v>0.23311798467609596</v>
      </c>
      <c r="R106" s="18">
        <f t="shared" si="32"/>
        <v>-0.37583756952195446</v>
      </c>
      <c r="S106" s="18">
        <f t="shared" si="33"/>
        <v>3.8665677112828638E-3</v>
      </c>
      <c r="T106" s="18">
        <f t="shared" si="43"/>
        <v>0.15282274257621667</v>
      </c>
      <c r="U106" s="18">
        <f t="shared" si="44"/>
        <v>0.16803023624225308</v>
      </c>
      <c r="V106" s="40" t="str">
        <f t="shared" si="34"/>
        <v>Y</v>
      </c>
      <c r="W106" s="18">
        <v>2.2413000000000003</v>
      </c>
      <c r="X106" s="18">
        <f t="shared" si="31"/>
        <v>0.84137815836761054</v>
      </c>
      <c r="Y106" s="18">
        <v>0.84137815836761054</v>
      </c>
      <c r="Z106" s="18">
        <v>0.22745712522122905</v>
      </c>
      <c r="AA106" s="18">
        <f t="shared" si="45"/>
        <v>-1.4807935189180821</v>
      </c>
      <c r="AB106" s="18">
        <f t="shared" si="46"/>
        <v>-1.8412322640527323</v>
      </c>
      <c r="AC106" s="18">
        <f t="shared" si="47"/>
        <v>-475.04968696482644</v>
      </c>
    </row>
    <row r="107" spans="1:29" x14ac:dyDescent="0.25">
      <c r="A107" s="13" t="str">
        <f t="shared" si="24"/>
        <v/>
      </c>
      <c r="B107" s="30">
        <f>IF(B106=$C$9,$C$6,IF(OR(ISNA(B106),B106=$C$6),NA(),Main!A74))</f>
        <v>73</v>
      </c>
      <c r="C107" s="29">
        <f>IF(ISNA(B107),NA(),IF(B107=$C$6,$C$19,Main!C74))</f>
        <v>0.16869999999999985</v>
      </c>
      <c r="D107" s="19">
        <f t="shared" si="25"/>
        <v>0.1989100817438692</v>
      </c>
      <c r="E107" s="18">
        <f t="shared" si="26"/>
        <v>-0.47927452568844409</v>
      </c>
      <c r="F107" s="18">
        <f t="shared" si="27"/>
        <v>1.5245485835132204</v>
      </c>
      <c r="G107" s="18">
        <f t="shared" si="28"/>
        <v>0.16105508506543187</v>
      </c>
      <c r="H107" s="18">
        <f t="shared" si="29"/>
        <v>3.8677469954193889E-3</v>
      </c>
      <c r="I107" s="18">
        <f t="shared" si="35"/>
        <v>0.15608688362973569</v>
      </c>
      <c r="J107" s="18">
        <f t="shared" si="36"/>
        <v>0.16602328650112805</v>
      </c>
      <c r="K107" s="18">
        <f t="shared" si="37"/>
        <v>0.15467451500275936</v>
      </c>
      <c r="L107" s="18">
        <f t="shared" si="38"/>
        <v>0.16743565512810438</v>
      </c>
      <c r="M107" s="18">
        <f t="shared" si="39"/>
        <v>0.15344901912702411</v>
      </c>
      <c r="N107" s="18">
        <f t="shared" si="40"/>
        <v>0.16866115100383963</v>
      </c>
      <c r="O107" s="18">
        <f t="shared" si="41"/>
        <v>0.15104059545358078</v>
      </c>
      <c r="P107" s="18">
        <f t="shared" si="42"/>
        <v>0.17106957467728295</v>
      </c>
      <c r="Q107" s="18">
        <f t="shared" si="30"/>
        <v>0.23311798467609596</v>
      </c>
      <c r="R107" s="18">
        <f t="shared" si="32"/>
        <v>-0.37583756952195446</v>
      </c>
      <c r="S107" s="18">
        <f t="shared" si="33"/>
        <v>3.8665677112828638E-3</v>
      </c>
      <c r="T107" s="18">
        <f t="shared" si="43"/>
        <v>0.15345133823241366</v>
      </c>
      <c r="U107" s="18">
        <f t="shared" si="44"/>
        <v>0.16865883189845007</v>
      </c>
      <c r="V107" s="40" t="str">
        <f t="shared" si="34"/>
        <v>Y</v>
      </c>
      <c r="W107" s="18">
        <v>2.2413000000000003</v>
      </c>
      <c r="X107" s="18">
        <f t="shared" si="31"/>
        <v>0.84137815836761054</v>
      </c>
      <c r="Y107" s="18">
        <v>0.84137815836761054</v>
      </c>
      <c r="Z107" s="18">
        <v>0.22745712522122905</v>
      </c>
      <c r="AA107" s="18">
        <f t="shared" si="45"/>
        <v>-1.4807935189180821</v>
      </c>
      <c r="AB107" s="18">
        <f t="shared" si="46"/>
        <v>-1.8412322640527323</v>
      </c>
      <c r="AC107" s="18">
        <f t="shared" si="47"/>
        <v>-481.69373853076809</v>
      </c>
    </row>
    <row r="108" spans="1:29" x14ac:dyDescent="0.25">
      <c r="A108" s="13" t="str">
        <f t="shared" si="24"/>
        <v/>
      </c>
      <c r="B108" s="30">
        <f>IF(B107=$C$9,$C$6,IF(OR(ISNA(B107),B107=$C$6),NA(),Main!A75))</f>
        <v>74</v>
      </c>
      <c r="C108" s="29">
        <f>IF(ISNA(B108),NA(),IF(B108=$C$6,$C$19,Main!C75))</f>
        <v>0.16869999999999985</v>
      </c>
      <c r="D108" s="19">
        <f t="shared" si="25"/>
        <v>0.20163487738419619</v>
      </c>
      <c r="E108" s="18">
        <f t="shared" si="26"/>
        <v>-0.47081377277233044</v>
      </c>
      <c r="F108" s="18">
        <f t="shared" si="27"/>
        <v>1.5245485835132204</v>
      </c>
      <c r="G108" s="18">
        <f t="shared" si="28"/>
        <v>0.16168041027533051</v>
      </c>
      <c r="H108" s="18">
        <f t="shared" si="29"/>
        <v>3.8667077559604119E-3</v>
      </c>
      <c r="I108" s="18">
        <f t="shared" si="35"/>
        <v>0.15671354376432778</v>
      </c>
      <c r="J108" s="18">
        <f t="shared" si="36"/>
        <v>0.16664727678633323</v>
      </c>
      <c r="K108" s="18">
        <f t="shared" si="37"/>
        <v>0.15530155463197959</v>
      </c>
      <c r="L108" s="18">
        <f t="shared" si="38"/>
        <v>0.16805926591868142</v>
      </c>
      <c r="M108" s="18">
        <f t="shared" si="39"/>
        <v>0.15407638803933144</v>
      </c>
      <c r="N108" s="18">
        <f t="shared" si="40"/>
        <v>0.16928443251132957</v>
      </c>
      <c r="O108" s="18">
        <f t="shared" si="41"/>
        <v>0.1516686114942857</v>
      </c>
      <c r="P108" s="18">
        <f t="shared" si="42"/>
        <v>0.17169220905637531</v>
      </c>
      <c r="Q108" s="18">
        <f t="shared" si="30"/>
        <v>0.23311798467609596</v>
      </c>
      <c r="R108" s="18">
        <f t="shared" si="32"/>
        <v>-0.37583756952195446</v>
      </c>
      <c r="S108" s="18">
        <f t="shared" si="33"/>
        <v>3.8665677112828638E-3</v>
      </c>
      <c r="T108" s="18">
        <f t="shared" si="43"/>
        <v>0.1540766634423123</v>
      </c>
      <c r="U108" s="18">
        <f t="shared" si="44"/>
        <v>0.16928415710834871</v>
      </c>
      <c r="V108" s="40" t="str">
        <f t="shared" si="34"/>
        <v>Y</v>
      </c>
      <c r="W108" s="18">
        <v>2.2413000000000003</v>
      </c>
      <c r="X108" s="18">
        <f t="shared" si="31"/>
        <v>0.84137815836761054</v>
      </c>
      <c r="Y108" s="18">
        <v>0.84137815836761054</v>
      </c>
      <c r="Z108" s="18">
        <v>0.22745712522122905</v>
      </c>
      <c r="AA108" s="18">
        <f t="shared" si="45"/>
        <v>-1.4807935189180821</v>
      </c>
      <c r="AB108" s="18">
        <f t="shared" si="46"/>
        <v>-1.8412322640527323</v>
      </c>
      <c r="AC108" s="18">
        <f t="shared" si="47"/>
        <v>-488.33779009670974</v>
      </c>
    </row>
    <row r="109" spans="1:29" x14ac:dyDescent="0.25">
      <c r="A109" s="13" t="str">
        <f t="shared" si="24"/>
        <v/>
      </c>
      <c r="B109" s="30">
        <f>IF(B108=$C$9,$C$6,IF(OR(ISNA(B108),B108=$C$6),NA(),Main!A76))</f>
        <v>75</v>
      </c>
      <c r="C109" s="29">
        <f>IF(ISNA(B109),NA(),IF(B109=$C$6,$C$19,Main!C76))</f>
        <v>0.16869999999999985</v>
      </c>
      <c r="D109" s="19">
        <f t="shared" si="25"/>
        <v>0.20435967302452315</v>
      </c>
      <c r="E109" s="18">
        <f t="shared" si="26"/>
        <v>-0.46239584739557771</v>
      </c>
      <c r="F109" s="18">
        <f t="shared" si="27"/>
        <v>1.5245485835132204</v>
      </c>
      <c r="G109" s="18">
        <f t="shared" si="28"/>
        <v>0.16230257014754515</v>
      </c>
      <c r="H109" s="18">
        <f t="shared" si="29"/>
        <v>3.865840261082915E-3</v>
      </c>
      <c r="I109" s="18">
        <f t="shared" si="35"/>
        <v>0.15733681795174992</v>
      </c>
      <c r="J109" s="18">
        <f t="shared" si="36"/>
        <v>0.16726832234334038</v>
      </c>
      <c r="K109" s="18">
        <f t="shared" si="37"/>
        <v>0.15592514559879567</v>
      </c>
      <c r="L109" s="18">
        <f t="shared" si="38"/>
        <v>0.16867999469629463</v>
      </c>
      <c r="M109" s="18">
        <f t="shared" si="39"/>
        <v>0.15470025387195332</v>
      </c>
      <c r="N109" s="18">
        <f t="shared" si="40"/>
        <v>0.16990488642313697</v>
      </c>
      <c r="O109" s="18">
        <f t="shared" si="41"/>
        <v>0.15229301751094809</v>
      </c>
      <c r="P109" s="18">
        <f t="shared" si="42"/>
        <v>0.17231212278414221</v>
      </c>
      <c r="Q109" s="18">
        <f t="shared" si="30"/>
        <v>0.23311798467609596</v>
      </c>
      <c r="R109" s="18">
        <f t="shared" si="32"/>
        <v>-0.37583756952195446</v>
      </c>
      <c r="S109" s="18">
        <f t="shared" si="33"/>
        <v>3.8665677112828638E-3</v>
      </c>
      <c r="T109" s="18">
        <f t="shared" si="43"/>
        <v>0.15469882331452695</v>
      </c>
      <c r="U109" s="18">
        <f t="shared" si="44"/>
        <v>0.16990631698056335</v>
      </c>
      <c r="V109" s="40" t="str">
        <f t="shared" si="34"/>
        <v>Y</v>
      </c>
      <c r="W109" s="18">
        <v>2.2413000000000003</v>
      </c>
      <c r="X109" s="18">
        <f t="shared" si="31"/>
        <v>0.84137815836761054</v>
      </c>
      <c r="Y109" s="18">
        <v>0.84137815836761054</v>
      </c>
      <c r="Z109" s="18">
        <v>0.22745712522122905</v>
      </c>
      <c r="AA109" s="18">
        <f t="shared" si="45"/>
        <v>-1.4807935189180821</v>
      </c>
      <c r="AB109" s="18">
        <f t="shared" si="46"/>
        <v>-1.8412322640527323</v>
      </c>
      <c r="AC109" s="18">
        <f t="shared" si="47"/>
        <v>-494.98184166265133</v>
      </c>
    </row>
    <row r="110" spans="1:29" x14ac:dyDescent="0.25">
      <c r="A110" s="13" t="str">
        <f t="shared" si="24"/>
        <v/>
      </c>
      <c r="B110" s="30">
        <f>IF(B109=$C$9,$C$6,IF(OR(ISNA(B109),B109=$C$6),NA(),Main!A77))</f>
        <v>76</v>
      </c>
      <c r="C110" s="29">
        <f>IF(ISNA(B110),NA(),IF(B110=$C$6,$C$19,Main!C77))</f>
        <v>0.16869999999999985</v>
      </c>
      <c r="D110" s="19">
        <f t="shared" si="25"/>
        <v>0.20708446866485014</v>
      </c>
      <c r="E110" s="18">
        <f t="shared" si="26"/>
        <v>-0.45401937637268741</v>
      </c>
      <c r="F110" s="18">
        <f t="shared" si="27"/>
        <v>1.5245485835132204</v>
      </c>
      <c r="G110" s="18">
        <f t="shared" si="28"/>
        <v>0.16292166617274911</v>
      </c>
      <c r="H110" s="18">
        <f t="shared" si="29"/>
        <v>3.8651419862261479E-3</v>
      </c>
      <c r="I110" s="18">
        <f t="shared" si="35"/>
        <v>0.15795681092552627</v>
      </c>
      <c r="J110" s="18">
        <f t="shared" si="36"/>
        <v>0.16788652141997196</v>
      </c>
      <c r="K110" s="18">
        <f t="shared" si="37"/>
        <v>0.15654539355861477</v>
      </c>
      <c r="L110" s="18">
        <f t="shared" si="38"/>
        <v>0.16929793878688346</v>
      </c>
      <c r="M110" s="18">
        <f t="shared" si="39"/>
        <v>0.15532072308020417</v>
      </c>
      <c r="N110" s="18">
        <f t="shared" si="40"/>
        <v>0.17052260926529406</v>
      </c>
      <c r="O110" s="18">
        <f t="shared" si="41"/>
        <v>0.15291392153091168</v>
      </c>
      <c r="P110" s="18">
        <f t="shared" si="42"/>
        <v>0.17292941081458654</v>
      </c>
      <c r="Q110" s="18">
        <f t="shared" si="30"/>
        <v>0.23311798467609596</v>
      </c>
      <c r="R110" s="18">
        <f t="shared" si="32"/>
        <v>-0.37583756952195446</v>
      </c>
      <c r="S110" s="18">
        <f t="shared" si="33"/>
        <v>3.8665677112828638E-3</v>
      </c>
      <c r="T110" s="18">
        <f t="shared" si="43"/>
        <v>0.15531791933973091</v>
      </c>
      <c r="U110" s="18">
        <f t="shared" si="44"/>
        <v>0.17052541300576732</v>
      </c>
      <c r="V110" s="40" t="str">
        <f t="shared" si="34"/>
        <v>Y</v>
      </c>
      <c r="W110" s="18">
        <v>2.2413000000000003</v>
      </c>
      <c r="X110" s="18">
        <f t="shared" si="31"/>
        <v>0.84137815836761054</v>
      </c>
      <c r="Y110" s="18">
        <v>0.84137815836761054</v>
      </c>
      <c r="Z110" s="18">
        <v>0.22745712522122905</v>
      </c>
      <c r="AA110" s="18">
        <f t="shared" si="45"/>
        <v>-1.4807935189180821</v>
      </c>
      <c r="AB110" s="18">
        <f t="shared" si="46"/>
        <v>-1.8412322640527323</v>
      </c>
      <c r="AC110" s="18">
        <f t="shared" si="47"/>
        <v>-501.62589322859299</v>
      </c>
    </row>
    <row r="111" spans="1:29" x14ac:dyDescent="0.25">
      <c r="A111" s="13" t="str">
        <f t="shared" si="24"/>
        <v/>
      </c>
      <c r="B111" s="30">
        <f>IF(B110=$C$9,$C$6,IF(OR(ISNA(B110),B110=$C$6),NA(),Main!A78))</f>
        <v>77</v>
      </c>
      <c r="C111" s="29">
        <f>IF(ISNA(B111),NA(),IF(B111=$C$6,$C$19,Main!C78))</f>
        <v>0.16869999999999985</v>
      </c>
      <c r="D111" s="19">
        <f t="shared" si="25"/>
        <v>0.2098092643051771</v>
      </c>
      <c r="E111" s="18">
        <f t="shared" si="26"/>
        <v>-0.44568303298365097</v>
      </c>
      <c r="F111" s="18">
        <f t="shared" si="27"/>
        <v>1.5245485835132204</v>
      </c>
      <c r="G111" s="18">
        <f t="shared" si="28"/>
        <v>0.16353779640740096</v>
      </c>
      <c r="H111" s="18">
        <f t="shared" si="29"/>
        <v>3.8646105054719721E-3</v>
      </c>
      <c r="I111" s="18">
        <f t="shared" si="35"/>
        <v>0.15857362385825768</v>
      </c>
      <c r="J111" s="18">
        <f t="shared" si="36"/>
        <v>0.16850196895654423</v>
      </c>
      <c r="K111" s="18">
        <f t="shared" si="37"/>
        <v>0.15716240056989988</v>
      </c>
      <c r="L111" s="18">
        <f t="shared" si="38"/>
        <v>0.16991319224490203</v>
      </c>
      <c r="M111" s="18">
        <f t="shared" si="39"/>
        <v>0.15593789849119927</v>
      </c>
      <c r="N111" s="18">
        <f t="shared" si="40"/>
        <v>0.17113769432360265</v>
      </c>
      <c r="O111" s="18">
        <f t="shared" si="41"/>
        <v>0.153531427891897</v>
      </c>
      <c r="P111" s="18">
        <f t="shared" si="42"/>
        <v>0.17354416492290492</v>
      </c>
      <c r="Q111" s="18">
        <f t="shared" si="30"/>
        <v>0.23311798467609596</v>
      </c>
      <c r="R111" s="18">
        <f t="shared" si="32"/>
        <v>-0.37583756952195446</v>
      </c>
      <c r="S111" s="18">
        <f t="shared" si="33"/>
        <v>3.8665677112828638E-3</v>
      </c>
      <c r="T111" s="18">
        <f t="shared" si="43"/>
        <v>0.15593404957438275</v>
      </c>
      <c r="U111" s="18">
        <f t="shared" si="44"/>
        <v>0.17114154324041916</v>
      </c>
      <c r="V111" s="40" t="str">
        <f t="shared" si="34"/>
        <v>Y</v>
      </c>
      <c r="W111" s="18">
        <v>2.2413000000000003</v>
      </c>
      <c r="X111" s="18">
        <f t="shared" si="31"/>
        <v>0.84137815836761054</v>
      </c>
      <c r="Y111" s="18">
        <v>0.84137815836761054</v>
      </c>
      <c r="Z111" s="18">
        <v>0.22745712522122905</v>
      </c>
      <c r="AA111" s="18">
        <f t="shared" si="45"/>
        <v>-1.4807935189180821</v>
      </c>
      <c r="AB111" s="18">
        <f t="shared" si="46"/>
        <v>-1.8412322640527323</v>
      </c>
      <c r="AC111" s="18">
        <f t="shared" si="47"/>
        <v>-508.26994479453458</v>
      </c>
    </row>
    <row r="112" spans="1:29" x14ac:dyDescent="0.25">
      <c r="A112" s="13" t="str">
        <f t="shared" si="24"/>
        <v/>
      </c>
      <c r="B112" s="30">
        <f>IF(B111=$C$9,$C$6,IF(OR(ISNA(B111),B111=$C$6),NA(),Main!A79))</f>
        <v>78</v>
      </c>
      <c r="C112" s="29">
        <f>IF(ISNA(B112),NA(),IF(B112=$C$6,$C$19,Main!C79))</f>
        <v>0.16869999999999985</v>
      </c>
      <c r="D112" s="19">
        <f t="shared" si="25"/>
        <v>0.21253405994550409</v>
      </c>
      <c r="E112" s="18">
        <f t="shared" si="26"/>
        <v>-0.43738553464149199</v>
      </c>
      <c r="F112" s="18">
        <f t="shared" si="27"/>
        <v>1.5245485835132204</v>
      </c>
      <c r="G112" s="18">
        <f t="shared" si="28"/>
        <v>0.164151055646134</v>
      </c>
      <c r="H112" s="18">
        <f t="shared" si="29"/>
        <v>3.8642434867670263E-3</v>
      </c>
      <c r="I112" s="18">
        <f t="shared" si="35"/>
        <v>0.15918735454014846</v>
      </c>
      <c r="J112" s="18">
        <f t="shared" si="36"/>
        <v>0.16911475675211954</v>
      </c>
      <c r="K112" s="18">
        <f t="shared" si="37"/>
        <v>0.1577762652744413</v>
      </c>
      <c r="L112" s="18">
        <f t="shared" si="38"/>
        <v>0.17052584601782669</v>
      </c>
      <c r="M112" s="18">
        <f t="shared" si="39"/>
        <v>0.15655187948564014</v>
      </c>
      <c r="N112" s="18">
        <f t="shared" si="40"/>
        <v>0.17175023180662785</v>
      </c>
      <c r="O112" s="18">
        <f t="shared" si="41"/>
        <v>0.15414563742676171</v>
      </c>
      <c r="P112" s="18">
        <f t="shared" si="42"/>
        <v>0.17415647386550628</v>
      </c>
      <c r="Q112" s="18">
        <f t="shared" si="30"/>
        <v>0.23311798467609596</v>
      </c>
      <c r="R112" s="18">
        <f t="shared" si="32"/>
        <v>-0.37583756952195446</v>
      </c>
      <c r="S112" s="18">
        <f t="shared" si="33"/>
        <v>3.8665677112828638E-3</v>
      </c>
      <c r="T112" s="18">
        <f t="shared" si="43"/>
        <v>0.15654730881311579</v>
      </c>
      <c r="U112" s="18">
        <f t="shared" si="44"/>
        <v>0.1717548024791522</v>
      </c>
      <c r="V112" s="40" t="str">
        <f t="shared" si="34"/>
        <v>Y</v>
      </c>
      <c r="W112" s="18">
        <v>2.2413000000000003</v>
      </c>
      <c r="X112" s="18">
        <f t="shared" si="31"/>
        <v>0.84137815836761054</v>
      </c>
      <c r="Y112" s="18">
        <v>0.84137815836761054</v>
      </c>
      <c r="Z112" s="18">
        <v>0.22745712522122905</v>
      </c>
      <c r="AA112" s="18">
        <f t="shared" si="45"/>
        <v>-1.4807935189180821</v>
      </c>
      <c r="AB112" s="18">
        <f t="shared" si="46"/>
        <v>-1.8412322640527323</v>
      </c>
      <c r="AC112" s="18">
        <f t="shared" si="47"/>
        <v>-514.91399636047629</v>
      </c>
    </row>
    <row r="113" spans="1:29" x14ac:dyDescent="0.25">
      <c r="A113" s="13" t="str">
        <f t="shared" ref="A113:A170" si="48">IF(B113=$C$6,"EVA","")</f>
        <v/>
      </c>
      <c r="B113" s="30">
        <f>IF(B112=$C$9,$C$6,IF(OR(ISNA(B112),B112=$C$6),NA(),Main!A80))</f>
        <v>79</v>
      </c>
      <c r="C113" s="29">
        <f>IF(ISNA(B113),NA(),IF(B113=$C$6,$C$19,Main!C80))</f>
        <v>0.16869999999999985</v>
      </c>
      <c r="D113" s="19">
        <f t="shared" ref="D113:D170" si="49">IF(ISNA(B113),NA(),IF(B113=$C$6,(N-1)/N,B113/($C$9+1)))</f>
        <v>0.21525885558583105</v>
      </c>
      <c r="E113" s="18">
        <f t="shared" ref="E113:E170" si="50">IF(ISNA(B113),NA(),-LN(-LN(D113)))</f>
        <v>-0.42912564070182152</v>
      </c>
      <c r="F113" s="18">
        <f t="shared" ref="F113:F170" si="51">IF(ISNA(B113),NA(),LN(1/$C$16) - (C113-$C$17)/$C$16 - EXP(-(C113-$C$17)/$C$16))</f>
        <v>1.5245485835132204</v>
      </c>
      <c r="G113" s="18">
        <f t="shared" ref="G113:G170" si="52">IF(ISNA(B113),NA(),$C$16*E113+$C$17)</f>
        <v>0.16476153558364973</v>
      </c>
      <c r="H113" s="18">
        <f t="shared" ref="H113:H170" si="53">IF(ISNA(B113),NA(),$C$16*SQRT((1.109+0.514*E113+0.608*E113^2)/$C$9))</f>
        <v>3.8640386874440871E-3</v>
      </c>
      <c r="I113" s="18">
        <f t="shared" si="35"/>
        <v>0.15979809754665278</v>
      </c>
      <c r="J113" s="18">
        <f t="shared" si="36"/>
        <v>0.16972497362064667</v>
      </c>
      <c r="K113" s="18">
        <f t="shared" si="37"/>
        <v>0.1583870830666384</v>
      </c>
      <c r="L113" s="18">
        <f t="shared" si="38"/>
        <v>0.17113598810066105</v>
      </c>
      <c r="M113" s="18">
        <f t="shared" si="39"/>
        <v>0.15716276216851544</v>
      </c>
      <c r="N113" s="18">
        <f t="shared" si="40"/>
        <v>0.17236030899878402</v>
      </c>
      <c r="O113" s="18">
        <f t="shared" si="41"/>
        <v>0.15475664763699035</v>
      </c>
      <c r="P113" s="18">
        <f t="shared" si="42"/>
        <v>0.17476642353030911</v>
      </c>
      <c r="Q113" s="18">
        <f t="shared" ref="Q113:Q170" si="54">IF(ISNA(B113),NA(),EXP(-EXP(-(C113-$C$17)/$C$16)))</f>
        <v>0.23311798467609596</v>
      </c>
      <c r="R113" s="18">
        <f t="shared" si="32"/>
        <v>-0.37583756952195446</v>
      </c>
      <c r="S113" s="18">
        <f t="shared" si="33"/>
        <v>3.8665677112828638E-3</v>
      </c>
      <c r="T113" s="18">
        <f t="shared" si="43"/>
        <v>0.15715778875063152</v>
      </c>
      <c r="U113" s="18">
        <f t="shared" si="44"/>
        <v>0.17236528241666793</v>
      </c>
      <c r="V113" s="40" t="str">
        <f t="shared" si="34"/>
        <v>Y</v>
      </c>
      <c r="W113" s="18">
        <v>2.2413000000000003</v>
      </c>
      <c r="X113" s="18">
        <f t="shared" si="31"/>
        <v>0.84137815836761054</v>
      </c>
      <c r="Y113" s="18">
        <v>0.84137815836761054</v>
      </c>
      <c r="Z113" s="18">
        <v>0.22745712522122905</v>
      </c>
      <c r="AA113" s="18">
        <f t="shared" si="45"/>
        <v>-1.4807935189180821</v>
      </c>
      <c r="AB113" s="18">
        <f t="shared" si="46"/>
        <v>-1.8412322640527323</v>
      </c>
      <c r="AC113" s="18">
        <f t="shared" si="47"/>
        <v>-521.55804792641788</v>
      </c>
    </row>
    <row r="114" spans="1:29" x14ac:dyDescent="0.25">
      <c r="A114" s="13" t="str">
        <f t="shared" si="48"/>
        <v/>
      </c>
      <c r="B114" s="30">
        <f>IF(B113=$C$9,$C$6,IF(OR(ISNA(B113),B113=$C$6),NA(),Main!A81))</f>
        <v>80</v>
      </c>
      <c r="C114" s="29">
        <f>IF(ISNA(B114),NA(),IF(B114=$C$6,$C$19,Main!C81))</f>
        <v>0.16869999999999985</v>
      </c>
      <c r="D114" s="19">
        <f t="shared" si="49"/>
        <v>0.21798365122615804</v>
      </c>
      <c r="E114" s="18">
        <f t="shared" si="50"/>
        <v>-0.42090215040399603</v>
      </c>
      <c r="F114" s="18">
        <f t="shared" si="51"/>
        <v>1.5245485835132204</v>
      </c>
      <c r="G114" s="18">
        <f t="shared" si="52"/>
        <v>0.16536932496688456</v>
      </c>
      <c r="H114" s="18">
        <f t="shared" si="53"/>
        <v>3.8639939500206624E-3</v>
      </c>
      <c r="I114" s="18">
        <f t="shared" si="35"/>
        <v>0.1604059443960382</v>
      </c>
      <c r="J114" s="18">
        <f t="shared" si="36"/>
        <v>0.17033270553773092</v>
      </c>
      <c r="K114" s="18">
        <f t="shared" si="37"/>
        <v>0.15899494625259739</v>
      </c>
      <c r="L114" s="18">
        <f t="shared" si="38"/>
        <v>0.17174370368117173</v>
      </c>
      <c r="M114" s="18">
        <f t="shared" si="39"/>
        <v>0.1577706395295298</v>
      </c>
      <c r="N114" s="18">
        <f t="shared" si="40"/>
        <v>0.17296801040423931</v>
      </c>
      <c r="O114" s="18">
        <f t="shared" si="41"/>
        <v>0.15536455285573941</v>
      </c>
      <c r="P114" s="18">
        <f t="shared" si="42"/>
        <v>0.1753740970780297</v>
      </c>
      <c r="Q114" s="18">
        <f t="shared" si="54"/>
        <v>0.23311798467609596</v>
      </c>
      <c r="R114" s="18">
        <f t="shared" si="32"/>
        <v>-0.37583756952195446</v>
      </c>
      <c r="S114" s="18">
        <f t="shared" si="33"/>
        <v>3.8665677112828638E-3</v>
      </c>
      <c r="T114" s="18">
        <f t="shared" si="43"/>
        <v>0.15776557813386635</v>
      </c>
      <c r="U114" s="18">
        <f t="shared" si="44"/>
        <v>0.17297307179990276</v>
      </c>
      <c r="V114" s="40" t="str">
        <f t="shared" si="34"/>
        <v>Y</v>
      </c>
      <c r="W114" s="18">
        <v>2.2413000000000003</v>
      </c>
      <c r="X114" s="18">
        <f t="shared" si="31"/>
        <v>0.84137815836761054</v>
      </c>
      <c r="Y114" s="18">
        <v>0.84137815836761054</v>
      </c>
      <c r="Z114" s="18">
        <v>0.22745712522122905</v>
      </c>
      <c r="AA114" s="18">
        <f t="shared" si="45"/>
        <v>-1.4807935189180821</v>
      </c>
      <c r="AB114" s="18">
        <f t="shared" si="46"/>
        <v>-1.8412322640527323</v>
      </c>
      <c r="AC114" s="18">
        <f t="shared" si="47"/>
        <v>-528.20209949235948</v>
      </c>
    </row>
    <row r="115" spans="1:29" x14ac:dyDescent="0.25">
      <c r="A115" s="13" t="str">
        <f t="shared" si="48"/>
        <v/>
      </c>
      <c r="B115" s="30">
        <f>IF(B114=$C$9,$C$6,IF(OR(ISNA(B114),B114=$C$6),NA(),Main!A82))</f>
        <v>81</v>
      </c>
      <c r="C115" s="29">
        <f>IF(ISNA(B115),NA(),IF(B115=$C$6,$C$19,Main!C82))</f>
        <v>0.16869999999999985</v>
      </c>
      <c r="D115" s="19">
        <f t="shared" si="49"/>
        <v>0.22070844686648503</v>
      </c>
      <c r="E115" s="18">
        <f t="shared" si="50"/>
        <v>-0.41271390093435911</v>
      </c>
      <c r="F115" s="18">
        <f t="shared" si="51"/>
        <v>1.5245485835132204</v>
      </c>
      <c r="G115" s="18">
        <f t="shared" si="52"/>
        <v>0.16597450973815372</v>
      </c>
      <c r="H115" s="18">
        <f t="shared" si="53"/>
        <v>3.8641071982547241E-3</v>
      </c>
      <c r="I115" s="18">
        <f t="shared" si="35"/>
        <v>0.16101098369759601</v>
      </c>
      <c r="J115" s="18">
        <f t="shared" si="36"/>
        <v>0.17093803577871144</v>
      </c>
      <c r="K115" s="18">
        <f t="shared" si="37"/>
        <v>0.15959994419978196</v>
      </c>
      <c r="L115" s="18">
        <f t="shared" si="38"/>
        <v>0.17234907527652549</v>
      </c>
      <c r="M115" s="18">
        <f t="shared" si="39"/>
        <v>0.15837560159400438</v>
      </c>
      <c r="N115" s="18">
        <f t="shared" si="40"/>
        <v>0.17357341788230307</v>
      </c>
      <c r="O115" s="18">
        <f t="shared" si="41"/>
        <v>0.15596944440119392</v>
      </c>
      <c r="P115" s="18">
        <f t="shared" si="42"/>
        <v>0.17597957507511353</v>
      </c>
      <c r="Q115" s="18">
        <f t="shared" si="54"/>
        <v>0.23311798467609596</v>
      </c>
      <c r="R115" s="18">
        <f t="shared" si="32"/>
        <v>-0.37583756952195446</v>
      </c>
      <c r="S115" s="18">
        <f t="shared" si="33"/>
        <v>3.8665677112828638E-3</v>
      </c>
      <c r="T115" s="18">
        <f t="shared" si="43"/>
        <v>0.15837076290513552</v>
      </c>
      <c r="U115" s="18">
        <f t="shared" si="44"/>
        <v>0.17357825657117193</v>
      </c>
      <c r="V115" s="40" t="str">
        <f t="shared" si="34"/>
        <v>Y</v>
      </c>
      <c r="W115" s="18">
        <v>2.2413000000000003</v>
      </c>
      <c r="X115" s="18">
        <f t="shared" si="31"/>
        <v>0.84137815836761054</v>
      </c>
      <c r="Y115" s="18">
        <v>0.84137815836761054</v>
      </c>
      <c r="Z115" s="18">
        <v>0.22745712522122905</v>
      </c>
      <c r="AA115" s="18">
        <f t="shared" si="45"/>
        <v>-1.4807935189180821</v>
      </c>
      <c r="AB115" s="18">
        <f t="shared" si="46"/>
        <v>-1.8412322640527323</v>
      </c>
      <c r="AC115" s="18">
        <f t="shared" si="47"/>
        <v>-534.84615105830107</v>
      </c>
    </row>
    <row r="116" spans="1:29" x14ac:dyDescent="0.25">
      <c r="A116" s="13" t="str">
        <f t="shared" si="48"/>
        <v/>
      </c>
      <c r="B116" s="30">
        <f>IF(B115=$C$9,$C$6,IF(OR(ISNA(B115),B115=$C$6),NA(),Main!A83))</f>
        <v>82</v>
      </c>
      <c r="C116" s="29">
        <f>IF(ISNA(B116),NA(),IF(B116=$C$6,$C$19,Main!C83))</f>
        <v>0.16869999999999985</v>
      </c>
      <c r="D116" s="19">
        <f t="shared" si="49"/>
        <v>0.22343324250681199</v>
      </c>
      <c r="E116" s="18">
        <f t="shared" si="50"/>
        <v>-0.40455976560283174</v>
      </c>
      <c r="F116" s="18">
        <f t="shared" si="51"/>
        <v>1.5245485835132204</v>
      </c>
      <c r="G116" s="18">
        <f t="shared" si="52"/>
        <v>0.16657717316991738</v>
      </c>
      <c r="H116" s="18">
        <f t="shared" si="53"/>
        <v>3.864376433439154E-3</v>
      </c>
      <c r="I116" s="18">
        <f t="shared" si="35"/>
        <v>0.16161330129116719</v>
      </c>
      <c r="J116" s="18">
        <f t="shared" si="36"/>
        <v>0.17154104504866757</v>
      </c>
      <c r="K116" s="18">
        <f t="shared" si="37"/>
        <v>0.16020216347789243</v>
      </c>
      <c r="L116" s="18">
        <f t="shared" si="38"/>
        <v>0.17295218286194233</v>
      </c>
      <c r="M116" s="18">
        <f t="shared" si="39"/>
        <v>0.15897773556492995</v>
      </c>
      <c r="N116" s="18">
        <f t="shared" si="40"/>
        <v>0.17417661077490482</v>
      </c>
      <c r="O116" s="18">
        <f t="shared" si="41"/>
        <v>0.15657141072092806</v>
      </c>
      <c r="P116" s="18">
        <f t="shared" si="42"/>
        <v>0.1765829356189067</v>
      </c>
      <c r="Q116" s="18">
        <f t="shared" si="54"/>
        <v>0.23311798467609596</v>
      </c>
      <c r="R116" s="18">
        <f t="shared" si="32"/>
        <v>-0.37583756952195446</v>
      </c>
      <c r="S116" s="18">
        <f t="shared" si="33"/>
        <v>3.8665677112828638E-3</v>
      </c>
      <c r="T116" s="18">
        <f t="shared" si="43"/>
        <v>0.15897342633689918</v>
      </c>
      <c r="U116" s="18">
        <f t="shared" si="44"/>
        <v>0.17418092000293559</v>
      </c>
      <c r="V116" s="40" t="str">
        <f t="shared" si="34"/>
        <v>Y</v>
      </c>
      <c r="W116" s="18">
        <v>2.2413000000000003</v>
      </c>
      <c r="X116" s="18">
        <f t="shared" si="31"/>
        <v>0.84137815836761054</v>
      </c>
      <c r="Y116" s="18">
        <v>0.84137815836761054</v>
      </c>
      <c r="Z116" s="18">
        <v>0.22745712522122905</v>
      </c>
      <c r="AA116" s="18">
        <f t="shared" si="45"/>
        <v>-1.4807935189180821</v>
      </c>
      <c r="AB116" s="18">
        <f t="shared" si="46"/>
        <v>-1.8412322640527323</v>
      </c>
      <c r="AC116" s="18">
        <f t="shared" si="47"/>
        <v>-541.49020262424278</v>
      </c>
    </row>
    <row r="117" spans="1:29" x14ac:dyDescent="0.25">
      <c r="A117" s="13" t="str">
        <f t="shared" si="48"/>
        <v/>
      </c>
      <c r="B117" s="30">
        <f>IF(B116=$C$9,$C$6,IF(OR(ISNA(B116),B116=$C$6),NA(),Main!A84))</f>
        <v>83</v>
      </c>
      <c r="C117" s="29">
        <f>IF(ISNA(B117),NA(),IF(B117=$C$6,$C$19,Main!C84))</f>
        <v>0.16869999999999985</v>
      </c>
      <c r="D117" s="19">
        <f t="shared" si="49"/>
        <v>0.22615803814713897</v>
      </c>
      <c r="E117" s="18">
        <f t="shared" si="50"/>
        <v>-0.39643865212485169</v>
      </c>
      <c r="F117" s="18">
        <f t="shared" si="51"/>
        <v>1.5245485835132204</v>
      </c>
      <c r="G117" s="18">
        <f t="shared" si="52"/>
        <v>0.16717739599176068</v>
      </c>
      <c r="H117" s="18">
        <f t="shared" si="53"/>
        <v>3.8647997309180478E-3</v>
      </c>
      <c r="I117" s="18">
        <f t="shared" si="35"/>
        <v>0.16221298037859744</v>
      </c>
      <c r="J117" s="18">
        <f t="shared" si="36"/>
        <v>0.17214181160492392</v>
      </c>
      <c r="K117" s="18">
        <f t="shared" si="37"/>
        <v>0.16080168799159286</v>
      </c>
      <c r="L117" s="18">
        <f t="shared" si="38"/>
        <v>0.1735531039919285</v>
      </c>
      <c r="M117" s="18">
        <f t="shared" si="39"/>
        <v>0.15957712595679791</v>
      </c>
      <c r="N117" s="18">
        <f t="shared" si="40"/>
        <v>0.17477766602672345</v>
      </c>
      <c r="O117" s="18">
        <f t="shared" si="41"/>
        <v>0.15717053752790533</v>
      </c>
      <c r="P117" s="18">
        <f t="shared" si="42"/>
        <v>0.17718425445561603</v>
      </c>
      <c r="Q117" s="18">
        <f t="shared" si="54"/>
        <v>0.23311798467609596</v>
      </c>
      <c r="R117" s="18">
        <f t="shared" si="32"/>
        <v>-0.37583756952195446</v>
      </c>
      <c r="S117" s="18">
        <f t="shared" si="33"/>
        <v>3.8665677112828638E-3</v>
      </c>
      <c r="T117" s="18">
        <f t="shared" si="43"/>
        <v>0.15957364915874248</v>
      </c>
      <c r="U117" s="18">
        <f t="shared" si="44"/>
        <v>0.17478114282477888</v>
      </c>
      <c r="V117" s="40" t="str">
        <f t="shared" si="34"/>
        <v>Y</v>
      </c>
      <c r="W117" s="18">
        <v>2.2413000000000003</v>
      </c>
      <c r="X117" s="18">
        <f t="shared" si="31"/>
        <v>0.84137815836761054</v>
      </c>
      <c r="Y117" s="18">
        <v>0.84137815836761054</v>
      </c>
      <c r="Z117" s="18">
        <v>0.22745712522122905</v>
      </c>
      <c r="AA117" s="18">
        <f t="shared" si="45"/>
        <v>-1.4807935189180821</v>
      </c>
      <c r="AB117" s="18">
        <f t="shared" si="46"/>
        <v>-1.8412322640527323</v>
      </c>
      <c r="AC117" s="18">
        <f t="shared" si="47"/>
        <v>-548.13425419018438</v>
      </c>
    </row>
    <row r="118" spans="1:29" x14ac:dyDescent="0.25">
      <c r="A118" s="13" t="str">
        <f t="shared" si="48"/>
        <v/>
      </c>
      <c r="B118" s="30">
        <f>IF(B117=$C$9,$C$6,IF(OR(ISNA(B117),B117=$C$6),NA(),Main!A85))</f>
        <v>84</v>
      </c>
      <c r="C118" s="29">
        <f>IF(ISNA(B118),NA(),IF(B118=$C$6,$C$19,Main!C85))</f>
        <v>0.16869999999999985</v>
      </c>
      <c r="D118" s="19">
        <f t="shared" si="49"/>
        <v>0.22888283378746593</v>
      </c>
      <c r="E118" s="18">
        <f t="shared" si="50"/>
        <v>-0.38834950100130139</v>
      </c>
      <c r="F118" s="18">
        <f t="shared" si="51"/>
        <v>1.5245485835132204</v>
      </c>
      <c r="G118" s="18">
        <f t="shared" si="52"/>
        <v>0.16777525651013159</v>
      </c>
      <c r="H118" s="18">
        <f t="shared" si="53"/>
        <v>3.865375236809368E-3</v>
      </c>
      <c r="I118" s="18">
        <f t="shared" si="35"/>
        <v>0.16281010164768475</v>
      </c>
      <c r="J118" s="18">
        <f t="shared" si="36"/>
        <v>0.17274041137257842</v>
      </c>
      <c r="K118" s="18">
        <f t="shared" si="37"/>
        <v>0.16139859910565543</v>
      </c>
      <c r="L118" s="18">
        <f t="shared" si="38"/>
        <v>0.17415191391460774</v>
      </c>
      <c r="M118" s="18">
        <f t="shared" si="39"/>
        <v>0.16017385472178305</v>
      </c>
      <c r="N118" s="18">
        <f t="shared" si="40"/>
        <v>0.17537665829848012</v>
      </c>
      <c r="O118" s="18">
        <f t="shared" si="41"/>
        <v>0.1577669079287021</v>
      </c>
      <c r="P118" s="18">
        <f t="shared" si="42"/>
        <v>0.17778360509156108</v>
      </c>
      <c r="Q118" s="18">
        <f t="shared" si="54"/>
        <v>0.23311798467609596</v>
      </c>
      <c r="R118" s="18">
        <f t="shared" si="32"/>
        <v>-0.37583756952195446</v>
      </c>
      <c r="S118" s="18">
        <f t="shared" si="33"/>
        <v>3.8665677112828638E-3</v>
      </c>
      <c r="T118" s="18">
        <f t="shared" si="43"/>
        <v>0.16017150967711338</v>
      </c>
      <c r="U118" s="18">
        <f t="shared" si="44"/>
        <v>0.17537900334314979</v>
      </c>
      <c r="V118" s="40" t="str">
        <f t="shared" si="34"/>
        <v>Y</v>
      </c>
      <c r="W118" s="18">
        <v>2.2413000000000003</v>
      </c>
      <c r="X118" s="18">
        <f t="shared" si="31"/>
        <v>0.84137815836761054</v>
      </c>
      <c r="Y118" s="18">
        <v>0.84137815836761054</v>
      </c>
      <c r="Z118" s="18">
        <v>0.22745712522122905</v>
      </c>
      <c r="AA118" s="18">
        <f t="shared" si="45"/>
        <v>-1.4807935189180821</v>
      </c>
      <c r="AB118" s="18">
        <f t="shared" si="46"/>
        <v>-1.8412322640527323</v>
      </c>
      <c r="AC118" s="18">
        <f t="shared" si="47"/>
        <v>-554.77830575612597</v>
      </c>
    </row>
    <row r="119" spans="1:29" x14ac:dyDescent="0.25">
      <c r="A119" s="13" t="str">
        <f t="shared" si="48"/>
        <v/>
      </c>
      <c r="B119" s="30">
        <f>IF(B118=$C$9,$C$6,IF(OR(ISNA(B118),B118=$C$6),NA(),Main!A86))</f>
        <v>85</v>
      </c>
      <c r="C119" s="29">
        <f>IF(ISNA(B119),NA(),IF(B119=$C$6,$C$19,Main!C86))</f>
        <v>0.16869999999999985</v>
      </c>
      <c r="D119" s="19">
        <f t="shared" si="49"/>
        <v>0.23160762942779292</v>
      </c>
      <c r="E119" s="18">
        <f t="shared" si="50"/>
        <v>-0.38029128398966855</v>
      </c>
      <c r="F119" s="18">
        <f t="shared" si="51"/>
        <v>1.5245485835132204</v>
      </c>
      <c r="G119" s="18">
        <f t="shared" si="52"/>
        <v>0.1683708307213358</v>
      </c>
      <c r="H119" s="18">
        <f t="shared" si="53"/>
        <v>3.8661011649197218E-3</v>
      </c>
      <c r="I119" s="18">
        <f t="shared" si="35"/>
        <v>0.16340474338913735</v>
      </c>
      <c r="J119" s="18">
        <f t="shared" si="36"/>
        <v>0.17333691805353424</v>
      </c>
      <c r="K119" s="18">
        <f t="shared" si="37"/>
        <v>0.16199297576304494</v>
      </c>
      <c r="L119" s="18">
        <f t="shared" si="38"/>
        <v>0.17474868567962665</v>
      </c>
      <c r="M119" s="18">
        <f t="shared" si="39"/>
        <v>0.16076800136880573</v>
      </c>
      <c r="N119" s="18">
        <f t="shared" si="40"/>
        <v>0.17597366007386586</v>
      </c>
      <c r="O119" s="18">
        <f t="shared" si="41"/>
        <v>0.15836060254449102</v>
      </c>
      <c r="P119" s="18">
        <f t="shared" si="42"/>
        <v>0.17838105889818057</v>
      </c>
      <c r="Q119" s="18">
        <f t="shared" si="54"/>
        <v>0.23311798467609596</v>
      </c>
      <c r="R119" s="18">
        <f t="shared" si="32"/>
        <v>-0.37583756952195446</v>
      </c>
      <c r="S119" s="18">
        <f t="shared" si="33"/>
        <v>3.8665677112828638E-3</v>
      </c>
      <c r="T119" s="18">
        <f t="shared" si="43"/>
        <v>0.16076708388831759</v>
      </c>
      <c r="U119" s="18">
        <f t="shared" si="44"/>
        <v>0.175974577554354</v>
      </c>
      <c r="V119" s="40" t="str">
        <f t="shared" si="34"/>
        <v>Y</v>
      </c>
      <c r="W119" s="18">
        <v>2.2413000000000003</v>
      </c>
      <c r="X119" s="18">
        <f t="shared" si="31"/>
        <v>0.84137815836761054</v>
      </c>
      <c r="Y119" s="18">
        <v>0.84137815836761054</v>
      </c>
      <c r="Z119" s="18">
        <v>0.22745712522122905</v>
      </c>
      <c r="AA119" s="18">
        <f t="shared" si="45"/>
        <v>-1.4807935189180821</v>
      </c>
      <c r="AB119" s="18">
        <f t="shared" si="46"/>
        <v>-1.8412322640527323</v>
      </c>
      <c r="AC119" s="18">
        <f t="shared" si="47"/>
        <v>-561.42235732206768</v>
      </c>
    </row>
    <row r="120" spans="1:29" x14ac:dyDescent="0.25">
      <c r="A120" s="13" t="str">
        <f t="shared" si="48"/>
        <v/>
      </c>
      <c r="B120" s="30">
        <f>IF(B119=$C$9,$C$6,IF(OR(ISNA(B119),B119=$C$6),NA(),Main!A87))</f>
        <v>86</v>
      </c>
      <c r="C120" s="29">
        <f>IF(ISNA(B120),NA(),IF(B120=$C$6,$C$19,Main!C87))</f>
        <v>0.16869999999999985</v>
      </c>
      <c r="D120" s="19">
        <f t="shared" si="49"/>
        <v>0.23433242506811988</v>
      </c>
      <c r="E120" s="18">
        <f t="shared" si="50"/>
        <v>-0.37226300266021378</v>
      </c>
      <c r="F120" s="18">
        <f t="shared" si="51"/>
        <v>1.5245485835132204</v>
      </c>
      <c r="G120" s="18">
        <f t="shared" si="52"/>
        <v>0.16896419241824878</v>
      </c>
      <c r="H120" s="18">
        <f t="shared" si="53"/>
        <v>3.8669757938381674E-3</v>
      </c>
      <c r="I120" s="18">
        <f t="shared" si="35"/>
        <v>0.16399698160701889</v>
      </c>
      <c r="J120" s="18">
        <f t="shared" si="36"/>
        <v>0.17393140322947867</v>
      </c>
      <c r="K120" s="18">
        <f t="shared" si="37"/>
        <v>0.16258489459642533</v>
      </c>
      <c r="L120" s="18">
        <f t="shared" si="38"/>
        <v>0.17534349024007223</v>
      </c>
      <c r="M120" s="18">
        <f t="shared" si="39"/>
        <v>0.16135964307595899</v>
      </c>
      <c r="N120" s="18">
        <f t="shared" si="40"/>
        <v>0.17656874176053858</v>
      </c>
      <c r="O120" s="18">
        <f t="shared" si="41"/>
        <v>0.15895169962527778</v>
      </c>
      <c r="P120" s="18">
        <f t="shared" si="42"/>
        <v>0.17897668521121979</v>
      </c>
      <c r="Q120" s="18">
        <f t="shared" si="54"/>
        <v>0.23311798467609596</v>
      </c>
      <c r="R120" s="18">
        <f t="shared" si="32"/>
        <v>-0.37583756952195446</v>
      </c>
      <c r="S120" s="18">
        <f t="shared" si="33"/>
        <v>3.8665677112828638E-3</v>
      </c>
      <c r="T120" s="18">
        <f t="shared" si="43"/>
        <v>0.16136044558523058</v>
      </c>
      <c r="U120" s="18">
        <f t="shared" si="44"/>
        <v>0.17656793925126699</v>
      </c>
      <c r="V120" s="40" t="str">
        <f t="shared" si="34"/>
        <v>Y</v>
      </c>
      <c r="W120" s="18">
        <v>2.2413000000000003</v>
      </c>
      <c r="X120" s="18">
        <f t="shared" si="31"/>
        <v>0.84137815836761054</v>
      </c>
      <c r="Y120" s="18">
        <v>0.84137815836761054</v>
      </c>
      <c r="Z120" s="18">
        <v>0.22745712522122905</v>
      </c>
      <c r="AA120" s="18">
        <f t="shared" si="45"/>
        <v>-1.4807935189180821</v>
      </c>
      <c r="AB120" s="18">
        <f t="shared" si="46"/>
        <v>-1.8412322640527323</v>
      </c>
      <c r="AC120" s="18">
        <f t="shared" si="47"/>
        <v>-568.06640888800928</v>
      </c>
    </row>
    <row r="121" spans="1:29" x14ac:dyDescent="0.25">
      <c r="A121" s="13" t="str">
        <f t="shared" si="48"/>
        <v/>
      </c>
      <c r="B121" s="30">
        <f>IF(B120=$C$9,$C$6,IF(OR(ISNA(B120),B120=$C$6),NA(),Main!A88))</f>
        <v>87</v>
      </c>
      <c r="C121" s="29">
        <f>IF(ISNA(B121),NA(),IF(B121=$C$6,$C$19,Main!C88))</f>
        <v>0.16869999999999985</v>
      </c>
      <c r="D121" s="19">
        <f t="shared" si="49"/>
        <v>0.23705722070844687</v>
      </c>
      <c r="E121" s="18">
        <f t="shared" si="50"/>
        <v>-0.36426368703141376</v>
      </c>
      <c r="F121" s="18">
        <f t="shared" si="51"/>
        <v>1.5245485835132204</v>
      </c>
      <c r="G121" s="18">
        <f t="shared" si="52"/>
        <v>0.16955541329116874</v>
      </c>
      <c r="H121" s="18">
        <f t="shared" si="53"/>
        <v>3.8679974641970022E-3</v>
      </c>
      <c r="I121" s="18">
        <f t="shared" si="35"/>
        <v>0.16458689012311986</v>
      </c>
      <c r="J121" s="18">
        <f t="shared" si="36"/>
        <v>0.17452393645921763</v>
      </c>
      <c r="K121" s="18">
        <f t="shared" si="37"/>
        <v>0.16317443003353133</v>
      </c>
      <c r="L121" s="18">
        <f t="shared" si="38"/>
        <v>0.17593639654880616</v>
      </c>
      <c r="M121" s="18">
        <f t="shared" si="39"/>
        <v>0.16194885479674831</v>
      </c>
      <c r="N121" s="18">
        <f t="shared" si="40"/>
        <v>0.17716197178558918</v>
      </c>
      <c r="O121" s="18">
        <f t="shared" si="41"/>
        <v>0.15954027515784652</v>
      </c>
      <c r="P121" s="18">
        <f t="shared" si="42"/>
        <v>0.17957055142449097</v>
      </c>
      <c r="Q121" s="18">
        <f t="shared" si="54"/>
        <v>0.23311798467609596</v>
      </c>
      <c r="R121" s="18">
        <f t="shared" si="32"/>
        <v>-0.37583756952195446</v>
      </c>
      <c r="S121" s="18">
        <f t="shared" si="33"/>
        <v>3.8665677112828638E-3</v>
      </c>
      <c r="T121" s="18">
        <f t="shared" si="43"/>
        <v>0.16195166645815054</v>
      </c>
      <c r="U121" s="18">
        <f t="shared" si="44"/>
        <v>0.17715916012418695</v>
      </c>
      <c r="V121" s="40" t="str">
        <f t="shared" si="34"/>
        <v>Y</v>
      </c>
      <c r="W121" s="18">
        <v>2.2413000000000003</v>
      </c>
      <c r="X121" s="18">
        <f t="shared" si="31"/>
        <v>0.84137815836761054</v>
      </c>
      <c r="Y121" s="18">
        <v>0.84137815836761054</v>
      </c>
      <c r="Z121" s="18">
        <v>0.22745712522122905</v>
      </c>
      <c r="AA121" s="18">
        <f t="shared" si="45"/>
        <v>-1.4807935189180821</v>
      </c>
      <c r="AB121" s="18">
        <f t="shared" si="46"/>
        <v>-1.8412322640527323</v>
      </c>
      <c r="AC121" s="18">
        <f t="shared" si="47"/>
        <v>-574.71046045395087</v>
      </c>
    </row>
    <row r="122" spans="1:29" x14ac:dyDescent="0.25">
      <c r="A122" s="13" t="str">
        <f t="shared" si="48"/>
        <v/>
      </c>
      <c r="B122" s="30">
        <f>IF(B121=$C$9,$C$6,IF(OR(ISNA(B121),B121=$C$6),NA(),Main!A89))</f>
        <v>88</v>
      </c>
      <c r="C122" s="29">
        <f>IF(ISNA(B122),NA(),IF(B122=$C$6,$C$19,Main!C89))</f>
        <v>0.16869999999999985</v>
      </c>
      <c r="D122" s="19">
        <f t="shared" si="49"/>
        <v>0.23978201634877383</v>
      </c>
      <c r="E122" s="18">
        <f t="shared" si="50"/>
        <v>-0.35629239427939585</v>
      </c>
      <c r="F122" s="18">
        <f t="shared" si="51"/>
        <v>1.5245485835132204</v>
      </c>
      <c r="G122" s="18">
        <f t="shared" si="52"/>
        <v>0.17014456302320097</v>
      </c>
      <c r="H122" s="18">
        <f t="shared" si="53"/>
        <v>3.8691645760884161E-3</v>
      </c>
      <c r="I122" s="18">
        <f t="shared" si="35"/>
        <v>0.1651745406756604</v>
      </c>
      <c r="J122" s="18">
        <f t="shared" si="36"/>
        <v>0.17511458537074154</v>
      </c>
      <c r="K122" s="18">
        <f t="shared" si="37"/>
        <v>0.1637616543968145</v>
      </c>
      <c r="L122" s="18">
        <f t="shared" si="38"/>
        <v>0.17652747164958743</v>
      </c>
      <c r="M122" s="18">
        <f t="shared" si="39"/>
        <v>0.16253570936055622</v>
      </c>
      <c r="N122" s="18">
        <f t="shared" si="40"/>
        <v>0.17775341668584571</v>
      </c>
      <c r="O122" s="18">
        <f t="shared" si="41"/>
        <v>0.16012640296783309</v>
      </c>
      <c r="P122" s="18">
        <f t="shared" si="42"/>
        <v>0.18016272307856884</v>
      </c>
      <c r="Q122" s="18">
        <f t="shared" si="54"/>
        <v>0.23311798467609596</v>
      </c>
      <c r="R122" s="18">
        <f t="shared" si="32"/>
        <v>-0.37583756952195446</v>
      </c>
      <c r="S122" s="18">
        <f t="shared" si="33"/>
        <v>3.8665677112828638E-3</v>
      </c>
      <c r="T122" s="18">
        <f t="shared" si="43"/>
        <v>0.16254081619018276</v>
      </c>
      <c r="U122" s="18">
        <f t="shared" si="44"/>
        <v>0.17774830985621917</v>
      </c>
      <c r="V122" s="40" t="str">
        <f t="shared" si="34"/>
        <v>Y</v>
      </c>
      <c r="W122" s="18">
        <v>2.2413000000000003</v>
      </c>
      <c r="X122" s="18">
        <f t="shared" si="31"/>
        <v>0.84137815836761054</v>
      </c>
      <c r="Y122" s="18">
        <v>0.84137815836761054</v>
      </c>
      <c r="Z122" s="18">
        <v>0.22745712522122905</v>
      </c>
      <c r="AA122" s="18">
        <f t="shared" si="45"/>
        <v>-1.4807935189180821</v>
      </c>
      <c r="AB122" s="18">
        <f t="shared" si="46"/>
        <v>-1.8412322640527323</v>
      </c>
      <c r="AC122" s="18">
        <f t="shared" si="47"/>
        <v>-581.35451201989247</v>
      </c>
    </row>
    <row r="123" spans="1:29" x14ac:dyDescent="0.25">
      <c r="A123" s="13" t="str">
        <f t="shared" si="48"/>
        <v/>
      </c>
      <c r="B123" s="30">
        <f>IF(B122=$C$9,$C$6,IF(OR(ISNA(B122),B122=$C$6),NA(),Main!A90))</f>
        <v>89</v>
      </c>
      <c r="C123" s="29">
        <f>IF(ISNA(B123),NA(),IF(B123=$C$6,$C$19,Main!C90))</f>
        <v>0.19280000000000008</v>
      </c>
      <c r="D123" s="19">
        <f t="shared" si="49"/>
        <v>0.24250681198910082</v>
      </c>
      <c r="E123" s="18">
        <f t="shared" si="50"/>
        <v>-0.34834820751647977</v>
      </c>
      <c r="F123" s="18">
        <f t="shared" si="51"/>
        <v>1.6036627430347172</v>
      </c>
      <c r="G123" s="18">
        <f t="shared" si="52"/>
        <v>0.17073170938053442</v>
      </c>
      <c r="H123" s="18">
        <f t="shared" si="53"/>
        <v>3.8704755866267675E-3</v>
      </c>
      <c r="I123" s="18">
        <f t="shared" si="35"/>
        <v>0.16576000301269816</v>
      </c>
      <c r="J123" s="18">
        <f t="shared" si="36"/>
        <v>0.17570341574837067</v>
      </c>
      <c r="K123" s="18">
        <f t="shared" si="37"/>
        <v>0.16434663799774152</v>
      </c>
      <c r="L123" s="18">
        <f t="shared" si="38"/>
        <v>0.17711678076332732</v>
      </c>
      <c r="M123" s="18">
        <f t="shared" si="39"/>
        <v>0.16312027756771272</v>
      </c>
      <c r="N123" s="18">
        <f t="shared" si="40"/>
        <v>0.17834314119335612</v>
      </c>
      <c r="O123" s="18">
        <f t="shared" si="41"/>
        <v>0.16071015481631348</v>
      </c>
      <c r="P123" s="18">
        <f t="shared" si="42"/>
        <v>0.18075326394475535</v>
      </c>
      <c r="Q123" s="18">
        <f t="shared" si="54"/>
        <v>0.34958118365656005</v>
      </c>
      <c r="R123" s="18">
        <f t="shared" si="32"/>
        <v>-4.9760606606304603E-2</v>
      </c>
      <c r="S123" s="18">
        <f t="shared" si="33"/>
        <v>4.0239905029175443E-3</v>
      </c>
      <c r="T123" s="18">
        <f t="shared" si="43"/>
        <v>0.16281838486965888</v>
      </c>
      <c r="U123" s="18">
        <f t="shared" si="44"/>
        <v>0.17864503389140995</v>
      </c>
      <c r="V123" s="40" t="str">
        <f t="shared" si="34"/>
        <v>Y</v>
      </c>
      <c r="W123" s="18">
        <v>2.2172000000000001</v>
      </c>
      <c r="X123" s="18">
        <f t="shared" si="31"/>
        <v>0.76687093743045087</v>
      </c>
      <c r="Y123" s="18">
        <v>0.76687093743045087</v>
      </c>
      <c r="Z123" s="18">
        <v>0.22745712522122905</v>
      </c>
      <c r="AA123" s="18">
        <f t="shared" si="45"/>
        <v>-1.4807935189180821</v>
      </c>
      <c r="AB123" s="18">
        <f t="shared" si="46"/>
        <v>-1.4561630621641055</v>
      </c>
      <c r="AC123" s="18">
        <f t="shared" si="47"/>
        <v>-519.84131485154717</v>
      </c>
    </row>
    <row r="124" spans="1:29" x14ac:dyDescent="0.25">
      <c r="A124" s="13" t="str">
        <f t="shared" si="48"/>
        <v/>
      </c>
      <c r="B124" s="30">
        <f>IF(B123=$C$9,$C$6,IF(OR(ISNA(B123),B123=$C$6),NA(),Main!A91))</f>
        <v>90</v>
      </c>
      <c r="C124" s="29">
        <f>IF(ISNA(B124),NA(),IF(B124=$C$6,$C$19,Main!C91))</f>
        <v>0.19280000000000008</v>
      </c>
      <c r="D124" s="19">
        <f t="shared" si="49"/>
        <v>0.24523160762942781</v>
      </c>
      <c r="E124" s="18">
        <f t="shared" si="50"/>
        <v>-0.34043023463432309</v>
      </c>
      <c r="F124" s="18">
        <f t="shared" si="51"/>
        <v>1.6036627430347172</v>
      </c>
      <c r="G124" s="18">
        <f t="shared" si="52"/>
        <v>0.17131691829794371</v>
      </c>
      <c r="H124" s="18">
        <f t="shared" si="53"/>
        <v>3.8719290076470198E-3</v>
      </c>
      <c r="I124" s="18">
        <f t="shared" si="35"/>
        <v>0.16634334498058673</v>
      </c>
      <c r="J124" s="18">
        <f t="shared" si="36"/>
        <v>0.17629049161530069</v>
      </c>
      <c r="K124" s="18">
        <f t="shared" si="37"/>
        <v>0.16492944922609276</v>
      </c>
      <c r="L124" s="18">
        <f t="shared" si="38"/>
        <v>0.17770438736979466</v>
      </c>
      <c r="M124" s="18">
        <f t="shared" si="39"/>
        <v>0.16370262827952339</v>
      </c>
      <c r="N124" s="18">
        <f t="shared" si="40"/>
        <v>0.17893120831636403</v>
      </c>
      <c r="O124" s="18">
        <f t="shared" si="41"/>
        <v>0.16129160049126504</v>
      </c>
      <c r="P124" s="18">
        <f t="shared" si="42"/>
        <v>0.18134223610462238</v>
      </c>
      <c r="Q124" s="18">
        <f t="shared" si="54"/>
        <v>0.34958118365656005</v>
      </c>
      <c r="R124" s="18">
        <f t="shared" si="32"/>
        <v>-4.9760606606304603E-2</v>
      </c>
      <c r="S124" s="18">
        <f t="shared" si="33"/>
        <v>4.0239905029175443E-3</v>
      </c>
      <c r="T124" s="18">
        <f t="shared" si="43"/>
        <v>0.16340359378706817</v>
      </c>
      <c r="U124" s="18">
        <f t="shared" si="44"/>
        <v>0.17923024280881925</v>
      </c>
      <c r="V124" s="40" t="str">
        <f t="shared" si="34"/>
        <v>Y</v>
      </c>
      <c r="W124" s="18">
        <v>2.2172000000000001</v>
      </c>
      <c r="X124" s="18">
        <f t="shared" si="31"/>
        <v>0.76687093743045087</v>
      </c>
      <c r="Y124" s="18">
        <v>0.76687093743045087</v>
      </c>
      <c r="Z124" s="18">
        <v>0.22745712522122905</v>
      </c>
      <c r="AA124" s="18">
        <f t="shared" si="45"/>
        <v>-1.4807935189180821</v>
      </c>
      <c r="AB124" s="18">
        <f t="shared" si="46"/>
        <v>-1.4561630621641055</v>
      </c>
      <c r="AC124" s="18">
        <f t="shared" si="47"/>
        <v>-525.71522801371157</v>
      </c>
    </row>
    <row r="125" spans="1:29" x14ac:dyDescent="0.25">
      <c r="A125" s="13" t="str">
        <f t="shared" si="48"/>
        <v/>
      </c>
      <c r="B125" s="30">
        <f>IF(B124=$C$9,$C$6,IF(OR(ISNA(B124),B124=$C$6),NA(),Main!A92))</f>
        <v>91</v>
      </c>
      <c r="C125" s="29">
        <f>IF(ISNA(B125),NA(),IF(B125=$C$6,$C$19,Main!C92))</f>
        <v>0.19280000000000008</v>
      </c>
      <c r="D125" s="19">
        <f t="shared" si="49"/>
        <v>0.24795640326975477</v>
      </c>
      <c r="E125" s="18">
        <f t="shared" si="50"/>
        <v>-0.33253760720749648</v>
      </c>
      <c r="F125" s="18">
        <f t="shared" si="51"/>
        <v>1.6036627430347172</v>
      </c>
      <c r="G125" s="18">
        <f t="shared" si="52"/>
        <v>0.17190025395982464</v>
      </c>
      <c r="H125" s="18">
        <f t="shared" si="53"/>
        <v>3.8735234035305916E-3</v>
      </c>
      <c r="I125" s="18">
        <f t="shared" si="35"/>
        <v>0.16692463260780374</v>
      </c>
      <c r="J125" s="18">
        <f t="shared" si="36"/>
        <v>0.17687587531184554</v>
      </c>
      <c r="K125" s="18">
        <f t="shared" si="37"/>
        <v>0.1655101546345846</v>
      </c>
      <c r="L125" s="18">
        <f t="shared" si="38"/>
        <v>0.17829035328506468</v>
      </c>
      <c r="M125" s="18">
        <f t="shared" si="39"/>
        <v>0.1642828285035805</v>
      </c>
      <c r="N125" s="18">
        <f t="shared" si="40"/>
        <v>0.17951767941606878</v>
      </c>
      <c r="O125" s="18">
        <f t="shared" si="41"/>
        <v>0.16187080789423139</v>
      </c>
      <c r="P125" s="18">
        <f t="shared" si="42"/>
        <v>0.18192970002541789</v>
      </c>
      <c r="Q125" s="18">
        <f t="shared" si="54"/>
        <v>0.34958118365656005</v>
      </c>
      <c r="R125" s="18">
        <f t="shared" si="32"/>
        <v>-4.9760606606304603E-2</v>
      </c>
      <c r="S125" s="18">
        <f t="shared" si="33"/>
        <v>4.0239905029175443E-3</v>
      </c>
      <c r="T125" s="18">
        <f t="shared" si="43"/>
        <v>0.1639869294489491</v>
      </c>
      <c r="U125" s="18">
        <f t="shared" si="44"/>
        <v>0.17981357847070017</v>
      </c>
      <c r="V125" s="40" t="str">
        <f t="shared" si="34"/>
        <v>Y</v>
      </c>
      <c r="W125" s="18">
        <v>2.2172000000000001</v>
      </c>
      <c r="X125" s="18">
        <f t="shared" si="31"/>
        <v>0.76687093743045087</v>
      </c>
      <c r="Y125" s="18">
        <v>0.76687093743045087</v>
      </c>
      <c r="Z125" s="18">
        <v>0.22745712522122905</v>
      </c>
      <c r="AA125" s="18">
        <f t="shared" si="45"/>
        <v>-1.4807935189180821</v>
      </c>
      <c r="AB125" s="18">
        <f t="shared" si="46"/>
        <v>-1.4561630621641055</v>
      </c>
      <c r="AC125" s="18">
        <f t="shared" si="47"/>
        <v>-531.58914117587597</v>
      </c>
    </row>
    <row r="126" spans="1:29" x14ac:dyDescent="0.25">
      <c r="A126" s="13" t="str">
        <f t="shared" si="48"/>
        <v/>
      </c>
      <c r="B126" s="30">
        <f>IF(B125=$C$9,$C$6,IF(OR(ISNA(B125),B125=$C$6),NA(),Main!A93))</f>
        <v>92</v>
      </c>
      <c r="C126" s="29">
        <f>IF(ISNA(B126),NA(),IF(B126=$C$6,$C$19,Main!C93))</f>
        <v>0.19280000000000008</v>
      </c>
      <c r="D126" s="19">
        <f t="shared" si="49"/>
        <v>0.25068119891008173</v>
      </c>
      <c r="E126" s="18">
        <f t="shared" si="50"/>
        <v>-0.32466947945363273</v>
      </c>
      <c r="F126" s="18">
        <f t="shared" si="51"/>
        <v>1.6036627430347172</v>
      </c>
      <c r="G126" s="18">
        <f t="shared" si="52"/>
        <v>0.17248177887704846</v>
      </c>
      <c r="H126" s="18">
        <f t="shared" si="53"/>
        <v>3.8752573891505395E-3</v>
      </c>
      <c r="I126" s="18">
        <f t="shared" si="35"/>
        <v>0.16750393018444487</v>
      </c>
      <c r="J126" s="18">
        <f t="shared" si="36"/>
        <v>0.17745962756965206</v>
      </c>
      <c r="K126" s="18">
        <f t="shared" si="37"/>
        <v>0.1660888190191136</v>
      </c>
      <c r="L126" s="18">
        <f t="shared" si="38"/>
        <v>0.17887473873498333</v>
      </c>
      <c r="M126" s="18">
        <f t="shared" si="39"/>
        <v>0.16486094347465813</v>
      </c>
      <c r="N126" s="18">
        <f t="shared" si="40"/>
        <v>0.1801026142794388</v>
      </c>
      <c r="O126" s="18">
        <f t="shared" si="41"/>
        <v>0.1624478431224971</v>
      </c>
      <c r="P126" s="18">
        <f t="shared" si="42"/>
        <v>0.18251571463159982</v>
      </c>
      <c r="Q126" s="18">
        <f t="shared" si="54"/>
        <v>0.34958118365656005</v>
      </c>
      <c r="R126" s="18">
        <f t="shared" si="32"/>
        <v>-4.9760606606304603E-2</v>
      </c>
      <c r="S126" s="18">
        <f t="shared" si="33"/>
        <v>4.0239905029175443E-3</v>
      </c>
      <c r="T126" s="18">
        <f t="shared" si="43"/>
        <v>0.16456845436617293</v>
      </c>
      <c r="U126" s="18">
        <f t="shared" si="44"/>
        <v>0.180395103387924</v>
      </c>
      <c r="V126" s="40" t="str">
        <f t="shared" si="34"/>
        <v>Y</v>
      </c>
      <c r="W126" s="18">
        <v>2.2172000000000001</v>
      </c>
      <c r="X126" s="18">
        <f t="shared" si="31"/>
        <v>0.76687093743045087</v>
      </c>
      <c r="Y126" s="18">
        <v>0.76687093743045087</v>
      </c>
      <c r="Z126" s="18">
        <v>0.22745712522122905</v>
      </c>
      <c r="AA126" s="18">
        <f t="shared" si="45"/>
        <v>-1.4807935189180821</v>
      </c>
      <c r="AB126" s="18">
        <f t="shared" si="46"/>
        <v>-1.4561630621641055</v>
      </c>
      <c r="AC126" s="18">
        <f t="shared" si="47"/>
        <v>-537.46305433804037</v>
      </c>
    </row>
    <row r="127" spans="1:29" x14ac:dyDescent="0.25">
      <c r="A127" s="13" t="str">
        <f t="shared" si="48"/>
        <v/>
      </c>
      <c r="B127" s="30">
        <f>IF(B126=$C$9,$C$6,IF(OR(ISNA(B126),B126=$C$6),NA(),Main!A94))</f>
        <v>93</v>
      </c>
      <c r="C127" s="29">
        <f>IF(ISNA(B127),NA(),IF(B127=$C$6,$C$19,Main!C94))</f>
        <v>0.19280000000000008</v>
      </c>
      <c r="D127" s="19">
        <f t="shared" si="49"/>
        <v>0.25340599455040874</v>
      </c>
      <c r="E127" s="18">
        <f t="shared" si="50"/>
        <v>-0.31682502724657124</v>
      </c>
      <c r="F127" s="18">
        <f t="shared" si="51"/>
        <v>1.6036627430347172</v>
      </c>
      <c r="G127" s="18">
        <f t="shared" si="52"/>
        <v>0.17306155395989933</v>
      </c>
      <c r="H127" s="18">
        <f t="shared" si="53"/>
        <v>3.8771296279285715E-3</v>
      </c>
      <c r="I127" s="18">
        <f t="shared" si="35"/>
        <v>0.16808130033765686</v>
      </c>
      <c r="J127" s="18">
        <f t="shared" si="36"/>
        <v>0.1780418075821418</v>
      </c>
      <c r="K127" s="18">
        <f t="shared" si="37"/>
        <v>0.16666550549489906</v>
      </c>
      <c r="L127" s="18">
        <f t="shared" si="38"/>
        <v>0.17945760242489961</v>
      </c>
      <c r="M127" s="18">
        <f t="shared" si="39"/>
        <v>0.16543703673147048</v>
      </c>
      <c r="N127" s="18">
        <f t="shared" si="40"/>
        <v>0.18068607118832819</v>
      </c>
      <c r="O127" s="18">
        <f t="shared" si="41"/>
        <v>0.16302277054705602</v>
      </c>
      <c r="P127" s="18">
        <f t="shared" si="42"/>
        <v>0.18310033737274264</v>
      </c>
      <c r="Q127" s="18">
        <f t="shared" si="54"/>
        <v>0.34958118365656005</v>
      </c>
      <c r="R127" s="18">
        <f t="shared" si="32"/>
        <v>-4.9760606606304603E-2</v>
      </c>
      <c r="S127" s="18">
        <f t="shared" si="33"/>
        <v>4.0239905029175443E-3</v>
      </c>
      <c r="T127" s="18">
        <f t="shared" si="43"/>
        <v>0.1651482294490238</v>
      </c>
      <c r="U127" s="18">
        <f t="shared" si="44"/>
        <v>0.18097487847077487</v>
      </c>
      <c r="V127" s="40" t="str">
        <f t="shared" si="34"/>
        <v>Y</v>
      </c>
      <c r="W127" s="18">
        <v>2.2172000000000001</v>
      </c>
      <c r="X127" s="18">
        <f t="shared" si="31"/>
        <v>0.76687093743045087</v>
      </c>
      <c r="Y127" s="18">
        <v>0.76687093743045087</v>
      </c>
      <c r="Z127" s="18">
        <v>0.22745712522122905</v>
      </c>
      <c r="AA127" s="18">
        <f t="shared" si="45"/>
        <v>-1.4807935189180821</v>
      </c>
      <c r="AB127" s="18">
        <f t="shared" si="46"/>
        <v>-1.4561630621641055</v>
      </c>
      <c r="AC127" s="18">
        <f t="shared" si="47"/>
        <v>-543.33696750020465</v>
      </c>
    </row>
    <row r="128" spans="1:29" x14ac:dyDescent="0.25">
      <c r="A128" s="13" t="str">
        <f t="shared" si="48"/>
        <v/>
      </c>
      <c r="B128" s="30">
        <f>IF(B127=$C$9,$C$6,IF(OR(ISNA(B127),B127=$C$6),NA(),Main!A95))</f>
        <v>94</v>
      </c>
      <c r="C128" s="29">
        <f>IF(ISNA(B128),NA(),IF(B128=$C$6,$C$19,Main!C95))</f>
        <v>0.19280000000000008</v>
      </c>
      <c r="D128" s="19">
        <f t="shared" si="49"/>
        <v>0.2561307901907357</v>
      </c>
      <c r="E128" s="18">
        <f t="shared" si="50"/>
        <v>-0.30900344717918454</v>
      </c>
      <c r="F128" s="18">
        <f t="shared" si="51"/>
        <v>1.6036627430347172</v>
      </c>
      <c r="G128" s="18">
        <f t="shared" si="52"/>
        <v>0.17363963858733983</v>
      </c>
      <c r="H128" s="18">
        <f t="shared" si="53"/>
        <v>3.879138829996969E-3</v>
      </c>
      <c r="I128" s="18">
        <f t="shared" si="35"/>
        <v>0.1686568041032642</v>
      </c>
      <c r="J128" s="18">
        <f t="shared" si="36"/>
        <v>0.17862247307141546</v>
      </c>
      <c r="K128" s="18">
        <f t="shared" si="37"/>
        <v>0.16724027556878093</v>
      </c>
      <c r="L128" s="18">
        <f t="shared" si="38"/>
        <v>0.18003900160589872</v>
      </c>
      <c r="M128" s="18">
        <f t="shared" si="39"/>
        <v>0.16601117018955219</v>
      </c>
      <c r="N128" s="18">
        <f t="shared" si="40"/>
        <v>0.18126810698512746</v>
      </c>
      <c r="O128" s="18">
        <f t="shared" si="41"/>
        <v>0.16359565288663594</v>
      </c>
      <c r="P128" s="18">
        <f t="shared" si="42"/>
        <v>0.18368362428804372</v>
      </c>
      <c r="Q128" s="18">
        <f t="shared" si="54"/>
        <v>0.34958118365656005</v>
      </c>
      <c r="R128" s="18">
        <f t="shared" si="32"/>
        <v>-4.9760606606304603E-2</v>
      </c>
      <c r="S128" s="18">
        <f t="shared" si="33"/>
        <v>4.0239905029175443E-3</v>
      </c>
      <c r="T128" s="18">
        <f t="shared" si="43"/>
        <v>0.16572631407646429</v>
      </c>
      <c r="U128" s="18">
        <f t="shared" si="44"/>
        <v>0.18155296309821536</v>
      </c>
      <c r="V128" s="40" t="str">
        <f t="shared" si="34"/>
        <v>Y</v>
      </c>
      <c r="W128" s="18">
        <v>2.2172000000000001</v>
      </c>
      <c r="X128" s="18">
        <f t="shared" si="31"/>
        <v>0.76687093743045087</v>
      </c>
      <c r="Y128" s="18">
        <v>0.76687093743045087</v>
      </c>
      <c r="Z128" s="18">
        <v>0.22745712522122905</v>
      </c>
      <c r="AA128" s="18">
        <f t="shared" si="45"/>
        <v>-1.4807935189180821</v>
      </c>
      <c r="AB128" s="18">
        <f t="shared" si="46"/>
        <v>-1.4561630621641055</v>
      </c>
      <c r="AC128" s="18">
        <f t="shared" si="47"/>
        <v>-549.21088066236905</v>
      </c>
    </row>
    <row r="129" spans="1:29" x14ac:dyDescent="0.25">
      <c r="A129" s="13" t="str">
        <f t="shared" si="48"/>
        <v/>
      </c>
      <c r="B129" s="30">
        <f>IF(B128=$C$9,$C$6,IF(OR(ISNA(B128),B128=$C$6),NA(),Main!A96))</f>
        <v>95</v>
      </c>
      <c r="C129" s="29">
        <f>IF(ISNA(B129),NA(),IF(B129=$C$6,$C$19,Main!C96))</f>
        <v>0.19280000000000008</v>
      </c>
      <c r="D129" s="19">
        <f t="shared" si="49"/>
        <v>0.25885558583106266</v>
      </c>
      <c r="E129" s="18">
        <f t="shared" si="50"/>
        <v>-0.30120395567280694</v>
      </c>
      <c r="F129" s="18">
        <f t="shared" si="51"/>
        <v>1.6036627430347172</v>
      </c>
      <c r="G129" s="18">
        <f t="shared" si="52"/>
        <v>0.17421609067283206</v>
      </c>
      <c r="H129" s="18">
        <f t="shared" si="53"/>
        <v>3.8812837504589677E-3</v>
      </c>
      <c r="I129" s="18">
        <f t="shared" si="35"/>
        <v>0.16923050099382475</v>
      </c>
      <c r="J129" s="18">
        <f t="shared" si="36"/>
        <v>0.17920168035183937</v>
      </c>
      <c r="K129" s="18">
        <f t="shared" si="37"/>
        <v>0.16781318920791077</v>
      </c>
      <c r="L129" s="18">
        <f t="shared" si="38"/>
        <v>0.18061899213775334</v>
      </c>
      <c r="M129" s="18">
        <f t="shared" si="39"/>
        <v>0.16658340421050039</v>
      </c>
      <c r="N129" s="18">
        <f t="shared" si="40"/>
        <v>0.18184877713516373</v>
      </c>
      <c r="O129" s="18">
        <f t="shared" si="41"/>
        <v>0.16416655127802399</v>
      </c>
      <c r="P129" s="18">
        <f t="shared" si="42"/>
        <v>0.18426563006764013</v>
      </c>
      <c r="Q129" s="18">
        <f t="shared" si="54"/>
        <v>0.34958118365656005</v>
      </c>
      <c r="R129" s="18">
        <f t="shared" si="32"/>
        <v>-4.9760606606304603E-2</v>
      </c>
      <c r="S129" s="18">
        <f t="shared" si="33"/>
        <v>4.0239905029175443E-3</v>
      </c>
      <c r="T129" s="18">
        <f t="shared" si="43"/>
        <v>0.16630276616195652</v>
      </c>
      <c r="U129" s="18">
        <f t="shared" si="44"/>
        <v>0.18212941518370759</v>
      </c>
      <c r="V129" s="40" t="str">
        <f t="shared" si="34"/>
        <v>Y</v>
      </c>
      <c r="W129" s="18">
        <v>2.2172000000000001</v>
      </c>
      <c r="X129" s="18">
        <f t="shared" si="31"/>
        <v>0.76687093743045087</v>
      </c>
      <c r="Y129" s="18">
        <v>0.76687093743045087</v>
      </c>
      <c r="Z129" s="18">
        <v>0.22745712522122905</v>
      </c>
      <c r="AA129" s="18">
        <f t="shared" si="45"/>
        <v>-1.4807935189180821</v>
      </c>
      <c r="AB129" s="18">
        <f t="shared" si="46"/>
        <v>-1.4561630621641055</v>
      </c>
      <c r="AC129" s="18">
        <f t="shared" si="47"/>
        <v>-555.08479382453345</v>
      </c>
    </row>
    <row r="130" spans="1:29" x14ac:dyDescent="0.25">
      <c r="A130" s="13" t="str">
        <f t="shared" si="48"/>
        <v/>
      </c>
      <c r="B130" s="30">
        <f>IF(B129=$C$9,$C$6,IF(OR(ISNA(B129),B129=$C$6),NA(),Main!A97))</f>
        <v>96</v>
      </c>
      <c r="C130" s="29">
        <f>IF(ISNA(B130),NA(),IF(B130=$C$6,$C$19,Main!C97))</f>
        <v>0.19280000000000008</v>
      </c>
      <c r="D130" s="19">
        <f t="shared" si="49"/>
        <v>0.26158038147138962</v>
      </c>
      <c r="E130" s="18">
        <f t="shared" si="50"/>
        <v>-0.29342578813041098</v>
      </c>
      <c r="F130" s="18">
        <f t="shared" si="51"/>
        <v>1.6036627430347172</v>
      </c>
      <c r="G130" s="18">
        <f t="shared" si="52"/>
        <v>0.17479096672692557</v>
      </c>
      <c r="H130" s="18">
        <f t="shared" si="53"/>
        <v>3.8835631877416382E-3</v>
      </c>
      <c r="I130" s="18">
        <f t="shared" si="35"/>
        <v>0.1698024490633335</v>
      </c>
      <c r="J130" s="18">
        <f t="shared" si="36"/>
        <v>0.17977948439051764</v>
      </c>
      <c r="K130" s="18">
        <f t="shared" si="37"/>
        <v>0.16838430490505674</v>
      </c>
      <c r="L130" s="18">
        <f t="shared" si="38"/>
        <v>0.1811976285487944</v>
      </c>
      <c r="M130" s="18">
        <f t="shared" si="39"/>
        <v>0.16715379766780178</v>
      </c>
      <c r="N130" s="18">
        <f t="shared" si="40"/>
        <v>0.18242813578604936</v>
      </c>
      <c r="O130" s="18">
        <f t="shared" si="41"/>
        <v>0.16473552534291933</v>
      </c>
      <c r="P130" s="18">
        <f t="shared" si="42"/>
        <v>0.18484640811093181</v>
      </c>
      <c r="Q130" s="18">
        <f t="shared" si="54"/>
        <v>0.34958118365656005</v>
      </c>
      <c r="R130" s="18">
        <f t="shared" si="32"/>
        <v>-4.9760606606304603E-2</v>
      </c>
      <c r="S130" s="18">
        <f t="shared" si="33"/>
        <v>4.0239905029175443E-3</v>
      </c>
      <c r="T130" s="18">
        <f t="shared" si="43"/>
        <v>0.16687764221605003</v>
      </c>
      <c r="U130" s="18">
        <f t="shared" si="44"/>
        <v>0.1827042912378011</v>
      </c>
      <c r="V130" s="40" t="str">
        <f t="shared" si="34"/>
        <v>Y</v>
      </c>
      <c r="W130" s="18">
        <v>2.2172000000000001</v>
      </c>
      <c r="X130" s="18">
        <f t="shared" si="31"/>
        <v>0.76687093743045087</v>
      </c>
      <c r="Y130" s="18">
        <v>0.76687093743045087</v>
      </c>
      <c r="Z130" s="18">
        <v>0.22745712522122905</v>
      </c>
      <c r="AA130" s="18">
        <f t="shared" si="45"/>
        <v>-1.4807935189180821</v>
      </c>
      <c r="AB130" s="18">
        <f t="shared" si="46"/>
        <v>-1.4561630621641055</v>
      </c>
      <c r="AC130" s="18">
        <f t="shared" si="47"/>
        <v>-560.95870698669785</v>
      </c>
    </row>
    <row r="131" spans="1:29" x14ac:dyDescent="0.25">
      <c r="A131" s="13" t="str">
        <f t="shared" si="48"/>
        <v/>
      </c>
      <c r="B131" s="30">
        <f>IF(B130=$C$9,$C$6,IF(OR(ISNA(B130),B130=$C$6),NA(),Main!A98))</f>
        <v>97</v>
      </c>
      <c r="C131" s="29">
        <f>IF(ISNA(B131),NA(),IF(B131=$C$6,$C$19,Main!C98))</f>
        <v>0.19280000000000008</v>
      </c>
      <c r="D131" s="19">
        <f t="shared" si="49"/>
        <v>0.26430517711171664</v>
      </c>
      <c r="E131" s="18">
        <f t="shared" si="50"/>
        <v>-0.28566819813087108</v>
      </c>
      <c r="F131" s="18">
        <f t="shared" si="51"/>
        <v>1.6036627430347172</v>
      </c>
      <c r="G131" s="18">
        <f t="shared" si="52"/>
        <v>0.1753643219168084</v>
      </c>
      <c r="H131" s="18">
        <f t="shared" si="53"/>
        <v>3.8859759820357108E-3</v>
      </c>
      <c r="I131" s="18">
        <f t="shared" si="35"/>
        <v>0.1703727049687776</v>
      </c>
      <c r="J131" s="18">
        <f t="shared" si="36"/>
        <v>0.18035593886483919</v>
      </c>
      <c r="K131" s="18">
        <f t="shared" si="37"/>
        <v>0.16895367974072861</v>
      </c>
      <c r="L131" s="18">
        <f t="shared" si="38"/>
        <v>0.18177496409288818</v>
      </c>
      <c r="M131" s="18">
        <f t="shared" si="39"/>
        <v>0.16772240800945171</v>
      </c>
      <c r="N131" s="18">
        <f t="shared" si="40"/>
        <v>0.18300623582416509</v>
      </c>
      <c r="O131" s="18">
        <f t="shared" si="41"/>
        <v>0.16530263325152389</v>
      </c>
      <c r="P131" s="18">
        <f t="shared" si="42"/>
        <v>0.1854260105820929</v>
      </c>
      <c r="Q131" s="18">
        <f t="shared" si="54"/>
        <v>0.34958118365656005</v>
      </c>
      <c r="R131" s="18">
        <f t="shared" si="32"/>
        <v>-4.9760606606304603E-2</v>
      </c>
      <c r="S131" s="18">
        <f t="shared" si="33"/>
        <v>4.0239905029175443E-3</v>
      </c>
      <c r="T131" s="18">
        <f t="shared" si="43"/>
        <v>0.16745099740593286</v>
      </c>
      <c r="U131" s="18">
        <f t="shared" si="44"/>
        <v>0.18327764642768393</v>
      </c>
      <c r="V131" s="40" t="str">
        <f t="shared" si="34"/>
        <v>Y</v>
      </c>
      <c r="W131" s="18">
        <v>2.2172000000000001</v>
      </c>
      <c r="X131" s="18">
        <f t="shared" si="31"/>
        <v>0.76687093743045087</v>
      </c>
      <c r="Y131" s="18">
        <v>0.76687093743045087</v>
      </c>
      <c r="Z131" s="18">
        <v>0.22745712522122905</v>
      </c>
      <c r="AA131" s="18">
        <f t="shared" si="45"/>
        <v>-1.4807935189180821</v>
      </c>
      <c r="AB131" s="18">
        <f t="shared" si="46"/>
        <v>-1.4561630621641055</v>
      </c>
      <c r="AC131" s="18">
        <f t="shared" si="47"/>
        <v>-566.83262014886225</v>
      </c>
    </row>
    <row r="132" spans="1:29" x14ac:dyDescent="0.25">
      <c r="A132" s="13" t="str">
        <f t="shared" si="48"/>
        <v/>
      </c>
      <c r="B132" s="30">
        <f>IF(B131=$C$9,$C$6,IF(OR(ISNA(B131),B131=$C$6),NA(),Main!A99))</f>
        <v>98</v>
      </c>
      <c r="C132" s="29">
        <f>IF(ISNA(B132),NA(),IF(B132=$C$6,$C$19,Main!C99))</f>
        <v>0.19280000000000008</v>
      </c>
      <c r="D132" s="19">
        <f t="shared" si="49"/>
        <v>0.2670299727520436</v>
      </c>
      <c r="E132" s="18">
        <f t="shared" si="50"/>
        <v>-0.27793045666184557</v>
      </c>
      <c r="F132" s="18">
        <f t="shared" si="51"/>
        <v>1.6036627430347172</v>
      </c>
      <c r="G132" s="18">
        <f t="shared" si="52"/>
        <v>0.17593621012300392</v>
      </c>
      <c r="H132" s="18">
        <f t="shared" si="53"/>
        <v>3.8885210138171929E-3</v>
      </c>
      <c r="I132" s="18">
        <f t="shared" si="35"/>
        <v>0.17094132402873227</v>
      </c>
      <c r="J132" s="18">
        <f t="shared" si="36"/>
        <v>0.18093109621727557</v>
      </c>
      <c r="K132" s="18">
        <f t="shared" si="37"/>
        <v>0.16952136944231339</v>
      </c>
      <c r="L132" s="18">
        <f t="shared" si="38"/>
        <v>0.18235105080369446</v>
      </c>
      <c r="M132" s="18">
        <f t="shared" si="39"/>
        <v>0.16828929131755843</v>
      </c>
      <c r="N132" s="18">
        <f t="shared" si="40"/>
        <v>0.18358312892844941</v>
      </c>
      <c r="O132" s="18">
        <f t="shared" si="41"/>
        <v>0.16586793178306705</v>
      </c>
      <c r="P132" s="18">
        <f t="shared" si="42"/>
        <v>0.18600448846294079</v>
      </c>
      <c r="Q132" s="18">
        <f t="shared" si="54"/>
        <v>0.34958118365656005</v>
      </c>
      <c r="R132" s="18">
        <f t="shared" si="32"/>
        <v>-4.9760606606304603E-2</v>
      </c>
      <c r="S132" s="18">
        <f t="shared" si="33"/>
        <v>4.0239905029175443E-3</v>
      </c>
      <c r="T132" s="18">
        <f t="shared" si="43"/>
        <v>0.16802288561212839</v>
      </c>
      <c r="U132" s="18">
        <f t="shared" si="44"/>
        <v>0.18384953463387946</v>
      </c>
      <c r="V132" s="40" t="str">
        <f t="shared" si="34"/>
        <v>Y</v>
      </c>
      <c r="W132" s="18">
        <v>2.2172000000000001</v>
      </c>
      <c r="X132" s="18">
        <f t="shared" si="31"/>
        <v>0.76687093743045087</v>
      </c>
      <c r="Y132" s="18">
        <v>0.76687093743045087</v>
      </c>
      <c r="Z132" s="18">
        <v>0.22745712522122905</v>
      </c>
      <c r="AA132" s="18">
        <f t="shared" si="45"/>
        <v>-1.4807935189180821</v>
      </c>
      <c r="AB132" s="18">
        <f t="shared" si="46"/>
        <v>-1.4561630621641055</v>
      </c>
      <c r="AC132" s="18">
        <f t="shared" si="47"/>
        <v>-572.70653331102653</v>
      </c>
    </row>
    <row r="133" spans="1:29" x14ac:dyDescent="0.25">
      <c r="A133" s="13" t="str">
        <f t="shared" si="48"/>
        <v/>
      </c>
      <c r="B133" s="30">
        <f>IF(B132=$C$9,$C$6,IF(OR(ISNA(B132),B132=$C$6),NA(),Main!A100))</f>
        <v>99</v>
      </c>
      <c r="C133" s="29">
        <f>IF(ISNA(B133),NA(),IF(B133=$C$6,$C$19,Main!C100))</f>
        <v>0.19280000000000008</v>
      </c>
      <c r="D133" s="19">
        <f t="shared" si="49"/>
        <v>0.26975476839237056</v>
      </c>
      <c r="E133" s="18">
        <f t="shared" si="50"/>
        <v>-0.27021185138897263</v>
      </c>
      <c r="F133" s="18">
        <f t="shared" si="51"/>
        <v>1.6036627430347172</v>
      </c>
      <c r="G133" s="18">
        <f t="shared" si="52"/>
        <v>0.1765066839933839</v>
      </c>
      <c r="H133" s="18">
        <f t="shared" si="53"/>
        <v>3.8911972024459839E-3</v>
      </c>
      <c r="I133" s="18">
        <f t="shared" si="35"/>
        <v>0.17150836027917393</v>
      </c>
      <c r="J133" s="18">
        <f t="shared" si="36"/>
        <v>0.18150500770759387</v>
      </c>
      <c r="K133" s="18">
        <f t="shared" si="37"/>
        <v>0.17008742844040023</v>
      </c>
      <c r="L133" s="18">
        <f t="shared" si="38"/>
        <v>0.18292593954636757</v>
      </c>
      <c r="M133" s="18">
        <f t="shared" si="39"/>
        <v>0.16885450236511201</v>
      </c>
      <c r="N133" s="18">
        <f t="shared" si="40"/>
        <v>0.18415886562165579</v>
      </c>
      <c r="O133" s="18">
        <f t="shared" si="41"/>
        <v>0.16643147638344719</v>
      </c>
      <c r="P133" s="18">
        <f t="shared" si="42"/>
        <v>0.18658189160332062</v>
      </c>
      <c r="Q133" s="18">
        <f t="shared" si="54"/>
        <v>0.34958118365656005</v>
      </c>
      <c r="R133" s="18">
        <f t="shared" si="32"/>
        <v>-4.9760606606304603E-2</v>
      </c>
      <c r="S133" s="18">
        <f t="shared" si="33"/>
        <v>4.0239905029175443E-3</v>
      </c>
      <c r="T133" s="18">
        <f t="shared" si="43"/>
        <v>0.16859335948250836</v>
      </c>
      <c r="U133" s="18">
        <f t="shared" si="44"/>
        <v>0.18442000850425944</v>
      </c>
      <c r="V133" s="40" t="str">
        <f t="shared" si="34"/>
        <v>Y</v>
      </c>
      <c r="W133" s="18">
        <v>2.2172000000000001</v>
      </c>
      <c r="X133" s="18">
        <f t="shared" si="31"/>
        <v>0.76687093743045087</v>
      </c>
      <c r="Y133" s="18">
        <v>0.76687093743045087</v>
      </c>
      <c r="Z133" s="18">
        <v>0.22745712522122905</v>
      </c>
      <c r="AA133" s="18">
        <f t="shared" si="45"/>
        <v>-1.4807935189180821</v>
      </c>
      <c r="AB133" s="18">
        <f t="shared" si="46"/>
        <v>-1.4561630621641055</v>
      </c>
      <c r="AC133" s="18">
        <f t="shared" si="47"/>
        <v>-578.58044647319093</v>
      </c>
    </row>
    <row r="134" spans="1:29" x14ac:dyDescent="0.25">
      <c r="A134" s="13" t="str">
        <f t="shared" si="48"/>
        <v/>
      </c>
      <c r="B134" s="30">
        <f>IF(B133=$C$9,$C$6,IF(OR(ISNA(B133),B133=$C$6),NA(),Main!A101))</f>
        <v>100</v>
      </c>
      <c r="C134" s="29">
        <f>IF(ISNA(B134),NA(),IF(B134=$C$6,$C$19,Main!C101))</f>
        <v>0.19280000000000008</v>
      </c>
      <c r="D134" s="19">
        <f t="shared" si="49"/>
        <v>0.27247956403269757</v>
      </c>
      <c r="E134" s="18">
        <f t="shared" si="50"/>
        <v>-0.26251168595923879</v>
      </c>
      <c r="F134" s="18">
        <f t="shared" si="51"/>
        <v>1.6036627430347172</v>
      </c>
      <c r="G134" s="18">
        <f t="shared" si="52"/>
        <v>0.17707579499465567</v>
      </c>
      <c r="H134" s="18">
        <f t="shared" si="53"/>
        <v>3.8940035048370225E-3</v>
      </c>
      <c r="I134" s="18">
        <f t="shared" si="35"/>
        <v>0.17207386652667442</v>
      </c>
      <c r="J134" s="18">
        <f t="shared" si="36"/>
        <v>0.18207772346263693</v>
      </c>
      <c r="K134" s="18">
        <f t="shared" si="37"/>
        <v>0.17065190992245985</v>
      </c>
      <c r="L134" s="18">
        <f t="shared" si="38"/>
        <v>0.18349968006685149</v>
      </c>
      <c r="M134" s="18">
        <f t="shared" si="39"/>
        <v>0.16941809467008473</v>
      </c>
      <c r="N134" s="18">
        <f t="shared" si="40"/>
        <v>0.18473349531922661</v>
      </c>
      <c r="O134" s="18">
        <f t="shared" si="41"/>
        <v>0.16699332122015959</v>
      </c>
      <c r="P134" s="18">
        <f t="shared" si="42"/>
        <v>0.18715826876915176</v>
      </c>
      <c r="Q134" s="18">
        <f t="shared" si="54"/>
        <v>0.34958118365656005</v>
      </c>
      <c r="R134" s="18">
        <f t="shared" si="32"/>
        <v>-4.9760606606304603E-2</v>
      </c>
      <c r="S134" s="18">
        <f t="shared" si="33"/>
        <v>4.0239905029175443E-3</v>
      </c>
      <c r="T134" s="18">
        <f t="shared" si="43"/>
        <v>0.16916247048378014</v>
      </c>
      <c r="U134" s="18">
        <f t="shared" si="44"/>
        <v>0.18498911950553121</v>
      </c>
      <c r="V134" s="40" t="str">
        <f t="shared" si="34"/>
        <v>Y</v>
      </c>
      <c r="W134" s="18">
        <v>2.2172000000000001</v>
      </c>
      <c r="X134" s="18">
        <f t="shared" si="31"/>
        <v>0.76687093743045087</v>
      </c>
      <c r="Y134" s="18">
        <v>0.76687093743045087</v>
      </c>
      <c r="Z134" s="18">
        <v>0.22745712522122905</v>
      </c>
      <c r="AA134" s="18">
        <f t="shared" si="45"/>
        <v>-1.4807935189180821</v>
      </c>
      <c r="AB134" s="18">
        <f t="shared" si="46"/>
        <v>-1.4561630621641055</v>
      </c>
      <c r="AC134" s="18">
        <f t="shared" si="47"/>
        <v>-584.45435963535533</v>
      </c>
    </row>
    <row r="135" spans="1:29" x14ac:dyDescent="0.25">
      <c r="A135" s="13" t="str">
        <f t="shared" si="48"/>
        <v/>
      </c>
      <c r="B135" s="30">
        <f>IF(B134=$C$9,$C$6,IF(OR(ISNA(B134),B134=$C$6),NA(),Main!A102))</f>
        <v>101</v>
      </c>
      <c r="C135" s="29">
        <f>IF(ISNA(B135),NA(),IF(B135=$C$6,$C$19,Main!C102))</f>
        <v>0.19280000000000008</v>
      </c>
      <c r="D135" s="19">
        <f t="shared" si="49"/>
        <v>0.27520435967302453</v>
      </c>
      <c r="E135" s="18">
        <f t="shared" si="50"/>
        <v>-0.25482927933651867</v>
      </c>
      <c r="F135" s="18">
        <f t="shared" si="51"/>
        <v>1.6036627430347172</v>
      </c>
      <c r="G135" s="18">
        <f t="shared" si="52"/>
        <v>0.17764359346147179</v>
      </c>
      <c r="H135" s="18">
        <f t="shared" si="53"/>
        <v>3.8969389141998022E-3</v>
      </c>
      <c r="I135" s="18">
        <f t="shared" si="35"/>
        <v>0.17263789439912958</v>
      </c>
      <c r="J135" s="18">
        <f t="shared" si="36"/>
        <v>0.18264929252381401</v>
      </c>
      <c r="K135" s="18">
        <f t="shared" si="37"/>
        <v>0.17121486588403351</v>
      </c>
      <c r="L135" s="18">
        <f t="shared" si="38"/>
        <v>0.18407232103891008</v>
      </c>
      <c r="M135" s="18">
        <f t="shared" si="39"/>
        <v>0.16998012054701947</v>
      </c>
      <c r="N135" s="18">
        <f t="shared" si="40"/>
        <v>0.18530706637592412</v>
      </c>
      <c r="O135" s="18">
        <f t="shared" si="41"/>
        <v>0.16755351923466977</v>
      </c>
      <c r="P135" s="18">
        <f t="shared" si="42"/>
        <v>0.18773366768827382</v>
      </c>
      <c r="Q135" s="18">
        <f t="shared" si="54"/>
        <v>0.34958118365656005</v>
      </c>
      <c r="R135" s="18">
        <f t="shared" si="32"/>
        <v>-4.9760606606304603E-2</v>
      </c>
      <c r="S135" s="18">
        <f t="shared" si="33"/>
        <v>4.0239905029175443E-3</v>
      </c>
      <c r="T135" s="18">
        <f t="shared" si="43"/>
        <v>0.16973026895059626</v>
      </c>
      <c r="U135" s="18">
        <f t="shared" si="44"/>
        <v>0.18555691797234733</v>
      </c>
      <c r="V135" s="40" t="str">
        <f t="shared" si="34"/>
        <v>Y</v>
      </c>
      <c r="W135" s="18">
        <v>2.2172000000000001</v>
      </c>
      <c r="X135" s="18">
        <f t="shared" si="31"/>
        <v>0.76687093743045087</v>
      </c>
      <c r="Y135" s="18">
        <v>0.76687093743045087</v>
      </c>
      <c r="Z135" s="18">
        <v>0.22745712522122905</v>
      </c>
      <c r="AA135" s="18">
        <f t="shared" si="45"/>
        <v>-1.4807935189180821</v>
      </c>
      <c r="AB135" s="18">
        <f t="shared" si="46"/>
        <v>-1.4561630621641055</v>
      </c>
      <c r="AC135" s="18">
        <f t="shared" si="47"/>
        <v>-590.32827279751973</v>
      </c>
    </row>
    <row r="136" spans="1:29" x14ac:dyDescent="0.25">
      <c r="A136" s="13" t="str">
        <f t="shared" si="48"/>
        <v/>
      </c>
      <c r="B136" s="30">
        <f>IF(B135=$C$9,$C$6,IF(OR(ISNA(B135),B135=$C$6),NA(),Main!A103))</f>
        <v>102</v>
      </c>
      <c r="C136" s="29">
        <f>IF(ISNA(B136),NA(),IF(B136=$C$6,$C$19,Main!C103))</f>
        <v>0.19280000000000008</v>
      </c>
      <c r="D136" s="19">
        <f t="shared" si="49"/>
        <v>0.27792915531335149</v>
      </c>
      <c r="E136" s="18">
        <f t="shared" si="50"/>
        <v>-0.24716396516741851</v>
      </c>
      <c r="F136" s="18">
        <f t="shared" si="51"/>
        <v>1.6036627430347172</v>
      </c>
      <c r="G136" s="18">
        <f t="shared" si="52"/>
        <v>0.17821012864329971</v>
      </c>
      <c r="H136" s="18">
        <f t="shared" si="53"/>
        <v>3.9000024588423943E-3</v>
      </c>
      <c r="I136" s="18">
        <f t="shared" si="35"/>
        <v>0.17320049439416538</v>
      </c>
      <c r="J136" s="18">
        <f t="shared" si="36"/>
        <v>0.18321976289243405</v>
      </c>
      <c r="K136" s="18">
        <f t="shared" si="37"/>
        <v>0.17177634717757573</v>
      </c>
      <c r="L136" s="18">
        <f t="shared" si="38"/>
        <v>0.1846439101090237</v>
      </c>
      <c r="M136" s="18">
        <f t="shared" si="39"/>
        <v>0.1705406311562514</v>
      </c>
      <c r="N136" s="18">
        <f t="shared" si="40"/>
        <v>0.18587962613034803</v>
      </c>
      <c r="O136" s="18">
        <f t="shared" si="41"/>
        <v>0.16811212219237986</v>
      </c>
      <c r="P136" s="18">
        <f t="shared" si="42"/>
        <v>0.18830813509421956</v>
      </c>
      <c r="Q136" s="18">
        <f t="shared" si="54"/>
        <v>0.34958118365656005</v>
      </c>
      <c r="R136" s="18">
        <f t="shared" si="32"/>
        <v>-4.9760606606304603E-2</v>
      </c>
      <c r="S136" s="18">
        <f t="shared" si="33"/>
        <v>4.0239905029175443E-3</v>
      </c>
      <c r="T136" s="18">
        <f t="shared" si="43"/>
        <v>0.17029680413242418</v>
      </c>
      <c r="U136" s="18">
        <f t="shared" si="44"/>
        <v>0.18612345315417525</v>
      </c>
      <c r="V136" s="40" t="str">
        <f t="shared" si="34"/>
        <v>Y</v>
      </c>
      <c r="W136" s="18">
        <v>2.2172000000000001</v>
      </c>
      <c r="X136" s="18">
        <f t="shared" si="31"/>
        <v>0.76687093743045087</v>
      </c>
      <c r="Y136" s="18">
        <v>0.76687093743045087</v>
      </c>
      <c r="Z136" s="18">
        <v>0.22745712522122905</v>
      </c>
      <c r="AA136" s="18">
        <f t="shared" si="45"/>
        <v>-1.4807935189180821</v>
      </c>
      <c r="AB136" s="18">
        <f t="shared" si="46"/>
        <v>-1.4561630621641055</v>
      </c>
      <c r="AC136" s="18">
        <f t="shared" si="47"/>
        <v>-596.20218595968413</v>
      </c>
    </row>
    <row r="137" spans="1:29" x14ac:dyDescent="0.25">
      <c r="A137" s="13" t="str">
        <f t="shared" si="48"/>
        <v/>
      </c>
      <c r="B137" s="30">
        <f>IF(B136=$C$9,$C$6,IF(OR(ISNA(B136),B136=$C$6),NA(),Main!A104))</f>
        <v>103</v>
      </c>
      <c r="C137" s="29">
        <f>IF(ISNA(B137),NA(),IF(B137=$C$6,$C$19,Main!C104))</f>
        <v>0.19280000000000008</v>
      </c>
      <c r="D137" s="19">
        <f t="shared" si="49"/>
        <v>0.28065395095367845</v>
      </c>
      <c r="E137" s="18">
        <f t="shared" si="50"/>
        <v>-0.23951509117568312</v>
      </c>
      <c r="F137" s="18">
        <f t="shared" si="51"/>
        <v>1.6036627430347172</v>
      </c>
      <c r="G137" s="18">
        <f t="shared" si="52"/>
        <v>0.17877544874918069</v>
      </c>
      <c r="H137" s="18">
        <f t="shared" si="53"/>
        <v>3.9031932010363396E-3</v>
      </c>
      <c r="I137" s="18">
        <f t="shared" si="35"/>
        <v>0.17376171592535478</v>
      </c>
      <c r="J137" s="18">
        <f t="shared" si="36"/>
        <v>0.18378918157300661</v>
      </c>
      <c r="K137" s="18">
        <f t="shared" si="37"/>
        <v>0.17233640355908578</v>
      </c>
      <c r="L137" s="18">
        <f t="shared" si="38"/>
        <v>0.18521449393927561</v>
      </c>
      <c r="M137" s="18">
        <f t="shared" si="39"/>
        <v>0.17109967655089911</v>
      </c>
      <c r="N137" s="18">
        <f t="shared" si="40"/>
        <v>0.18645122094746228</v>
      </c>
      <c r="O137" s="18">
        <f t="shared" si="41"/>
        <v>0.16866918073032655</v>
      </c>
      <c r="P137" s="18">
        <f t="shared" si="42"/>
        <v>0.18888171676803484</v>
      </c>
      <c r="Q137" s="18">
        <f t="shared" si="54"/>
        <v>0.34958118365656005</v>
      </c>
      <c r="R137" s="18">
        <f t="shared" si="32"/>
        <v>-4.9760606606304603E-2</v>
      </c>
      <c r="S137" s="18">
        <f t="shared" si="33"/>
        <v>4.0239905029175443E-3</v>
      </c>
      <c r="T137" s="18">
        <f t="shared" si="43"/>
        <v>0.17086212423830516</v>
      </c>
      <c r="U137" s="18">
        <f t="shared" si="44"/>
        <v>0.18668877326005623</v>
      </c>
      <c r="V137" s="40" t="str">
        <f t="shared" si="34"/>
        <v>Y</v>
      </c>
      <c r="W137" s="18">
        <v>2.2172000000000001</v>
      </c>
      <c r="X137" s="18">
        <f t="shared" si="31"/>
        <v>0.76687093743045087</v>
      </c>
      <c r="Y137" s="18">
        <v>0.76687093743045087</v>
      </c>
      <c r="Z137" s="18">
        <v>0.22745712522122905</v>
      </c>
      <c r="AA137" s="18">
        <f t="shared" si="45"/>
        <v>-1.4807935189180821</v>
      </c>
      <c r="AB137" s="18">
        <f t="shared" si="46"/>
        <v>-1.4561630621641055</v>
      </c>
      <c r="AC137" s="18">
        <f t="shared" si="47"/>
        <v>-602.07609912184842</v>
      </c>
    </row>
    <row r="138" spans="1:29" x14ac:dyDescent="0.25">
      <c r="A138" s="13" t="str">
        <f t="shared" si="48"/>
        <v/>
      </c>
      <c r="B138" s="30">
        <f>IF(B137=$C$9,$C$6,IF(OR(ISNA(B137),B137=$C$6),NA(),Main!A105))</f>
        <v>104</v>
      </c>
      <c r="C138" s="29">
        <f>IF(ISNA(B138),NA(),IF(B138=$C$6,$C$19,Main!C105))</f>
        <v>0.19280000000000008</v>
      </c>
      <c r="D138" s="19">
        <f t="shared" si="49"/>
        <v>0.28337874659400547</v>
      </c>
      <c r="E138" s="18">
        <f t="shared" si="50"/>
        <v>-0.23188201858353663</v>
      </c>
      <c r="F138" s="18">
        <f t="shared" si="51"/>
        <v>1.6036627430347172</v>
      </c>
      <c r="G138" s="18">
        <f t="shared" si="52"/>
        <v>0.17933960099049778</v>
      </c>
      <c r="H138" s="18">
        <f t="shared" si="53"/>
        <v>3.9065102359390506E-3</v>
      </c>
      <c r="I138" s="18">
        <f t="shared" si="35"/>
        <v>0.17432160736636992</v>
      </c>
      <c r="J138" s="18">
        <f t="shared" si="36"/>
        <v>0.18435759461462564</v>
      </c>
      <c r="K138" s="18">
        <f t="shared" si="37"/>
        <v>0.1728950837326533</v>
      </c>
      <c r="L138" s="18">
        <f t="shared" si="38"/>
        <v>0.18578411824834226</v>
      </c>
      <c r="M138" s="18">
        <f t="shared" si="39"/>
        <v>0.17165730572175167</v>
      </c>
      <c r="N138" s="18">
        <f t="shared" si="40"/>
        <v>0.1870218962592439</v>
      </c>
      <c r="O138" s="18">
        <f t="shared" si="41"/>
        <v>0.16922474440273913</v>
      </c>
      <c r="P138" s="18">
        <f t="shared" si="42"/>
        <v>0.18945445757825644</v>
      </c>
      <c r="Q138" s="18">
        <f t="shared" si="54"/>
        <v>0.34958118365656005</v>
      </c>
      <c r="R138" s="18">
        <f t="shared" si="32"/>
        <v>-4.9760606606304603E-2</v>
      </c>
      <c r="S138" s="18">
        <f t="shared" si="33"/>
        <v>4.0239905029175443E-3</v>
      </c>
      <c r="T138" s="18">
        <f t="shared" si="43"/>
        <v>0.17142627647962225</v>
      </c>
      <c r="U138" s="18">
        <f t="shared" si="44"/>
        <v>0.18725292550137332</v>
      </c>
      <c r="V138" s="40" t="str">
        <f t="shared" si="34"/>
        <v>Y</v>
      </c>
      <c r="W138" s="18">
        <v>2.2172000000000001</v>
      </c>
      <c r="X138" s="18">
        <f t="shared" si="31"/>
        <v>0.76687093743045087</v>
      </c>
      <c r="Y138" s="18">
        <v>0.76687093743045087</v>
      </c>
      <c r="Z138" s="18">
        <v>0.22745712522122905</v>
      </c>
      <c r="AA138" s="18">
        <f t="shared" si="45"/>
        <v>-1.4807935189180821</v>
      </c>
      <c r="AB138" s="18">
        <f t="shared" si="46"/>
        <v>-1.4561630621641055</v>
      </c>
      <c r="AC138" s="18">
        <f t="shared" si="47"/>
        <v>-607.95001228401281</v>
      </c>
    </row>
    <row r="139" spans="1:29" x14ac:dyDescent="0.25">
      <c r="A139" s="13" t="str">
        <f t="shared" si="48"/>
        <v/>
      </c>
      <c r="B139" s="30">
        <f>IF(B138=$C$9,$C$6,IF(OR(ISNA(B138),B138=$C$6),NA(),Main!A106))</f>
        <v>105</v>
      </c>
      <c r="C139" s="29">
        <f>IF(ISNA(B139),NA(),IF(B139=$C$6,$C$19,Main!C106))</f>
        <v>0.19280000000000008</v>
      </c>
      <c r="D139" s="19">
        <f t="shared" si="49"/>
        <v>0.28610354223433243</v>
      </c>
      <c r="E139" s="18">
        <f t="shared" si="50"/>
        <v>-0.22426412155843295</v>
      </c>
      <c r="F139" s="18">
        <f t="shared" si="51"/>
        <v>1.6036627430347172</v>
      </c>
      <c r="G139" s="18">
        <f t="shared" si="52"/>
        <v>0.1799026316218659</v>
      </c>
      <c r="H139" s="18">
        <f t="shared" si="53"/>
        <v>3.9099526905705699E-3</v>
      </c>
      <c r="I139" s="18">
        <f t="shared" si="35"/>
        <v>0.17488021609318666</v>
      </c>
      <c r="J139" s="18">
        <f t="shared" si="36"/>
        <v>0.18492504715054514</v>
      </c>
      <c r="K139" s="18">
        <f t="shared" si="37"/>
        <v>0.17345243539303651</v>
      </c>
      <c r="L139" s="18">
        <f t="shared" si="38"/>
        <v>0.18635282785069529</v>
      </c>
      <c r="M139" s="18">
        <f t="shared" si="39"/>
        <v>0.17221356664017107</v>
      </c>
      <c r="N139" s="18">
        <f t="shared" si="40"/>
        <v>0.18759169660356073</v>
      </c>
      <c r="O139" s="18">
        <f t="shared" si="41"/>
        <v>0.16977886172457912</v>
      </c>
      <c r="P139" s="18">
        <f t="shared" si="42"/>
        <v>0.19002640151915268</v>
      </c>
      <c r="Q139" s="18">
        <f t="shared" si="54"/>
        <v>0.34958118365656005</v>
      </c>
      <c r="R139" s="18">
        <f t="shared" si="32"/>
        <v>-4.9760606606304603E-2</v>
      </c>
      <c r="S139" s="18">
        <f t="shared" si="33"/>
        <v>4.0239905029175443E-3</v>
      </c>
      <c r="T139" s="18">
        <f t="shared" si="43"/>
        <v>0.17198930711099036</v>
      </c>
      <c r="U139" s="18">
        <f t="shared" si="44"/>
        <v>0.18781595613274144</v>
      </c>
      <c r="V139" s="40" t="str">
        <f t="shared" si="34"/>
        <v>Y</v>
      </c>
      <c r="W139" s="18">
        <v>2.2172000000000001</v>
      </c>
      <c r="X139" s="18">
        <f t="shared" si="31"/>
        <v>0.76687093743045087</v>
      </c>
      <c r="Y139" s="18">
        <v>0.76687093743045087</v>
      </c>
      <c r="Z139" s="18">
        <v>0.22745712522122905</v>
      </c>
      <c r="AA139" s="18">
        <f t="shared" si="45"/>
        <v>-1.4807935189180821</v>
      </c>
      <c r="AB139" s="18">
        <f t="shared" si="46"/>
        <v>-1.4561630621641055</v>
      </c>
      <c r="AC139" s="18">
        <f t="shared" si="47"/>
        <v>-613.82392544617721</v>
      </c>
    </row>
    <row r="140" spans="1:29" x14ac:dyDescent="0.25">
      <c r="A140" s="13" t="str">
        <f t="shared" si="48"/>
        <v/>
      </c>
      <c r="B140" s="30">
        <f>IF(B139=$C$9,$C$6,IF(OR(ISNA(B139),B139=$C$6),NA(),Main!A107))</f>
        <v>106</v>
      </c>
      <c r="C140" s="29">
        <f>IF(ISNA(B140),NA(),IF(B140=$C$6,$C$19,Main!C107))</f>
        <v>0.21689999999999987</v>
      </c>
      <c r="D140" s="19">
        <f t="shared" si="49"/>
        <v>0.28882833787465939</v>
      </c>
      <c r="E140" s="18">
        <f t="shared" si="50"/>
        <v>-0.21666078668378969</v>
      </c>
      <c r="F140" s="18">
        <f t="shared" si="51"/>
        <v>1.5700323257905084</v>
      </c>
      <c r="G140" s="18">
        <f t="shared" si="52"/>
        <v>0.18046458598024939</v>
      </c>
      <c r="H140" s="18">
        <f t="shared" si="53"/>
        <v>3.913519722841729E-3</v>
      </c>
      <c r="I140" s="18">
        <f t="shared" si="35"/>
        <v>0.17543758852445038</v>
      </c>
      <c r="J140" s="18">
        <f t="shared" si="36"/>
        <v>0.18549158343604841</v>
      </c>
      <c r="K140" s="18">
        <f t="shared" si="37"/>
        <v>0.17400850526638287</v>
      </c>
      <c r="L140" s="18">
        <f t="shared" si="38"/>
        <v>0.18692066669411592</v>
      </c>
      <c r="M140" s="18">
        <f t="shared" si="39"/>
        <v>0.17276850629912074</v>
      </c>
      <c r="N140" s="18">
        <f t="shared" si="40"/>
        <v>0.18816066566137804</v>
      </c>
      <c r="O140" s="18">
        <f t="shared" si="41"/>
        <v>0.1703315802131741</v>
      </c>
      <c r="P140" s="18">
        <f t="shared" si="42"/>
        <v>0.19059759174732469</v>
      </c>
      <c r="Q140" s="18">
        <f t="shared" si="54"/>
        <v>0.4683343039139215</v>
      </c>
      <c r="R140" s="18">
        <f t="shared" si="32"/>
        <v>0.27631635630933921</v>
      </c>
      <c r="S140" s="18">
        <f t="shared" si="33"/>
        <v>4.4004930351343634E-3</v>
      </c>
      <c r="T140" s="18">
        <f t="shared" si="43"/>
        <v>0.17181085546830652</v>
      </c>
      <c r="U140" s="18">
        <f t="shared" si="44"/>
        <v>0.18911831649219227</v>
      </c>
      <c r="V140" s="40" t="str">
        <f t="shared" si="34"/>
        <v>Y</v>
      </c>
      <c r="W140" s="18">
        <v>2.1931000000000003</v>
      </c>
      <c r="X140" s="18">
        <f t="shared" si="31"/>
        <v>0.66501994267845621</v>
      </c>
      <c r="Y140" s="18">
        <v>0.66501994267845621</v>
      </c>
      <c r="Z140" s="18">
        <v>0.22745712522122905</v>
      </c>
      <c r="AA140" s="18">
        <f t="shared" si="45"/>
        <v>-1.4807935189180821</v>
      </c>
      <c r="AB140" s="18">
        <f t="shared" si="46"/>
        <v>-1.0936842793125257</v>
      </c>
      <c r="AC140" s="18">
        <f t="shared" si="47"/>
        <v>-543.21481542665822</v>
      </c>
    </row>
    <row r="141" spans="1:29" x14ac:dyDescent="0.25">
      <c r="A141" s="13" t="str">
        <f t="shared" si="48"/>
        <v/>
      </c>
      <c r="B141" s="30">
        <f>IF(B140=$C$9,$C$6,IF(OR(ISNA(B140),B140=$C$6),NA(),Main!A108))</f>
        <v>107</v>
      </c>
      <c r="C141" s="29">
        <f>IF(ISNA(B141),NA(),IF(B141=$C$6,$C$19,Main!C108))</f>
        <v>0.21689999999999987</v>
      </c>
      <c r="D141" s="19">
        <f t="shared" si="49"/>
        <v>0.29155313351498635</v>
      </c>
      <c r="E141" s="18">
        <f t="shared" si="50"/>
        <v>-0.20907141245237393</v>
      </c>
      <c r="F141" s="18">
        <f t="shared" si="51"/>
        <v>1.5700323257905084</v>
      </c>
      <c r="G141" s="18">
        <f t="shared" si="52"/>
        <v>0.18102550852240532</v>
      </c>
      <c r="H141" s="18">
        <f t="shared" si="53"/>
        <v>3.9172105206309628E-3</v>
      </c>
      <c r="I141" s="18">
        <f t="shared" si="35"/>
        <v>0.17599377016010517</v>
      </c>
      <c r="J141" s="18">
        <f t="shared" si="36"/>
        <v>0.18605724688470546</v>
      </c>
      <c r="K141" s="18">
        <f t="shared" si="37"/>
        <v>0.17456333914919545</v>
      </c>
      <c r="L141" s="18">
        <f t="shared" si="38"/>
        <v>0.18748767789561518</v>
      </c>
      <c r="M141" s="18">
        <f t="shared" si="39"/>
        <v>0.17332217075242456</v>
      </c>
      <c r="N141" s="18">
        <f t="shared" si="40"/>
        <v>0.18872884629238607</v>
      </c>
      <c r="O141" s="18">
        <f t="shared" si="41"/>
        <v>0.17088294642805124</v>
      </c>
      <c r="P141" s="18">
        <f t="shared" si="42"/>
        <v>0.19116807061675939</v>
      </c>
      <c r="Q141" s="18">
        <f t="shared" si="54"/>
        <v>0.4683343039139215</v>
      </c>
      <c r="R141" s="18">
        <f t="shared" si="32"/>
        <v>0.27631635630933921</v>
      </c>
      <c r="S141" s="18">
        <f t="shared" si="33"/>
        <v>4.4004930351343634E-3</v>
      </c>
      <c r="T141" s="18">
        <f t="shared" si="43"/>
        <v>0.17237177801046244</v>
      </c>
      <c r="U141" s="18">
        <f t="shared" si="44"/>
        <v>0.18967923903434819</v>
      </c>
      <c r="V141" s="40" t="str">
        <f t="shared" si="34"/>
        <v>Y</v>
      </c>
      <c r="W141" s="18">
        <v>2.1931000000000003</v>
      </c>
      <c r="X141" s="18">
        <f t="shared" si="31"/>
        <v>0.66501994267845621</v>
      </c>
      <c r="Y141" s="18">
        <v>0.66501994267845621</v>
      </c>
      <c r="Z141" s="18">
        <v>0.22745712522122905</v>
      </c>
      <c r="AA141" s="18">
        <f t="shared" si="45"/>
        <v>-1.4807935189180821</v>
      </c>
      <c r="AB141" s="18">
        <f t="shared" si="46"/>
        <v>-1.0936842793125257</v>
      </c>
      <c r="AC141" s="18">
        <f t="shared" si="47"/>
        <v>-548.3637710231194</v>
      </c>
    </row>
    <row r="142" spans="1:29" x14ac:dyDescent="0.25">
      <c r="A142" s="13" t="str">
        <f t="shared" si="48"/>
        <v/>
      </c>
      <c r="B142" s="30">
        <f>IF(B141=$C$9,$C$6,IF(OR(ISNA(B141),B141=$C$6),NA(),Main!A109))</f>
        <v>108</v>
      </c>
      <c r="C142" s="29">
        <f>IF(ISNA(B142),NA(),IF(B142=$C$6,$C$19,Main!C109))</f>
        <v>0.21689999999999987</v>
      </c>
      <c r="D142" s="19">
        <f t="shared" si="49"/>
        <v>0.29427792915531337</v>
      </c>
      <c r="E142" s="18">
        <f t="shared" si="50"/>
        <v>-0.20149540878108285</v>
      </c>
      <c r="F142" s="18">
        <f t="shared" si="51"/>
        <v>1.5700323257905084</v>
      </c>
      <c r="G142" s="18">
        <f t="shared" si="52"/>
        <v>0.18158544286074538</v>
      </c>
      <c r="H142" s="18">
        <f t="shared" si="53"/>
        <v>3.9210243009072006E-3</v>
      </c>
      <c r="I142" s="18">
        <f t="shared" si="35"/>
        <v>0.17654880561838243</v>
      </c>
      <c r="J142" s="18">
        <f t="shared" si="36"/>
        <v>0.18662208010310832</v>
      </c>
      <c r="K142" s="18">
        <f t="shared" si="37"/>
        <v>0.17511698194564174</v>
      </c>
      <c r="L142" s="18">
        <f t="shared" si="38"/>
        <v>0.18805390377584902</v>
      </c>
      <c r="M142" s="18">
        <f t="shared" si="39"/>
        <v>0.17387460515235345</v>
      </c>
      <c r="N142" s="18">
        <f t="shared" si="40"/>
        <v>0.1892962805691373</v>
      </c>
      <c r="O142" s="18">
        <f t="shared" si="41"/>
        <v>0.17143300600907044</v>
      </c>
      <c r="P142" s="18">
        <f t="shared" si="42"/>
        <v>0.19173787971242032</v>
      </c>
      <c r="Q142" s="18">
        <f t="shared" si="54"/>
        <v>0.4683343039139215</v>
      </c>
      <c r="R142" s="18">
        <f t="shared" si="32"/>
        <v>0.27631635630933921</v>
      </c>
      <c r="S142" s="18">
        <f t="shared" si="33"/>
        <v>4.4004930351343634E-3</v>
      </c>
      <c r="T142" s="18">
        <f t="shared" si="43"/>
        <v>0.1729317123488025</v>
      </c>
      <c r="U142" s="18">
        <f t="shared" si="44"/>
        <v>0.19023917337268825</v>
      </c>
      <c r="V142" s="40" t="str">
        <f t="shared" si="34"/>
        <v>Y</v>
      </c>
      <c r="W142" s="18">
        <v>2.1931000000000003</v>
      </c>
      <c r="X142" s="18">
        <f t="shared" si="31"/>
        <v>0.66501994267845621</v>
      </c>
      <c r="Y142" s="18">
        <v>0.66501994267845621</v>
      </c>
      <c r="Z142" s="18">
        <v>0.22745712522122905</v>
      </c>
      <c r="AA142" s="18">
        <f t="shared" si="45"/>
        <v>-1.4807935189180821</v>
      </c>
      <c r="AB142" s="18">
        <f t="shared" si="46"/>
        <v>-1.0936842793125257</v>
      </c>
      <c r="AC142" s="18">
        <f t="shared" si="47"/>
        <v>-553.51272661958069</v>
      </c>
    </row>
    <row r="143" spans="1:29" x14ac:dyDescent="0.25">
      <c r="A143" s="13" t="str">
        <f t="shared" si="48"/>
        <v/>
      </c>
      <c r="B143" s="30">
        <f>IF(B142=$C$9,$C$6,IF(OR(ISNA(B142),B142=$C$6),NA(),Main!A110))</f>
        <v>109</v>
      </c>
      <c r="C143" s="29">
        <f>IF(ISNA(B143),NA(),IF(B143=$C$6,$C$19,Main!C110))</f>
        <v>0.21689999999999987</v>
      </c>
      <c r="D143" s="19">
        <f t="shared" si="49"/>
        <v>0.29700272479564033</v>
      </c>
      <c r="E143" s="18">
        <f t="shared" si="50"/>
        <v>-0.19393219654595223</v>
      </c>
      <c r="F143" s="18">
        <f t="shared" si="51"/>
        <v>1.5700323257905084</v>
      </c>
      <c r="G143" s="18">
        <f t="shared" si="52"/>
        <v>0.1821444317977032</v>
      </c>
      <c r="H143" s="18">
        <f t="shared" si="53"/>
        <v>3.9249603088964075E-3</v>
      </c>
      <c r="I143" s="18">
        <f t="shared" si="35"/>
        <v>0.17710273867123871</v>
      </c>
      <c r="J143" s="18">
        <f t="shared" si="36"/>
        <v>0.1871861249241677</v>
      </c>
      <c r="K143" s="18">
        <f t="shared" si="37"/>
        <v>0.17566947770329591</v>
      </c>
      <c r="L143" s="18">
        <f t="shared" si="38"/>
        <v>0.1886193858921105</v>
      </c>
      <c r="M143" s="18">
        <f t="shared" si="39"/>
        <v>0.17442585378563177</v>
      </c>
      <c r="N143" s="18">
        <f t="shared" si="40"/>
        <v>0.18986300980977464</v>
      </c>
      <c r="O143" s="18">
        <f t="shared" si="41"/>
        <v>0.17198180371294949</v>
      </c>
      <c r="P143" s="18">
        <f t="shared" si="42"/>
        <v>0.19230705988245692</v>
      </c>
      <c r="Q143" s="18">
        <f t="shared" si="54"/>
        <v>0.4683343039139215</v>
      </c>
      <c r="R143" s="18">
        <f t="shared" si="32"/>
        <v>0.27631635630933921</v>
      </c>
      <c r="S143" s="18">
        <f t="shared" si="33"/>
        <v>4.4004930351343634E-3</v>
      </c>
      <c r="T143" s="18">
        <f t="shared" si="43"/>
        <v>0.17349070128576033</v>
      </c>
      <c r="U143" s="18">
        <f t="shared" si="44"/>
        <v>0.19079816230964608</v>
      </c>
      <c r="V143" s="40" t="str">
        <f t="shared" si="34"/>
        <v>Y</v>
      </c>
      <c r="W143" s="18">
        <v>2.1931000000000003</v>
      </c>
      <c r="X143" s="18">
        <f t="shared" si="31"/>
        <v>0.66501994267845621</v>
      </c>
      <c r="Y143" s="18">
        <v>0.66501994267845621</v>
      </c>
      <c r="Z143" s="18">
        <v>0.22745712522122905</v>
      </c>
      <c r="AA143" s="18">
        <f t="shared" si="45"/>
        <v>-1.4807935189180821</v>
      </c>
      <c r="AB143" s="18">
        <f t="shared" si="46"/>
        <v>-1.0936842793125257</v>
      </c>
      <c r="AC143" s="18">
        <f t="shared" si="47"/>
        <v>-558.66168221604187</v>
      </c>
    </row>
    <row r="144" spans="1:29" x14ac:dyDescent="0.25">
      <c r="A144" s="13" t="str">
        <f t="shared" si="48"/>
        <v/>
      </c>
      <c r="B144" s="30">
        <f>IF(B143=$C$9,$C$6,IF(OR(ISNA(B143),B143=$C$6),NA(),Main!A111))</f>
        <v>110</v>
      </c>
      <c r="C144" s="29">
        <f>IF(ISNA(B144),NA(),IF(B144=$C$6,$C$19,Main!C111))</f>
        <v>0.21689999999999987</v>
      </c>
      <c r="D144" s="19">
        <f t="shared" si="49"/>
        <v>0.29972752043596729</v>
      </c>
      <c r="E144" s="18">
        <f t="shared" si="50"/>
        <v>-0.18638120713628442</v>
      </c>
      <c r="F144" s="18">
        <f t="shared" si="51"/>
        <v>1.5700323257905084</v>
      </c>
      <c r="G144" s="18">
        <f t="shared" si="52"/>
        <v>0.18270251735868798</v>
      </c>
      <c r="H144" s="18">
        <f t="shared" si="53"/>
        <v>3.9290178172895424E-3</v>
      </c>
      <c r="I144" s="18">
        <f t="shared" si="35"/>
        <v>0.17765561227832682</v>
      </c>
      <c r="J144" s="18">
        <f t="shared" si="36"/>
        <v>0.18774942243904913</v>
      </c>
      <c r="K144" s="18">
        <f t="shared" si="37"/>
        <v>0.17622086964739911</v>
      </c>
      <c r="L144" s="18">
        <f t="shared" si="38"/>
        <v>0.18918416506997685</v>
      </c>
      <c r="M144" s="18">
        <f t="shared" si="39"/>
        <v>0.17497596010794855</v>
      </c>
      <c r="N144" s="18">
        <f t="shared" si="40"/>
        <v>0.1904290746094274</v>
      </c>
      <c r="O144" s="18">
        <f t="shared" si="41"/>
        <v>0.17252938344826851</v>
      </c>
      <c r="P144" s="18">
        <f t="shared" si="42"/>
        <v>0.19287565126910744</v>
      </c>
      <c r="Q144" s="18">
        <f t="shared" si="54"/>
        <v>0.4683343039139215</v>
      </c>
      <c r="R144" s="18">
        <f t="shared" si="32"/>
        <v>0.27631635630933921</v>
      </c>
      <c r="S144" s="18">
        <f t="shared" si="33"/>
        <v>4.4004930351343634E-3</v>
      </c>
      <c r="T144" s="18">
        <f t="shared" si="43"/>
        <v>0.1740487868467451</v>
      </c>
      <c r="U144" s="18">
        <f t="shared" si="44"/>
        <v>0.19135624787063085</v>
      </c>
      <c r="V144" s="40" t="str">
        <f t="shared" si="34"/>
        <v>Y</v>
      </c>
      <c r="W144" s="18">
        <v>2.1931000000000003</v>
      </c>
      <c r="X144" s="18">
        <f t="shared" si="31"/>
        <v>0.66501994267845621</v>
      </c>
      <c r="Y144" s="18">
        <v>0.66501994267845621</v>
      </c>
      <c r="Z144" s="18">
        <v>0.22745712522122905</v>
      </c>
      <c r="AA144" s="18">
        <f t="shared" si="45"/>
        <v>-1.4807935189180821</v>
      </c>
      <c r="AB144" s="18">
        <f t="shared" si="46"/>
        <v>-1.0936842793125257</v>
      </c>
      <c r="AC144" s="18">
        <f t="shared" si="47"/>
        <v>-563.81063781250305</v>
      </c>
    </row>
    <row r="145" spans="1:29" x14ac:dyDescent="0.25">
      <c r="A145" s="13" t="str">
        <f t="shared" si="48"/>
        <v/>
      </c>
      <c r="B145" s="30">
        <f>IF(B144=$C$9,$C$6,IF(OR(ISNA(B144),B144=$C$6),NA(),Main!A112))</f>
        <v>111</v>
      </c>
      <c r="C145" s="29">
        <f>IF(ISNA(B145),NA(),IF(B145=$C$6,$C$19,Main!C112))</f>
        <v>0.21689999999999987</v>
      </c>
      <c r="D145" s="19">
        <f t="shared" si="49"/>
        <v>0.3024523160762943</v>
      </c>
      <c r="E145" s="18">
        <f t="shared" si="50"/>
        <v>-0.17884188202686746</v>
      </c>
      <c r="F145" s="18">
        <f t="shared" si="51"/>
        <v>1.5700323257905084</v>
      </c>
      <c r="G145" s="18">
        <f t="shared" si="52"/>
        <v>0.18325974082370153</v>
      </c>
      <c r="H145" s="18">
        <f t="shared" si="53"/>
        <v>3.9331961254897851E-3</v>
      </c>
      <c r="I145" s="18">
        <f t="shared" si="35"/>
        <v>0.17820746861957973</v>
      </c>
      <c r="J145" s="18">
        <f t="shared" si="36"/>
        <v>0.18831201302782333</v>
      </c>
      <c r="K145" s="18">
        <f t="shared" si="37"/>
        <v>0.17677120021371823</v>
      </c>
      <c r="L145" s="18">
        <f t="shared" si="38"/>
        <v>0.18974828143368483</v>
      </c>
      <c r="M145" s="18">
        <f t="shared" si="39"/>
        <v>0.17552496677705492</v>
      </c>
      <c r="N145" s="18">
        <f t="shared" si="40"/>
        <v>0.19099451487034813</v>
      </c>
      <c r="O145" s="18">
        <f t="shared" si="41"/>
        <v>0.17307578830903625</v>
      </c>
      <c r="P145" s="18">
        <f t="shared" si="42"/>
        <v>0.19344369333836681</v>
      </c>
      <c r="Q145" s="18">
        <f t="shared" si="54"/>
        <v>0.4683343039139215</v>
      </c>
      <c r="R145" s="18">
        <f t="shared" si="32"/>
        <v>0.27631635630933921</v>
      </c>
      <c r="S145" s="18">
        <f t="shared" si="33"/>
        <v>4.4004930351343634E-3</v>
      </c>
      <c r="T145" s="18">
        <f t="shared" si="43"/>
        <v>0.17460601031175865</v>
      </c>
      <c r="U145" s="18">
        <f t="shared" si="44"/>
        <v>0.1919134713356444</v>
      </c>
      <c r="V145" s="40" t="str">
        <f t="shared" si="34"/>
        <v>Y</v>
      </c>
      <c r="W145" s="18">
        <v>2.1931000000000003</v>
      </c>
      <c r="X145" s="18">
        <f t="shared" si="31"/>
        <v>0.66501994267845621</v>
      </c>
      <c r="Y145" s="18">
        <v>0.66501994267845621</v>
      </c>
      <c r="Z145" s="18">
        <v>0.22745712522122905</v>
      </c>
      <c r="AA145" s="18">
        <f t="shared" si="45"/>
        <v>-1.4807935189180821</v>
      </c>
      <c r="AB145" s="18">
        <f t="shared" si="46"/>
        <v>-1.0936842793125257</v>
      </c>
      <c r="AC145" s="18">
        <f t="shared" si="47"/>
        <v>-568.95959340896434</v>
      </c>
    </row>
    <row r="146" spans="1:29" x14ac:dyDescent="0.25">
      <c r="A146" s="13" t="str">
        <f t="shared" si="48"/>
        <v/>
      </c>
      <c r="B146" s="30">
        <f>IF(B145=$C$9,$C$6,IF(OR(ISNA(B145),B145=$C$6),NA(),Main!A113))</f>
        <v>112</v>
      </c>
      <c r="C146" s="29">
        <f>IF(ISNA(B146),NA(),IF(B146=$C$6,$C$19,Main!C113))</f>
        <v>0.21689999999999987</v>
      </c>
      <c r="D146" s="19">
        <f t="shared" si="49"/>
        <v>0.30517711171662126</v>
      </c>
      <c r="E146" s="18">
        <f t="shared" si="50"/>
        <v>-0.17131367236731079</v>
      </c>
      <c r="F146" s="18">
        <f t="shared" si="51"/>
        <v>1.5700323257905084</v>
      </c>
      <c r="G146" s="18">
        <f t="shared" si="52"/>
        <v>0.18381614275768987</v>
      </c>
      <c r="H146" s="18">
        <f t="shared" si="53"/>
        <v>3.9374945588970612E-3</v>
      </c>
      <c r="I146" s="18">
        <f t="shared" si="35"/>
        <v>0.17875834912648131</v>
      </c>
      <c r="J146" s="18">
        <f t="shared" si="36"/>
        <v>0.18887393638889843</v>
      </c>
      <c r="K146" s="18">
        <f t="shared" si="37"/>
        <v>0.17732051108007796</v>
      </c>
      <c r="L146" s="18">
        <f t="shared" si="38"/>
        <v>0.19031177443530178</v>
      </c>
      <c r="M146" s="18">
        <f t="shared" si="39"/>
        <v>0.17607291568452257</v>
      </c>
      <c r="N146" s="18">
        <f t="shared" si="40"/>
        <v>0.19155936983085717</v>
      </c>
      <c r="O146" s="18">
        <f t="shared" si="41"/>
        <v>0.17362106060689395</v>
      </c>
      <c r="P146" s="18">
        <f t="shared" si="42"/>
        <v>0.1940112249084858</v>
      </c>
      <c r="Q146" s="18">
        <f t="shared" si="54"/>
        <v>0.4683343039139215</v>
      </c>
      <c r="R146" s="18">
        <f t="shared" si="32"/>
        <v>0.27631635630933921</v>
      </c>
      <c r="S146" s="18">
        <f t="shared" si="33"/>
        <v>4.4004930351343634E-3</v>
      </c>
      <c r="T146" s="18">
        <f t="shared" si="43"/>
        <v>0.175162412245747</v>
      </c>
      <c r="U146" s="18">
        <f t="shared" si="44"/>
        <v>0.19246987326963275</v>
      </c>
      <c r="V146" s="40" t="str">
        <f t="shared" si="34"/>
        <v>Y</v>
      </c>
      <c r="W146" s="18">
        <v>2.1931000000000003</v>
      </c>
      <c r="X146" s="18">
        <f t="shared" si="31"/>
        <v>0.66501994267845621</v>
      </c>
      <c r="Y146" s="18">
        <v>0.66501994267845621</v>
      </c>
      <c r="Z146" s="18">
        <v>0.22745712522122905</v>
      </c>
      <c r="AA146" s="18">
        <f t="shared" si="45"/>
        <v>-1.4807935189180821</v>
      </c>
      <c r="AB146" s="18">
        <f t="shared" si="46"/>
        <v>-1.0936842793125257</v>
      </c>
      <c r="AC146" s="18">
        <f t="shared" si="47"/>
        <v>-574.10854900542552</v>
      </c>
    </row>
    <row r="147" spans="1:29" x14ac:dyDescent="0.25">
      <c r="A147" s="13" t="str">
        <f t="shared" si="48"/>
        <v/>
      </c>
      <c r="B147" s="30">
        <f>IF(B146=$C$9,$C$6,IF(OR(ISNA(B146),B146=$C$6),NA(),Main!A114))</f>
        <v>113</v>
      </c>
      <c r="C147" s="29">
        <f>IF(ISNA(B147),NA(),IF(B147=$C$6,$C$19,Main!C114))</f>
        <v>0.21689999999999987</v>
      </c>
      <c r="D147" s="19">
        <f t="shared" si="49"/>
        <v>0.30790190735694822</v>
      </c>
      <c r="E147" s="18">
        <f t="shared" si="50"/>
        <v>-0.16379603858758313</v>
      </c>
      <c r="F147" s="18">
        <f t="shared" si="51"/>
        <v>1.5700323257905084</v>
      </c>
      <c r="G147" s="18">
        <f t="shared" si="52"/>
        <v>0.18437176303969768</v>
      </c>
      <c r="H147" s="18">
        <f t="shared" si="53"/>
        <v>3.9419124682280116E-3</v>
      </c>
      <c r="I147" s="18">
        <f t="shared" si="35"/>
        <v>0.17930829451209421</v>
      </c>
      <c r="J147" s="18">
        <f t="shared" si="36"/>
        <v>0.18943523156730116</v>
      </c>
      <c r="K147" s="18">
        <f t="shared" si="37"/>
        <v>0.17786884319663698</v>
      </c>
      <c r="L147" s="18">
        <f t="shared" si="38"/>
        <v>0.19087468288275838</v>
      </c>
      <c r="M147" s="18">
        <f t="shared" si="39"/>
        <v>0.17661984798623567</v>
      </c>
      <c r="N147" s="18">
        <f t="shared" si="40"/>
        <v>0.19212367809315969</v>
      </c>
      <c r="O147" s="18">
        <f t="shared" si="41"/>
        <v>0.17416524190203078</v>
      </c>
      <c r="P147" s="18">
        <f t="shared" si="42"/>
        <v>0.19457828417736459</v>
      </c>
      <c r="Q147" s="18">
        <f t="shared" si="54"/>
        <v>0.4683343039139215</v>
      </c>
      <c r="R147" s="18">
        <f t="shared" si="32"/>
        <v>0.27631635630933921</v>
      </c>
      <c r="S147" s="18">
        <f t="shared" si="33"/>
        <v>4.4004930351343634E-3</v>
      </c>
      <c r="T147" s="18">
        <f t="shared" si="43"/>
        <v>0.17571803252775481</v>
      </c>
      <c r="U147" s="18">
        <f t="shared" si="44"/>
        <v>0.19302549355164056</v>
      </c>
      <c r="V147" s="40" t="str">
        <f t="shared" si="34"/>
        <v>Y</v>
      </c>
      <c r="W147" s="18">
        <v>2.1931000000000003</v>
      </c>
      <c r="X147" s="18">
        <f t="shared" si="31"/>
        <v>0.66501994267845621</v>
      </c>
      <c r="Y147" s="18">
        <v>0.66501994267845621</v>
      </c>
      <c r="Z147" s="18">
        <v>0.22745712522122905</v>
      </c>
      <c r="AA147" s="18">
        <f t="shared" si="45"/>
        <v>-1.4807935189180821</v>
      </c>
      <c r="AB147" s="18">
        <f t="shared" si="46"/>
        <v>-1.0936842793125257</v>
      </c>
      <c r="AC147" s="18">
        <f t="shared" si="47"/>
        <v>-579.25750460188669</v>
      </c>
    </row>
    <row r="148" spans="1:29" x14ac:dyDescent="0.25">
      <c r="A148" s="13" t="str">
        <f t="shared" si="48"/>
        <v/>
      </c>
      <c r="B148" s="30">
        <f>IF(B147=$C$9,$C$6,IF(OR(ISNA(B147),B147=$C$6),NA(),Main!A115))</f>
        <v>114</v>
      </c>
      <c r="C148" s="29">
        <f>IF(ISNA(B148),NA(),IF(B148=$C$6,$C$19,Main!C115))</f>
        <v>0.21689999999999987</v>
      </c>
      <c r="D148" s="19">
        <f t="shared" si="49"/>
        <v>0.31062670299727518</v>
      </c>
      <c r="E148" s="18">
        <f t="shared" si="50"/>
        <v>-0.15628845001889427</v>
      </c>
      <c r="F148" s="18">
        <f t="shared" si="51"/>
        <v>1.5700323257905084</v>
      </c>
      <c r="G148" s="18">
        <f t="shared" si="52"/>
        <v>0.18492664089088831</v>
      </c>
      <c r="H148" s="18">
        <f t="shared" si="53"/>
        <v>3.9464492288696276E-3</v>
      </c>
      <c r="I148" s="18">
        <f t="shared" si="35"/>
        <v>0.17985734479991014</v>
      </c>
      <c r="J148" s="18">
        <f t="shared" si="36"/>
        <v>0.18999593698186648</v>
      </c>
      <c r="K148" s="18">
        <f t="shared" si="37"/>
        <v>0.17841623681497432</v>
      </c>
      <c r="L148" s="18">
        <f t="shared" si="38"/>
        <v>0.19143704496680231</v>
      </c>
      <c r="M148" s="18">
        <f t="shared" si="39"/>
        <v>0.1771658041316819</v>
      </c>
      <c r="N148" s="18">
        <f t="shared" si="40"/>
        <v>0.19268747765009472</v>
      </c>
      <c r="O148" s="18">
        <f t="shared" si="41"/>
        <v>0.17470837303287731</v>
      </c>
      <c r="P148" s="18">
        <f t="shared" si="42"/>
        <v>0.19514490874889931</v>
      </c>
      <c r="Q148" s="18">
        <f t="shared" si="54"/>
        <v>0.4683343039139215</v>
      </c>
      <c r="R148" s="18">
        <f t="shared" si="32"/>
        <v>0.27631635630933921</v>
      </c>
      <c r="S148" s="18">
        <f t="shared" si="33"/>
        <v>4.4004930351343634E-3</v>
      </c>
      <c r="T148" s="18">
        <f t="shared" si="43"/>
        <v>0.17627291037894544</v>
      </c>
      <c r="U148" s="18">
        <f t="shared" si="44"/>
        <v>0.19358037140283119</v>
      </c>
      <c r="V148" s="40" t="str">
        <f t="shared" si="34"/>
        <v>Y</v>
      </c>
      <c r="W148" s="18">
        <v>2.1931000000000003</v>
      </c>
      <c r="X148" s="18">
        <f t="shared" si="31"/>
        <v>0.66501994267845621</v>
      </c>
      <c r="Y148" s="18">
        <v>0.66501994267845621</v>
      </c>
      <c r="Z148" s="18">
        <v>0.22745712522122905</v>
      </c>
      <c r="AA148" s="18">
        <f t="shared" si="45"/>
        <v>-1.4807935189180821</v>
      </c>
      <c r="AB148" s="18">
        <f t="shared" si="46"/>
        <v>-1.0936842793125257</v>
      </c>
      <c r="AC148" s="18">
        <f t="shared" si="47"/>
        <v>-584.40646019834799</v>
      </c>
    </row>
    <row r="149" spans="1:29" x14ac:dyDescent="0.25">
      <c r="A149" s="13" t="str">
        <f t="shared" si="48"/>
        <v/>
      </c>
      <c r="B149" s="30">
        <f>IF(B148=$C$9,$C$6,IF(OR(ISNA(B148),B148=$C$6),NA(),Main!A116))</f>
        <v>115</v>
      </c>
      <c r="C149" s="29">
        <f>IF(ISNA(B149),NA(),IF(B149=$C$6,$C$19,Main!C116))</f>
        <v>0.21689999999999987</v>
      </c>
      <c r="D149" s="19">
        <f t="shared" si="49"/>
        <v>0.3133514986376022</v>
      </c>
      <c r="E149" s="18">
        <f t="shared" si="50"/>
        <v>-0.14879038452910917</v>
      </c>
      <c r="F149" s="18">
        <f t="shared" si="51"/>
        <v>1.5700323257905084</v>
      </c>
      <c r="G149" s="18">
        <f t="shared" si="52"/>
        <v>0.1854808149014901</v>
      </c>
      <c r="H149" s="18">
        <f t="shared" si="53"/>
        <v>3.9511042402649464E-3</v>
      </c>
      <c r="I149" s="18">
        <f t="shared" si="35"/>
        <v>0.18040553935158538</v>
      </c>
      <c r="J149" s="18">
        <f t="shared" si="36"/>
        <v>0.19055609045139482</v>
      </c>
      <c r="K149" s="18">
        <f t="shared" si="37"/>
        <v>0.178962731516049</v>
      </c>
      <c r="L149" s="18">
        <f t="shared" si="38"/>
        <v>0.1919988982869312</v>
      </c>
      <c r="M149" s="18">
        <f t="shared" si="39"/>
        <v>0.17771082389210685</v>
      </c>
      <c r="N149" s="18">
        <f t="shared" si="40"/>
        <v>0.19325080591087335</v>
      </c>
      <c r="O149" s="18">
        <f t="shared" si="41"/>
        <v>0.17525049414464247</v>
      </c>
      <c r="P149" s="18">
        <f t="shared" si="42"/>
        <v>0.19571113565833773</v>
      </c>
      <c r="Q149" s="18">
        <f t="shared" si="54"/>
        <v>0.4683343039139215</v>
      </c>
      <c r="R149" s="18">
        <f t="shared" si="32"/>
        <v>0.27631635630933921</v>
      </c>
      <c r="S149" s="18">
        <f t="shared" si="33"/>
        <v>4.4004930351343634E-3</v>
      </c>
      <c r="T149" s="18">
        <f t="shared" si="43"/>
        <v>0.17682708438954722</v>
      </c>
      <c r="U149" s="18">
        <f t="shared" si="44"/>
        <v>0.19413454541343297</v>
      </c>
      <c r="V149" s="40" t="str">
        <f t="shared" si="34"/>
        <v>Y</v>
      </c>
      <c r="W149" s="18">
        <v>2.1931000000000003</v>
      </c>
      <c r="X149" s="18">
        <f t="shared" si="31"/>
        <v>0.66501994267845621</v>
      </c>
      <c r="Y149" s="18">
        <v>0.66501994267845621</v>
      </c>
      <c r="Z149" s="18">
        <v>0.38154712339066921</v>
      </c>
      <c r="AA149" s="18">
        <f t="shared" si="45"/>
        <v>-0.96352091454717526</v>
      </c>
      <c r="AB149" s="18">
        <f t="shared" si="46"/>
        <v>-1.0936842793125257</v>
      </c>
      <c r="AC149" s="18">
        <f t="shared" si="47"/>
        <v>-471.09998939387151</v>
      </c>
    </row>
    <row r="150" spans="1:29" x14ac:dyDescent="0.25">
      <c r="A150" s="13" t="str">
        <f t="shared" si="48"/>
        <v/>
      </c>
      <c r="B150" s="30">
        <f>IF(B149=$C$9,$C$6,IF(OR(ISNA(B149),B149=$C$6),NA(),Main!A117))</f>
        <v>116</v>
      </c>
      <c r="C150" s="29">
        <f>IF(ISNA(B150),NA(),IF(B150=$C$6,$C$19,Main!C117))</f>
        <v>0.2410000000000001</v>
      </c>
      <c r="D150" s="19">
        <f t="shared" si="49"/>
        <v>0.31607629427792916</v>
      </c>
      <c r="E150" s="18">
        <f t="shared" si="50"/>
        <v>-0.14130132817193566</v>
      </c>
      <c r="F150" s="18">
        <f t="shared" si="51"/>
        <v>1.4550285511538661</v>
      </c>
      <c r="G150" s="18">
        <f t="shared" si="52"/>
        <v>0.18603432305672454</v>
      </c>
      <c r="H150" s="18">
        <f t="shared" si="53"/>
        <v>3.9558769253292348E-3</v>
      </c>
      <c r="I150" s="18">
        <f t="shared" si="35"/>
        <v>0.18095291689361873</v>
      </c>
      <c r="J150" s="18">
        <f t="shared" si="36"/>
        <v>0.19111572921983036</v>
      </c>
      <c r="K150" s="18">
        <f t="shared" si="37"/>
        <v>0.17950836623709143</v>
      </c>
      <c r="L150" s="18">
        <f t="shared" si="38"/>
        <v>0.19256027987635765</v>
      </c>
      <c r="M150" s="18">
        <f t="shared" si="39"/>
        <v>0.17825494638759021</v>
      </c>
      <c r="N150" s="18">
        <f t="shared" si="40"/>
        <v>0.19381369972585888</v>
      </c>
      <c r="O150" s="18">
        <f t="shared" si="41"/>
        <v>0.17579164471675329</v>
      </c>
      <c r="P150" s="18">
        <f t="shared" si="42"/>
        <v>0.19627700139669579</v>
      </c>
      <c r="Q150" s="18">
        <f t="shared" si="54"/>
        <v>0.57839414832563019</v>
      </c>
      <c r="R150" s="18">
        <f t="shared" si="32"/>
        <v>0.60239331922498907</v>
      </c>
      <c r="S150" s="18">
        <f t="shared" si="33"/>
        <v>4.9462980116468606E-3</v>
      </c>
      <c r="T150" s="18">
        <f t="shared" si="43"/>
        <v>0.17630724709437301</v>
      </c>
      <c r="U150" s="18">
        <f t="shared" si="44"/>
        <v>0.19576139901907608</v>
      </c>
      <c r="V150" s="40" t="str">
        <f t="shared" si="34"/>
        <v>Y</v>
      </c>
      <c r="W150" s="18">
        <v>2.169</v>
      </c>
      <c r="X150" s="18">
        <f t="shared" si="31"/>
        <v>0.53422263393596936</v>
      </c>
      <c r="Y150" s="18">
        <v>0.53422263393596936</v>
      </c>
      <c r="Z150" s="18">
        <v>0.38154712339066921</v>
      </c>
      <c r="AA150" s="18">
        <f t="shared" si="45"/>
        <v>-0.96352091454717526</v>
      </c>
      <c r="AB150" s="18">
        <f t="shared" si="46"/>
        <v>-0.76404751424528417</v>
      </c>
      <c r="AC150" s="18">
        <f t="shared" si="47"/>
        <v>-399.06830705105813</v>
      </c>
    </row>
    <row r="151" spans="1:29" x14ac:dyDescent="0.25">
      <c r="A151" s="13" t="str">
        <f t="shared" si="48"/>
        <v/>
      </c>
      <c r="B151" s="30">
        <f>IF(B150=$C$9,$C$6,IF(OR(ISNA(B150),B150=$C$6),NA(),Main!A118))</f>
        <v>117</v>
      </c>
      <c r="C151" s="29">
        <f>IF(ISNA(B151),NA(),IF(B151=$C$6,$C$19,Main!C118))</f>
        <v>0.2410000000000001</v>
      </c>
      <c r="D151" s="19">
        <f t="shared" si="49"/>
        <v>0.31880108991825612</v>
      </c>
      <c r="E151" s="18">
        <f t="shared" si="50"/>
        <v>-0.1338207748491598</v>
      </c>
      <c r="F151" s="18">
        <f t="shared" si="51"/>
        <v>1.4550285511538661</v>
      </c>
      <c r="G151" s="18">
        <f t="shared" si="52"/>
        <v>0.1865872027617699</v>
      </c>
      <c r="H151" s="18">
        <f t="shared" si="53"/>
        <v>3.9607667298952312E-3</v>
      </c>
      <c r="I151" s="18">
        <f t="shared" si="35"/>
        <v>0.18149951554302787</v>
      </c>
      <c r="J151" s="18">
        <f t="shared" si="36"/>
        <v>0.19167488998051194</v>
      </c>
      <c r="K151" s="18">
        <f t="shared" si="37"/>
        <v>0.18005317929748216</v>
      </c>
      <c r="L151" s="18">
        <f t="shared" si="38"/>
        <v>0.19312122622605765</v>
      </c>
      <c r="M151" s="18">
        <f t="shared" si="39"/>
        <v>0.17879821011310049</v>
      </c>
      <c r="N151" s="18">
        <f t="shared" si="40"/>
        <v>0.19437619541043932</v>
      </c>
      <c r="O151" s="18">
        <f t="shared" si="41"/>
        <v>0.17633186358925504</v>
      </c>
      <c r="P151" s="18">
        <f t="shared" si="42"/>
        <v>0.19684254193428477</v>
      </c>
      <c r="Q151" s="18">
        <f t="shared" si="54"/>
        <v>0.57839414832563019</v>
      </c>
      <c r="R151" s="18">
        <f t="shared" si="32"/>
        <v>0.60239331922498907</v>
      </c>
      <c r="S151" s="18">
        <f t="shared" si="33"/>
        <v>4.9462980116468606E-3</v>
      </c>
      <c r="T151" s="18">
        <f t="shared" si="43"/>
        <v>0.17686012679941837</v>
      </c>
      <c r="U151" s="18">
        <f t="shared" si="44"/>
        <v>0.19631427872412144</v>
      </c>
      <c r="V151" s="40" t="str">
        <f t="shared" si="34"/>
        <v>Y</v>
      </c>
      <c r="W151" s="18">
        <v>2.169</v>
      </c>
      <c r="X151" s="18">
        <f t="shared" si="31"/>
        <v>0.53422263393596936</v>
      </c>
      <c r="Y151" s="18">
        <v>0.53422263393596936</v>
      </c>
      <c r="Z151" s="18">
        <v>0.38154712339066921</v>
      </c>
      <c r="AA151" s="18">
        <f t="shared" si="45"/>
        <v>-0.96352091454717526</v>
      </c>
      <c r="AB151" s="18">
        <f t="shared" si="46"/>
        <v>-0.76404751424528417</v>
      </c>
      <c r="AC151" s="18">
        <f t="shared" si="47"/>
        <v>-402.52344390864306</v>
      </c>
    </row>
    <row r="152" spans="1:29" x14ac:dyDescent="0.25">
      <c r="A152" s="13" t="str">
        <f t="shared" si="48"/>
        <v/>
      </c>
      <c r="B152" s="30">
        <f>IF(B151=$C$9,$C$6,IF(OR(ISNA(B151),B151=$C$6),NA(),Main!A119))</f>
        <v>118</v>
      </c>
      <c r="C152" s="29">
        <f>IF(ISNA(B152),NA(),IF(B152=$C$6,$C$19,Main!C119))</f>
        <v>0.2410000000000001</v>
      </c>
      <c r="D152" s="19">
        <f t="shared" si="49"/>
        <v>0.32152588555858308</v>
      </c>
      <c r="E152" s="18">
        <f t="shared" si="50"/>
        <v>-0.12634822598525813</v>
      </c>
      <c r="F152" s="18">
        <f t="shared" si="51"/>
        <v>1.4550285511538661</v>
      </c>
      <c r="G152" s="18">
        <f t="shared" si="52"/>
        <v>0.18713949086581061</v>
      </c>
      <c r="H152" s="18">
        <f t="shared" si="53"/>
        <v>3.9657731221860752E-3</v>
      </c>
      <c r="I152" s="18">
        <f t="shared" si="35"/>
        <v>0.18204537283207564</v>
      </c>
      <c r="J152" s="18">
        <f t="shared" si="36"/>
        <v>0.19223360889954558</v>
      </c>
      <c r="K152" s="18">
        <f t="shared" si="37"/>
        <v>0.18059720842367069</v>
      </c>
      <c r="L152" s="18">
        <f t="shared" si="38"/>
        <v>0.19368177330795053</v>
      </c>
      <c r="M152" s="18">
        <f t="shared" si="39"/>
        <v>0.1793406529635807</v>
      </c>
      <c r="N152" s="18">
        <f t="shared" si="40"/>
        <v>0.19493832876804051</v>
      </c>
      <c r="O152" s="18">
        <f t="shared" si="41"/>
        <v>0.1768711889882251</v>
      </c>
      <c r="P152" s="18">
        <f t="shared" si="42"/>
        <v>0.19740779274339612</v>
      </c>
      <c r="Q152" s="18">
        <f t="shared" si="54"/>
        <v>0.57839414832563019</v>
      </c>
      <c r="R152" s="18">
        <f t="shared" si="32"/>
        <v>0.60239331922498907</v>
      </c>
      <c r="S152" s="18">
        <f t="shared" si="33"/>
        <v>4.9462980116468606E-3</v>
      </c>
      <c r="T152" s="18">
        <f t="shared" si="43"/>
        <v>0.17741241490345908</v>
      </c>
      <c r="U152" s="18">
        <f t="shared" si="44"/>
        <v>0.19686656682816214</v>
      </c>
      <c r="V152" s="40" t="str">
        <f t="shared" si="34"/>
        <v>Y</v>
      </c>
      <c r="W152" s="18">
        <v>2.169</v>
      </c>
      <c r="X152" s="18">
        <f t="shared" si="31"/>
        <v>0.53422263393596936</v>
      </c>
      <c r="Y152" s="18">
        <v>0.53422263393596936</v>
      </c>
      <c r="Z152" s="18">
        <v>0.38154712339066921</v>
      </c>
      <c r="AA152" s="18">
        <f t="shared" si="45"/>
        <v>-0.96352091454717526</v>
      </c>
      <c r="AB152" s="18">
        <f t="shared" si="46"/>
        <v>-0.76404751424528417</v>
      </c>
      <c r="AC152" s="18">
        <f t="shared" si="47"/>
        <v>-405.97858076622799</v>
      </c>
    </row>
    <row r="153" spans="1:29" x14ac:dyDescent="0.25">
      <c r="A153" s="13" t="str">
        <f t="shared" si="48"/>
        <v/>
      </c>
      <c r="B153" s="30">
        <f>IF(B152=$C$9,$C$6,IF(OR(ISNA(B152),B152=$C$6),NA(),Main!A120))</f>
        <v>119</v>
      </c>
      <c r="C153" s="29">
        <f>IF(ISNA(B153),NA(),IF(B153=$C$6,$C$19,Main!C120))</f>
        <v>0.2410000000000001</v>
      </c>
      <c r="D153" s="19">
        <f t="shared" si="49"/>
        <v>0.3242506811989101</v>
      </c>
      <c r="E153" s="18">
        <f t="shared" si="50"/>
        <v>-0.11888319021374012</v>
      </c>
      <c r="F153" s="18">
        <f t="shared" si="51"/>
        <v>1.4550285511538661</v>
      </c>
      <c r="G153" s="18">
        <f t="shared" si="52"/>
        <v>0.18769122368521904</v>
      </c>
      <c r="H153" s="18">
        <f t="shared" si="53"/>
        <v>3.9708955923146438E-3</v>
      </c>
      <c r="I153" s="18">
        <f t="shared" si="35"/>
        <v>0.18259052573209503</v>
      </c>
      <c r="J153" s="18">
        <f t="shared" si="36"/>
        <v>0.19279192163834305</v>
      </c>
      <c r="K153" s="18">
        <f t="shared" si="37"/>
        <v>0.18114049077318334</v>
      </c>
      <c r="L153" s="18">
        <f t="shared" si="38"/>
        <v>0.19424195659725474</v>
      </c>
      <c r="M153" s="18">
        <f t="shared" si="39"/>
        <v>0.17988231225811493</v>
      </c>
      <c r="N153" s="18">
        <f t="shared" si="40"/>
        <v>0.19550013511232314</v>
      </c>
      <c r="O153" s="18">
        <f t="shared" si="41"/>
        <v>0.17740965855025129</v>
      </c>
      <c r="P153" s="18">
        <f t="shared" si="42"/>
        <v>0.19797278882018679</v>
      </c>
      <c r="Q153" s="18">
        <f t="shared" si="54"/>
        <v>0.57839414832563019</v>
      </c>
      <c r="R153" s="18">
        <f t="shared" si="32"/>
        <v>0.60239331922498907</v>
      </c>
      <c r="S153" s="18">
        <f t="shared" si="33"/>
        <v>4.9462980116468606E-3</v>
      </c>
      <c r="T153" s="18">
        <f t="shared" si="43"/>
        <v>0.17796414772286751</v>
      </c>
      <c r="U153" s="18">
        <f t="shared" si="44"/>
        <v>0.19741829964757057</v>
      </c>
      <c r="V153" s="40" t="str">
        <f t="shared" si="34"/>
        <v>Y</v>
      </c>
      <c r="W153" s="18">
        <v>2.169</v>
      </c>
      <c r="X153" s="18">
        <f t="shared" si="31"/>
        <v>0.53422263393596936</v>
      </c>
      <c r="Y153" s="18">
        <v>0.53422263393596936</v>
      </c>
      <c r="Z153" s="18">
        <v>0.38154712339066921</v>
      </c>
      <c r="AA153" s="18">
        <f t="shared" si="45"/>
        <v>-0.96352091454717526</v>
      </c>
      <c r="AB153" s="18">
        <f t="shared" si="46"/>
        <v>-0.76404751424528417</v>
      </c>
      <c r="AC153" s="18">
        <f t="shared" si="47"/>
        <v>-409.43371762381292</v>
      </c>
    </row>
    <row r="154" spans="1:29" x14ac:dyDescent="0.25">
      <c r="A154" s="13" t="str">
        <f t="shared" si="48"/>
        <v/>
      </c>
      <c r="B154" s="30">
        <f>IF(B153=$C$9,$C$6,IF(OR(ISNA(B153),B153=$C$6),NA(),Main!A121))</f>
        <v>120</v>
      </c>
      <c r="C154" s="29">
        <f>IF(ISNA(B154),NA(),IF(B154=$C$6,$C$19,Main!C121))</f>
        <v>0.2410000000000001</v>
      </c>
      <c r="D154" s="19">
        <f t="shared" si="49"/>
        <v>0.32697547683923706</v>
      </c>
      <c r="E154" s="18">
        <f t="shared" si="50"/>
        <v>-0.11142518307462132</v>
      </c>
      <c r="F154" s="18">
        <f t="shared" si="51"/>
        <v>1.4550285511538661</v>
      </c>
      <c r="G154" s="18">
        <f t="shared" si="52"/>
        <v>0.18824243702591509</v>
      </c>
      <c r="H154" s="18">
        <f t="shared" si="53"/>
        <v>3.9761336518080908E-3</v>
      </c>
      <c r="I154" s="18">
        <f t="shared" si="35"/>
        <v>0.18313501067645946</v>
      </c>
      <c r="J154" s="18">
        <f t="shared" si="36"/>
        <v>0.19334986337537072</v>
      </c>
      <c r="K154" s="18">
        <f t="shared" si="37"/>
        <v>0.18168306295776707</v>
      </c>
      <c r="L154" s="18">
        <f t="shared" si="38"/>
        <v>0.19480181109406311</v>
      </c>
      <c r="M154" s="18">
        <f t="shared" si="39"/>
        <v>0.18042322476322281</v>
      </c>
      <c r="N154" s="18">
        <f t="shared" si="40"/>
        <v>0.19606164928860736</v>
      </c>
      <c r="O154" s="18">
        <f t="shared" si="41"/>
        <v>0.17794730934602249</v>
      </c>
      <c r="P154" s="18">
        <f t="shared" si="42"/>
        <v>0.19853756470580769</v>
      </c>
      <c r="Q154" s="18">
        <f t="shared" si="54"/>
        <v>0.57839414832563019</v>
      </c>
      <c r="R154" s="18">
        <f t="shared" si="32"/>
        <v>0.60239331922498907</v>
      </c>
      <c r="S154" s="18">
        <f t="shared" si="33"/>
        <v>4.9462980116468606E-3</v>
      </c>
      <c r="T154" s="18">
        <f t="shared" si="43"/>
        <v>0.17851536106356355</v>
      </c>
      <c r="U154" s="18">
        <f t="shared" si="44"/>
        <v>0.19796951298826662</v>
      </c>
      <c r="V154" s="40" t="str">
        <f t="shared" si="34"/>
        <v>Y</v>
      </c>
      <c r="W154" s="18">
        <v>2.169</v>
      </c>
      <c r="X154" s="18">
        <f t="shared" si="31"/>
        <v>0.53422263393596936</v>
      </c>
      <c r="Y154" s="18">
        <v>0.53422263393596936</v>
      </c>
      <c r="Z154" s="18">
        <v>0.38154712339066921</v>
      </c>
      <c r="AA154" s="18">
        <f t="shared" si="45"/>
        <v>-0.96352091454717526</v>
      </c>
      <c r="AB154" s="18">
        <f t="shared" si="46"/>
        <v>-0.76404751424528417</v>
      </c>
      <c r="AC154" s="18">
        <f t="shared" si="47"/>
        <v>-412.8888544813978</v>
      </c>
    </row>
    <row r="155" spans="1:29" x14ac:dyDescent="0.25">
      <c r="A155" s="13" t="str">
        <f t="shared" si="48"/>
        <v/>
      </c>
      <c r="B155" s="30">
        <f>IF(B154=$C$9,$C$6,IF(OR(ISNA(B154),B154=$C$6),NA(),Main!A122))</f>
        <v>121</v>
      </c>
      <c r="C155" s="29">
        <f>IF(ISNA(B155),NA(),IF(B155=$C$6,$C$19,Main!C122))</f>
        <v>0.2410000000000001</v>
      </c>
      <c r="D155" s="19">
        <f t="shared" si="49"/>
        <v>0.32970027247956402</v>
      </c>
      <c r="E155" s="18">
        <f t="shared" si="50"/>
        <v>-0.10397372672245125</v>
      </c>
      <c r="F155" s="18">
        <f t="shared" si="51"/>
        <v>1.4550285511538661</v>
      </c>
      <c r="G155" s="18">
        <f t="shared" si="52"/>
        <v>0.18879316620494563</v>
      </c>
      <c r="H155" s="18">
        <f t="shared" si="53"/>
        <v>3.9814868331564642E-3</v>
      </c>
      <c r="I155" s="18">
        <f t="shared" si="35"/>
        <v>0.18367886358274207</v>
      </c>
      <c r="J155" s="18">
        <f t="shared" si="36"/>
        <v>0.19390746882714918</v>
      </c>
      <c r="K155" s="18">
        <f t="shared" si="37"/>
        <v>0.18222496106571359</v>
      </c>
      <c r="L155" s="18">
        <f t="shared" si="38"/>
        <v>0.19536137134417766</v>
      </c>
      <c r="M155" s="18">
        <f t="shared" si="39"/>
        <v>0.18096342671532664</v>
      </c>
      <c r="N155" s="18">
        <f t="shared" si="40"/>
        <v>0.19662290569456461</v>
      </c>
      <c r="O155" s="18">
        <f t="shared" si="41"/>
        <v>0.17848417790307669</v>
      </c>
      <c r="P155" s="18">
        <f t="shared" si="42"/>
        <v>0.19910215450681457</v>
      </c>
      <c r="Q155" s="18">
        <f t="shared" si="54"/>
        <v>0.57839414832563019</v>
      </c>
      <c r="R155" s="18">
        <f t="shared" si="32"/>
        <v>0.60239331922498907</v>
      </c>
      <c r="S155" s="18">
        <f t="shared" si="33"/>
        <v>4.9462980116468606E-3</v>
      </c>
      <c r="T155" s="18">
        <f t="shared" si="43"/>
        <v>0.17906609024259409</v>
      </c>
      <c r="U155" s="18">
        <f t="shared" si="44"/>
        <v>0.19852024216729716</v>
      </c>
      <c r="V155" s="40" t="str">
        <f t="shared" si="34"/>
        <v>Y</v>
      </c>
      <c r="W155" s="18">
        <v>2.169</v>
      </c>
      <c r="X155" s="18">
        <f t="shared" si="31"/>
        <v>0.53422263393596936</v>
      </c>
      <c r="Y155" s="18">
        <v>0.53422263393596936</v>
      </c>
      <c r="Z155" s="18">
        <v>0.38154712339066921</v>
      </c>
      <c r="AA155" s="18">
        <f t="shared" si="45"/>
        <v>-0.96352091454717526</v>
      </c>
      <c r="AB155" s="18">
        <f t="shared" si="46"/>
        <v>-0.76404751424528417</v>
      </c>
      <c r="AC155" s="18">
        <f t="shared" si="47"/>
        <v>-416.34399133898273</v>
      </c>
    </row>
    <row r="156" spans="1:29" x14ac:dyDescent="0.25">
      <c r="A156" s="13" t="str">
        <f t="shared" si="48"/>
        <v/>
      </c>
      <c r="B156" s="30">
        <f>IF(B155=$C$9,$C$6,IF(OR(ISNA(B155),B155=$C$6),NA(),Main!A123))</f>
        <v>122</v>
      </c>
      <c r="C156" s="29">
        <f>IF(ISNA(B156),NA(),IF(B156=$C$6,$C$19,Main!C123))</f>
        <v>0.2410000000000001</v>
      </c>
      <c r="D156" s="19">
        <f t="shared" si="49"/>
        <v>0.33242506811989103</v>
      </c>
      <c r="E156" s="18">
        <f t="shared" si="50"/>
        <v>-9.6528349644357289E-2</v>
      </c>
      <c r="F156" s="18">
        <f t="shared" si="51"/>
        <v>1.4550285511538661</v>
      </c>
      <c r="G156" s="18">
        <f t="shared" si="52"/>
        <v>0.18934344607132331</v>
      </c>
      <c r="H156" s="18">
        <f t="shared" si="53"/>
        <v>3.9869546893843144E-3</v>
      </c>
      <c r="I156" s="18">
        <f t="shared" si="35"/>
        <v>0.18422211987410475</v>
      </c>
      <c r="J156" s="18">
        <f t="shared" si="36"/>
        <v>0.19446477226854186</v>
      </c>
      <c r="K156" s="18">
        <f t="shared" si="37"/>
        <v>0.18276622068340495</v>
      </c>
      <c r="L156" s="18">
        <f t="shared" si="38"/>
        <v>0.19592067145924166</v>
      </c>
      <c r="M156" s="18">
        <f t="shared" si="39"/>
        <v>0.18150295384243259</v>
      </c>
      <c r="N156" s="18">
        <f t="shared" si="40"/>
        <v>0.19718393830021402</v>
      </c>
      <c r="O156" s="18">
        <f t="shared" si="41"/>
        <v>0.17902030022774912</v>
      </c>
      <c r="P156" s="18">
        <f t="shared" si="42"/>
        <v>0.1996665919148975</v>
      </c>
      <c r="Q156" s="18">
        <f t="shared" si="54"/>
        <v>0.57839414832563019</v>
      </c>
      <c r="R156" s="18">
        <f t="shared" si="32"/>
        <v>0.60239331922498907</v>
      </c>
      <c r="S156" s="18">
        <f t="shared" si="33"/>
        <v>4.9462980116468606E-3</v>
      </c>
      <c r="T156" s="18">
        <f t="shared" si="43"/>
        <v>0.17961637010897177</v>
      </c>
      <c r="U156" s="18">
        <f t="shared" si="44"/>
        <v>0.19907052203367484</v>
      </c>
      <c r="V156" s="40" t="str">
        <f t="shared" si="34"/>
        <v>Y</v>
      </c>
      <c r="W156" s="18">
        <v>2.169</v>
      </c>
      <c r="X156" s="18">
        <f t="shared" si="31"/>
        <v>0.53422263393596936</v>
      </c>
      <c r="Y156" s="18">
        <v>0.53422263393596936</v>
      </c>
      <c r="Z156" s="18">
        <v>0.38154712339066921</v>
      </c>
      <c r="AA156" s="18">
        <f t="shared" si="45"/>
        <v>-0.96352091454717526</v>
      </c>
      <c r="AB156" s="18">
        <f t="shared" si="46"/>
        <v>-0.76404751424528417</v>
      </c>
      <c r="AC156" s="18">
        <f t="shared" si="47"/>
        <v>-419.79912819656766</v>
      </c>
    </row>
    <row r="157" spans="1:29" x14ac:dyDescent="0.25">
      <c r="A157" s="13" t="str">
        <f t="shared" si="48"/>
        <v/>
      </c>
      <c r="B157" s="30">
        <f>IF(B156=$C$9,$C$6,IF(OR(ISNA(B156),B156=$C$6),NA(),Main!A124))</f>
        <v>123</v>
      </c>
      <c r="C157" s="29">
        <f>IF(ISNA(B157),NA(),IF(B157=$C$6,$C$19,Main!C124))</f>
        <v>0.2410000000000001</v>
      </c>
      <c r="D157" s="19">
        <f t="shared" si="49"/>
        <v>0.33514986376021799</v>
      </c>
      <c r="E157" s="18">
        <f t="shared" si="50"/>
        <v>-8.9088586387595384E-2</v>
      </c>
      <c r="F157" s="18">
        <f t="shared" si="51"/>
        <v>1.4550285511538661</v>
      </c>
      <c r="G157" s="18">
        <f t="shared" si="52"/>
        <v>0.18989331102616328</v>
      </c>
      <c r="H157" s="18">
        <f t="shared" si="53"/>
        <v>3.9925367936443088E-3</v>
      </c>
      <c r="I157" s="18">
        <f t="shared" si="35"/>
        <v>0.18476481449995691</v>
      </c>
      <c r="J157" s="18">
        <f t="shared" si="36"/>
        <v>0.19502180755236964</v>
      </c>
      <c r="K157" s="18">
        <f t="shared" si="37"/>
        <v>0.1833068769161206</v>
      </c>
      <c r="L157" s="18">
        <f t="shared" si="38"/>
        <v>0.19647974513620595</v>
      </c>
      <c r="M157" s="18">
        <f t="shared" si="39"/>
        <v>0.18204184138506671</v>
      </c>
      <c r="N157" s="18">
        <f t="shared" si="40"/>
        <v>0.19774478066725984</v>
      </c>
      <c r="O157" s="18">
        <f t="shared" si="41"/>
        <v>0.17955571182636126</v>
      </c>
      <c r="P157" s="18">
        <f t="shared" si="42"/>
        <v>0.20023091022596529</v>
      </c>
      <c r="Q157" s="18">
        <f t="shared" si="54"/>
        <v>0.57839414832563019</v>
      </c>
      <c r="R157" s="18">
        <f t="shared" si="32"/>
        <v>0.60239331922498907</v>
      </c>
      <c r="S157" s="18">
        <f t="shared" si="33"/>
        <v>4.9462980116468606E-3</v>
      </c>
      <c r="T157" s="18">
        <f t="shared" si="43"/>
        <v>0.18016623506381174</v>
      </c>
      <c r="U157" s="18">
        <f t="shared" si="44"/>
        <v>0.19962038698851481</v>
      </c>
      <c r="V157" s="40" t="str">
        <f t="shared" si="34"/>
        <v>Y</v>
      </c>
      <c r="W157" s="18">
        <v>2.169</v>
      </c>
      <c r="X157" s="18">
        <f t="shared" si="31"/>
        <v>0.53422263393596936</v>
      </c>
      <c r="Y157" s="18">
        <v>0.53422263393596936</v>
      </c>
      <c r="Z157" s="18">
        <v>0.38154712339066921</v>
      </c>
      <c r="AA157" s="18">
        <f t="shared" si="45"/>
        <v>-0.96352091454717526</v>
      </c>
      <c r="AB157" s="18">
        <f t="shared" si="46"/>
        <v>-0.76404751424528417</v>
      </c>
      <c r="AC157" s="18">
        <f t="shared" si="47"/>
        <v>-423.2542650541526</v>
      </c>
    </row>
    <row r="158" spans="1:29" x14ac:dyDescent="0.25">
      <c r="A158" s="13" t="str">
        <f t="shared" si="48"/>
        <v/>
      </c>
      <c r="B158" s="30">
        <f>IF(B157=$C$9,$C$6,IF(OR(ISNA(B157),B157=$C$6),NA(),Main!A125))</f>
        <v>124</v>
      </c>
      <c r="C158" s="29">
        <f>IF(ISNA(B158),NA(),IF(B158=$C$6,$C$19,Main!C125))</f>
        <v>0.2410000000000001</v>
      </c>
      <c r="D158" s="19">
        <f t="shared" si="49"/>
        <v>0.33787465940054495</v>
      </c>
      <c r="E158" s="18">
        <f t="shared" si="50"/>
        <v>-8.1653977296117411E-2</v>
      </c>
      <c r="F158" s="18">
        <f t="shared" si="51"/>
        <v>1.4550285511538661</v>
      </c>
      <c r="G158" s="18">
        <f t="shared" si="52"/>
        <v>0.19044279504215297</v>
      </c>
      <c r="H158" s="18">
        <f t="shared" si="53"/>
        <v>3.9982327388318976E-3</v>
      </c>
      <c r="I158" s="18">
        <f t="shared" si="35"/>
        <v>0.1853069819559203</v>
      </c>
      <c r="J158" s="18">
        <f t="shared" si="36"/>
        <v>0.19557860812838565</v>
      </c>
      <c r="K158" s="18">
        <f t="shared" si="37"/>
        <v>0.18384696440814283</v>
      </c>
      <c r="L158" s="18">
        <f t="shared" si="38"/>
        <v>0.19703862567616312</v>
      </c>
      <c r="M158" s="18">
        <f t="shared" si="39"/>
        <v>0.18258012411650246</v>
      </c>
      <c r="N158" s="18">
        <f t="shared" si="40"/>
        <v>0.19830546596780349</v>
      </c>
      <c r="O158" s="18">
        <f t="shared" si="41"/>
        <v>0.18009044772568811</v>
      </c>
      <c r="P158" s="18">
        <f t="shared" si="42"/>
        <v>0.20079514235861784</v>
      </c>
      <c r="Q158" s="18">
        <f t="shared" si="54"/>
        <v>0.57839414832563019</v>
      </c>
      <c r="R158" s="18">
        <f t="shared" si="32"/>
        <v>0.60239331922498907</v>
      </c>
      <c r="S158" s="18">
        <f t="shared" si="33"/>
        <v>4.9462980116468606E-3</v>
      </c>
      <c r="T158" s="18">
        <f t="shared" si="43"/>
        <v>0.18071571907980144</v>
      </c>
      <c r="U158" s="18">
        <f t="shared" si="44"/>
        <v>0.20016987100450451</v>
      </c>
      <c r="V158" s="40" t="str">
        <f t="shared" si="34"/>
        <v>Y</v>
      </c>
      <c r="W158" s="18">
        <v>2.169</v>
      </c>
      <c r="X158" s="18">
        <f t="shared" si="31"/>
        <v>0.53422263393596936</v>
      </c>
      <c r="Y158" s="18">
        <v>0.53422263393596936</v>
      </c>
      <c r="Z158" s="18">
        <v>0.38154712339066921</v>
      </c>
      <c r="AA158" s="18">
        <f t="shared" si="45"/>
        <v>-0.96352091454717526</v>
      </c>
      <c r="AB158" s="18">
        <f t="shared" si="46"/>
        <v>-0.76404751424528417</v>
      </c>
      <c r="AC158" s="18">
        <f t="shared" si="47"/>
        <v>-426.70940191173753</v>
      </c>
    </row>
    <row r="159" spans="1:29" x14ac:dyDescent="0.25">
      <c r="A159" s="13" t="str">
        <f t="shared" si="48"/>
        <v/>
      </c>
      <c r="B159" s="30">
        <f>IF(B158=$C$9,$C$6,IF(OR(ISNA(B158),B158=$C$6),NA(),Main!A126))</f>
        <v>125</v>
      </c>
      <c r="C159" s="29">
        <f>IF(ISNA(B159),NA(),IF(B159=$C$6,$C$19,Main!C126))</f>
        <v>0.2410000000000001</v>
      </c>
      <c r="D159" s="19">
        <f t="shared" si="49"/>
        <v>0.34059945504087191</v>
      </c>
      <c r="E159" s="18">
        <f t="shared" si="50"/>
        <v>-7.4224068255701395E-2</v>
      </c>
      <c r="F159" s="18">
        <f t="shared" si="51"/>
        <v>1.4550285511538661</v>
      </c>
      <c r="G159" s="18">
        <f t="shared" si="52"/>
        <v>0.19099193168238951</v>
      </c>
      <c r="H159" s="18">
        <f t="shared" si="53"/>
        <v>4.0040421372201417E-3</v>
      </c>
      <c r="I159" s="18">
        <f t="shared" si="35"/>
        <v>0.18584865630313527</v>
      </c>
      <c r="J159" s="18">
        <f t="shared" si="36"/>
        <v>0.19613520706164375</v>
      </c>
      <c r="K159" s="18">
        <f t="shared" si="37"/>
        <v>0.18438651736219666</v>
      </c>
      <c r="L159" s="18">
        <f t="shared" si="38"/>
        <v>0.19759734600258236</v>
      </c>
      <c r="M159" s="18">
        <f t="shared" si="39"/>
        <v>0.18311783636231616</v>
      </c>
      <c r="N159" s="18">
        <f t="shared" si="40"/>
        <v>0.19886602700246286</v>
      </c>
      <c r="O159" s="18">
        <f t="shared" si="41"/>
        <v>0.18062454249274135</v>
      </c>
      <c r="P159" s="18">
        <f t="shared" si="42"/>
        <v>0.20135932087203767</v>
      </c>
      <c r="Q159" s="18">
        <f t="shared" si="54"/>
        <v>0.57839414832563019</v>
      </c>
      <c r="R159" s="18">
        <f t="shared" si="32"/>
        <v>0.60239331922498907</v>
      </c>
      <c r="S159" s="18">
        <f t="shared" si="33"/>
        <v>4.9462980116468606E-3</v>
      </c>
      <c r="T159" s="18">
        <f t="shared" si="43"/>
        <v>0.18126485572003798</v>
      </c>
      <c r="U159" s="18">
        <f t="shared" si="44"/>
        <v>0.20071900764474104</v>
      </c>
      <c r="V159" s="40" t="str">
        <f t="shared" si="34"/>
        <v>Y</v>
      </c>
      <c r="W159" s="18">
        <v>2.169</v>
      </c>
      <c r="X159" s="18">
        <f t="shared" si="31"/>
        <v>0.53422263393596936</v>
      </c>
      <c r="Y159" s="18">
        <v>0.53422263393596936</v>
      </c>
      <c r="Z159" s="18">
        <v>0.38154712339066921</v>
      </c>
      <c r="AA159" s="18">
        <f t="shared" si="45"/>
        <v>-0.96352091454717526</v>
      </c>
      <c r="AB159" s="18">
        <f t="shared" si="46"/>
        <v>-0.76404751424528417</v>
      </c>
      <c r="AC159" s="18">
        <f t="shared" si="47"/>
        <v>-430.16453876932241</v>
      </c>
    </row>
    <row r="160" spans="1:29" x14ac:dyDescent="0.25">
      <c r="A160" s="13" t="str">
        <f t="shared" si="48"/>
        <v/>
      </c>
      <c r="B160" s="30">
        <f>IF(B159=$C$9,$C$6,IF(OR(ISNA(B159),B159=$C$6),NA(),Main!A127))</f>
        <v>126</v>
      </c>
      <c r="C160" s="29">
        <f>IF(ISNA(B160),NA(),IF(B160=$C$6,$C$19,Main!C127))</f>
        <v>0.2410000000000001</v>
      </c>
      <c r="D160" s="19">
        <f t="shared" si="49"/>
        <v>0.34332425068119893</v>
      </c>
      <c r="E160" s="18">
        <f t="shared" si="50"/>
        <v>-6.6798410447206982E-2</v>
      </c>
      <c r="F160" s="18">
        <f t="shared" si="51"/>
        <v>1.4550285511538661</v>
      </c>
      <c r="G160" s="18">
        <f t="shared" si="52"/>
        <v>0.19154075411861604</v>
      </c>
      <c r="H160" s="18">
        <f t="shared" si="53"/>
        <v>4.0099646201138608E-3</v>
      </c>
      <c r="I160" s="18">
        <f t="shared" si="35"/>
        <v>0.18638987118694167</v>
      </c>
      <c r="J160" s="18">
        <f t="shared" si="36"/>
        <v>0.19669163705029041</v>
      </c>
      <c r="K160" s="18">
        <f t="shared" si="37"/>
        <v>0.18492556955825673</v>
      </c>
      <c r="L160" s="18">
        <f t="shared" si="38"/>
        <v>0.19815593867897535</v>
      </c>
      <c r="M160" s="18">
        <f t="shared" si="39"/>
        <v>0.18365501201930348</v>
      </c>
      <c r="N160" s="18">
        <f t="shared" si="40"/>
        <v>0.1994264962179286</v>
      </c>
      <c r="O160" s="18">
        <f t="shared" si="41"/>
        <v>0.18115803025390104</v>
      </c>
      <c r="P160" s="18">
        <f t="shared" si="42"/>
        <v>0.20192347798333105</v>
      </c>
      <c r="Q160" s="18">
        <f t="shared" si="54"/>
        <v>0.57839414832563019</v>
      </c>
      <c r="R160" s="18">
        <f t="shared" si="32"/>
        <v>0.60239331922498907</v>
      </c>
      <c r="S160" s="18">
        <f t="shared" si="33"/>
        <v>4.9462980116468606E-3</v>
      </c>
      <c r="T160" s="18">
        <f t="shared" si="43"/>
        <v>0.18181367815626451</v>
      </c>
      <c r="U160" s="18">
        <f t="shared" si="44"/>
        <v>0.20126783008096757</v>
      </c>
      <c r="V160" s="40" t="str">
        <f t="shared" si="34"/>
        <v>Y</v>
      </c>
      <c r="W160" s="18">
        <v>2.169</v>
      </c>
      <c r="X160" s="18">
        <f t="shared" si="31"/>
        <v>0.53422263393596936</v>
      </c>
      <c r="Y160" s="18">
        <v>0.53422263393596936</v>
      </c>
      <c r="Z160" s="18">
        <v>0.38154712339066921</v>
      </c>
      <c r="AA160" s="18">
        <f t="shared" si="45"/>
        <v>-0.96352091454717526</v>
      </c>
      <c r="AB160" s="18">
        <f t="shared" si="46"/>
        <v>-0.76404751424528417</v>
      </c>
      <c r="AC160" s="18">
        <f t="shared" si="47"/>
        <v>-433.61967562690734</v>
      </c>
    </row>
    <row r="161" spans="1:29" x14ac:dyDescent="0.25">
      <c r="A161" s="13" t="str">
        <f t="shared" si="48"/>
        <v/>
      </c>
      <c r="B161" s="30">
        <f>IF(B160=$C$9,$C$6,IF(OR(ISNA(B160),B160=$C$6),NA(),Main!A128))</f>
        <v>127</v>
      </c>
      <c r="C161" s="29">
        <f>IF(ISNA(B161),NA(),IF(B161=$C$6,$C$19,Main!C128))</f>
        <v>0.2410000000000001</v>
      </c>
      <c r="D161" s="19">
        <f t="shared" si="49"/>
        <v>0.34604904632152589</v>
      </c>
      <c r="E161" s="18">
        <f t="shared" si="50"/>
        <v>-5.9376560107543601E-2</v>
      </c>
      <c r="F161" s="18">
        <f t="shared" si="51"/>
        <v>1.4550285511538661</v>
      </c>
      <c r="G161" s="18">
        <f t="shared" si="52"/>
        <v>0.19208929514888856</v>
      </c>
      <c r="H161" s="18">
        <f t="shared" si="53"/>
        <v>4.0159998375223181E-3</v>
      </c>
      <c r="I161" s="18">
        <f t="shared" si="35"/>
        <v>0.18693065985496585</v>
      </c>
      <c r="J161" s="18">
        <f t="shared" si="36"/>
        <v>0.19724793044281128</v>
      </c>
      <c r="K161" s="18">
        <f t="shared" si="37"/>
        <v>0.18546415437175404</v>
      </c>
      <c r="L161" s="18">
        <f t="shared" si="38"/>
        <v>0.19871443592602309</v>
      </c>
      <c r="M161" s="18">
        <f t="shared" si="39"/>
        <v>0.18419168457379004</v>
      </c>
      <c r="N161" s="18">
        <f t="shared" si="40"/>
        <v>0.19998690572398709</v>
      </c>
      <c r="O161" s="18">
        <f t="shared" si="41"/>
        <v>0.18169094471342997</v>
      </c>
      <c r="P161" s="18">
        <f t="shared" si="42"/>
        <v>0.20248764558434715</v>
      </c>
      <c r="Q161" s="18">
        <f t="shared" si="54"/>
        <v>0.57839414832563019</v>
      </c>
      <c r="R161" s="18">
        <f t="shared" si="32"/>
        <v>0.60239331922498907</v>
      </c>
      <c r="S161" s="18">
        <f t="shared" si="33"/>
        <v>4.9462980116468606E-3</v>
      </c>
      <c r="T161" s="18">
        <f t="shared" si="43"/>
        <v>0.18236221918653703</v>
      </c>
      <c r="U161" s="18">
        <f t="shared" si="44"/>
        <v>0.20181637111124009</v>
      </c>
      <c r="V161" s="40" t="str">
        <f t="shared" si="34"/>
        <v>Y</v>
      </c>
      <c r="W161" s="18">
        <v>2.169</v>
      </c>
      <c r="X161" s="18">
        <f t="shared" si="31"/>
        <v>0.53422263393596936</v>
      </c>
      <c r="Y161" s="18">
        <v>0.53422263393596936</v>
      </c>
      <c r="Z161" s="18">
        <v>0.38154712339066921</v>
      </c>
      <c r="AA161" s="18">
        <f t="shared" si="45"/>
        <v>-0.96352091454717526</v>
      </c>
      <c r="AB161" s="18">
        <f t="shared" si="46"/>
        <v>-0.76404751424528417</v>
      </c>
      <c r="AC161" s="18">
        <f t="shared" si="47"/>
        <v>-437.07481248449227</v>
      </c>
    </row>
    <row r="162" spans="1:29" x14ac:dyDescent="0.25">
      <c r="A162" s="13" t="str">
        <f t="shared" si="48"/>
        <v/>
      </c>
      <c r="B162" s="30">
        <f>IF(B161=$C$9,$C$6,IF(OR(ISNA(B161),B161=$C$6),NA(),Main!A129))</f>
        <v>128</v>
      </c>
      <c r="C162" s="29">
        <f>IF(ISNA(B162),NA(),IF(B162=$C$6,$C$19,Main!C129))</f>
        <v>0.2410000000000001</v>
      </c>
      <c r="D162" s="19">
        <f t="shared" si="49"/>
        <v>0.34877384196185285</v>
      </c>
      <c r="E162" s="18">
        <f t="shared" si="50"/>
        <v>-5.1958078297958558E-2</v>
      </c>
      <c r="F162" s="18">
        <f t="shared" si="51"/>
        <v>1.4550285511538661</v>
      </c>
      <c r="G162" s="18">
        <f t="shared" si="52"/>
        <v>0.19263758721470142</v>
      </c>
      <c r="H162" s="18">
        <f t="shared" si="53"/>
        <v>4.0221474578496924E-3</v>
      </c>
      <c r="I162" s="18">
        <f t="shared" si="35"/>
        <v>0.18747105517464388</v>
      </c>
      <c r="J162" s="18">
        <f t="shared" si="36"/>
        <v>0.19780411925475896</v>
      </c>
      <c r="K162" s="18">
        <f t="shared" si="37"/>
        <v>0.18600230479121208</v>
      </c>
      <c r="L162" s="18">
        <f t="shared" si="38"/>
        <v>0.19927286963819077</v>
      </c>
      <c r="M162" s="18">
        <f t="shared" si="39"/>
        <v>0.1847278871193655</v>
      </c>
      <c r="N162" s="18">
        <f t="shared" si="40"/>
        <v>0.20054728731003735</v>
      </c>
      <c r="O162" s="18">
        <f t="shared" si="41"/>
        <v>0.18222331917140058</v>
      </c>
      <c r="P162" s="18">
        <f t="shared" si="42"/>
        <v>0.20305185525800226</v>
      </c>
      <c r="Q162" s="18">
        <f t="shared" si="54"/>
        <v>0.57839414832563019</v>
      </c>
      <c r="R162" s="18">
        <f t="shared" si="32"/>
        <v>0.60239331922498907</v>
      </c>
      <c r="S162" s="18">
        <f t="shared" si="33"/>
        <v>4.9462980116468606E-3</v>
      </c>
      <c r="T162" s="18">
        <f t="shared" si="43"/>
        <v>0.18291051125234989</v>
      </c>
      <c r="U162" s="18">
        <f t="shared" si="44"/>
        <v>0.20236466317705296</v>
      </c>
      <c r="V162" s="40" t="str">
        <f t="shared" si="34"/>
        <v>Y</v>
      </c>
      <c r="W162" s="18">
        <v>2.169</v>
      </c>
      <c r="X162" s="18">
        <f t="shared" si="31"/>
        <v>0.53422263393596936</v>
      </c>
      <c r="Y162" s="18">
        <v>0.53422263393596936</v>
      </c>
      <c r="Z162" s="18">
        <v>0.38154712339066921</v>
      </c>
      <c r="AA162" s="18">
        <f t="shared" si="45"/>
        <v>-0.96352091454717526</v>
      </c>
      <c r="AB162" s="18">
        <f t="shared" si="46"/>
        <v>-0.76404751424528417</v>
      </c>
      <c r="AC162" s="18">
        <f t="shared" si="47"/>
        <v>-440.5299493420772</v>
      </c>
    </row>
    <row r="163" spans="1:29" x14ac:dyDescent="0.25">
      <c r="A163" s="13" t="str">
        <f t="shared" si="48"/>
        <v/>
      </c>
      <c r="B163" s="30">
        <f>IF(B162=$C$9,$C$6,IF(OR(ISNA(B162),B162=$C$6),NA(),Main!A130))</f>
        <v>129</v>
      </c>
      <c r="C163" s="29">
        <f>IF(ISNA(B163),NA(),IF(B163=$C$6,$C$19,Main!C130))</f>
        <v>0.2410000000000001</v>
      </c>
      <c r="D163" s="19">
        <f t="shared" si="49"/>
        <v>0.35149863760217986</v>
      </c>
      <c r="E163" s="18">
        <f t="shared" si="50"/>
        <v>-4.454253067927387E-2</v>
      </c>
      <c r="F163" s="18">
        <f t="shared" si="51"/>
        <v>1.4550285511538661</v>
      </c>
      <c r="G163" s="18">
        <f t="shared" si="52"/>
        <v>0.19318566241759924</v>
      </c>
      <c r="H163" s="18">
        <f t="shared" si="53"/>
        <v>4.0284071676026344E-3</v>
      </c>
      <c r="I163" s="18">
        <f t="shared" si="35"/>
        <v>0.18801108965020913</v>
      </c>
      <c r="J163" s="18">
        <f t="shared" si="36"/>
        <v>0.19836023518498935</v>
      </c>
      <c r="K163" s="18">
        <f t="shared" si="37"/>
        <v>0.18654005343534119</v>
      </c>
      <c r="L163" s="18">
        <f t="shared" si="38"/>
        <v>0.19983127139985729</v>
      </c>
      <c r="M163" s="18">
        <f t="shared" si="39"/>
        <v>0.18526365237407061</v>
      </c>
      <c r="N163" s="18">
        <f t="shared" si="40"/>
        <v>0.20110767246112787</v>
      </c>
      <c r="O163" s="18">
        <f t="shared" si="41"/>
        <v>0.18275518654106415</v>
      </c>
      <c r="P163" s="18">
        <f t="shared" si="42"/>
        <v>0.20361613829413433</v>
      </c>
      <c r="Q163" s="18">
        <f t="shared" si="54"/>
        <v>0.57839414832563019</v>
      </c>
      <c r="R163" s="18">
        <f t="shared" si="32"/>
        <v>0.60239331922498907</v>
      </c>
      <c r="S163" s="18">
        <f t="shared" si="33"/>
        <v>4.9462980116468606E-3</v>
      </c>
      <c r="T163" s="18">
        <f t="shared" si="43"/>
        <v>0.18345858645524771</v>
      </c>
      <c r="U163" s="18">
        <f t="shared" si="44"/>
        <v>0.20291273837995077</v>
      </c>
      <c r="V163" s="40" t="str">
        <f t="shared" si="34"/>
        <v>Y</v>
      </c>
      <c r="W163" s="18">
        <v>2.169</v>
      </c>
      <c r="X163" s="18">
        <f t="shared" ref="X163:X226" si="55">IF(OR(NOT(ISNUMBER(W163)),ISNA(B163)),"",(EXP(-EXP(-(W163-$C$28)/$C$29))))</f>
        <v>0.53422263393596936</v>
      </c>
      <c r="Y163" s="18">
        <v>0.53422263393596936</v>
      </c>
      <c r="Z163" s="18">
        <v>0.38154712339066921</v>
      </c>
      <c r="AA163" s="18">
        <f t="shared" si="45"/>
        <v>-0.96352091454717526</v>
      </c>
      <c r="AB163" s="18">
        <f t="shared" si="46"/>
        <v>-0.76404751424528417</v>
      </c>
      <c r="AC163" s="18">
        <f t="shared" si="47"/>
        <v>-443.98508619966208</v>
      </c>
    </row>
    <row r="164" spans="1:29" x14ac:dyDescent="0.25">
      <c r="A164" s="13" t="str">
        <f t="shared" si="48"/>
        <v/>
      </c>
      <c r="B164" s="30">
        <f>IF(B163=$C$9,$C$6,IF(OR(ISNA(B163),B163=$C$6),NA(),Main!A131))</f>
        <v>130</v>
      </c>
      <c r="C164" s="29">
        <f>IF(ISNA(B164),NA(),IF(B164=$C$6,$C$19,Main!C131))</f>
        <v>0.2410000000000001</v>
      </c>
      <c r="D164" s="19">
        <f t="shared" si="49"/>
        <v>0.35422343324250682</v>
      </c>
      <c r="E164" s="18">
        <f t="shared" si="50"/>
        <v>-3.7129487293716588E-2</v>
      </c>
      <c r="F164" s="18">
        <f t="shared" si="51"/>
        <v>1.4550285511538661</v>
      </c>
      <c r="G164" s="18">
        <f t="shared" si="52"/>
        <v>0.19373355253530175</v>
      </c>
      <c r="H164" s="18">
        <f t="shared" si="53"/>
        <v>4.0347786711142529E-3</v>
      </c>
      <c r="I164" s="18">
        <f t="shared" si="35"/>
        <v>0.18855079543917155</v>
      </c>
      <c r="J164" s="18">
        <f t="shared" si="36"/>
        <v>0.19891630963143195</v>
      </c>
      <c r="K164" s="18">
        <f t="shared" si="37"/>
        <v>0.18707743256961881</v>
      </c>
      <c r="L164" s="18">
        <f t="shared" si="38"/>
        <v>0.20038967250098469</v>
      </c>
      <c r="M164" s="18">
        <f t="shared" si="39"/>
        <v>0.18579901269706484</v>
      </c>
      <c r="N164" s="18">
        <f t="shared" si="40"/>
        <v>0.20166809237353867</v>
      </c>
      <c r="O164" s="18">
        <f t="shared" si="41"/>
        <v>0.18328657936569021</v>
      </c>
      <c r="P164" s="18">
        <f t="shared" si="42"/>
        <v>0.2041805257049133</v>
      </c>
      <c r="Q164" s="18">
        <f t="shared" si="54"/>
        <v>0.57839414832563019</v>
      </c>
      <c r="R164" s="18">
        <f t="shared" ref="R164:R227" si="56">IF(ISNA(B164),NA(),-LN(-LN(Q164)))</f>
        <v>0.60239331922498907</v>
      </c>
      <c r="S164" s="18">
        <f t="shared" ref="S164:S227" si="57">IF(ISNA(B164),NA(),$C$16*SQRT((1.109+0.514*R164+0.608*R164^2)/$C$9))</f>
        <v>4.9462980116468606E-3</v>
      </c>
      <c r="T164" s="18">
        <f t="shared" si="43"/>
        <v>0.18400647657295022</v>
      </c>
      <c r="U164" s="18">
        <f t="shared" si="44"/>
        <v>0.20346062849765328</v>
      </c>
      <c r="V164" s="40" t="str">
        <f t="shared" ref="V164:V227" si="58">IF(V163="","",IF(B164&lt;N,"Y",""))</f>
        <v>Y</v>
      </c>
      <c r="W164" s="18">
        <v>2.169</v>
      </c>
      <c r="X164" s="18">
        <f t="shared" si="55"/>
        <v>0.53422263393596936</v>
      </c>
      <c r="Y164" s="18">
        <v>0.53422263393596936</v>
      </c>
      <c r="Z164" s="18">
        <v>0.38154712339066921</v>
      </c>
      <c r="AA164" s="18">
        <f t="shared" si="45"/>
        <v>-0.96352091454717526</v>
      </c>
      <c r="AB164" s="18">
        <f t="shared" si="46"/>
        <v>-0.76404751424528417</v>
      </c>
      <c r="AC164" s="18">
        <f t="shared" si="47"/>
        <v>-447.44022305724701</v>
      </c>
    </row>
    <row r="165" spans="1:29" x14ac:dyDescent="0.25">
      <c r="A165" s="13" t="str">
        <f t="shared" si="48"/>
        <v/>
      </c>
      <c r="B165" s="30">
        <f>IF(B164=$C$9,$C$6,IF(OR(ISNA(B164),B164=$C$6),NA(),Main!A132))</f>
        <v>131</v>
      </c>
      <c r="C165" s="29">
        <f>IF(ISNA(B165),NA(),IF(B165=$C$6,$C$19,Main!C132))</f>
        <v>0.2410000000000001</v>
      </c>
      <c r="D165" s="19">
        <f t="shared" si="49"/>
        <v>0.35694822888283378</v>
      </c>
      <c r="E165" s="18">
        <f t="shared" si="50"/>
        <v>-2.9718522353005181E-2</v>
      </c>
      <c r="F165" s="18">
        <f t="shared" si="51"/>
        <v>1.4550285511538661</v>
      </c>
      <c r="G165" s="18">
        <f t="shared" si="52"/>
        <v>0.194281289037366</v>
      </c>
      <c r="H165" s="18">
        <f t="shared" si="53"/>
        <v>4.0412616902839003E-3</v>
      </c>
      <c r="I165" s="18">
        <f t="shared" ref="I165:I228" si="59">IF(ISNA(B165),NA(),G165-$C$10*H165)</f>
        <v>0.18909020436831428</v>
      </c>
      <c r="J165" s="18">
        <f t="shared" ref="J165:J228" si="60">IF(ISNA(B165),NA(),G165+$C$10*H165)</f>
        <v>0.19947237370641771</v>
      </c>
      <c r="K165" s="18">
        <f t="shared" ref="K165:K228" si="61">IF(ISNA(B165),NA(),G165-$C$11*H165)</f>
        <v>0.18761447412238091</v>
      </c>
      <c r="L165" s="18">
        <f t="shared" ref="L165:L228" si="62">IF(ISNA(B165),NA(),G165+$C$11*H165)</f>
        <v>0.20094810395235108</v>
      </c>
      <c r="M165" s="18">
        <f t="shared" ref="M165:M228" si="63">IF(ISNA(B165),NA(),G165-$C$12*H165)</f>
        <v>0.18633400010480033</v>
      </c>
      <c r="N165" s="18">
        <f t="shared" ref="N165:N228" si="64">IF(ISNA(B165),NA(),G165+$C$12*H165)</f>
        <v>0.20222857796993166</v>
      </c>
      <c r="O165" s="18">
        <f t="shared" ref="O165:O228" si="65">IF(ISNA(B165),NA(),G165-$C$13*H165)</f>
        <v>0.18381752983490257</v>
      </c>
      <c r="P165" s="18">
        <f t="shared" ref="P165:P228" si="66">IF(ISNA(B165),NA(),G165+$C$13*H165)</f>
        <v>0.20474504823982942</v>
      </c>
      <c r="Q165" s="18">
        <f t="shared" si="54"/>
        <v>0.57839414832563019</v>
      </c>
      <c r="R165" s="18">
        <f t="shared" si="56"/>
        <v>0.60239331922498907</v>
      </c>
      <c r="S165" s="18">
        <f t="shared" si="57"/>
        <v>4.9462980116468606E-3</v>
      </c>
      <c r="T165" s="18">
        <f t="shared" ref="T165:T228" si="67">IF(ISNA(B165),NA(),G165-$C$12*S165)</f>
        <v>0.18455421307501446</v>
      </c>
      <c r="U165" s="18">
        <f t="shared" ref="U165:U228" si="68">IF(ISNA(B165),NA(),G165+$C$12*S165)</f>
        <v>0.20400836499971753</v>
      </c>
      <c r="V165" s="40" t="str">
        <f t="shared" si="58"/>
        <v>Y</v>
      </c>
      <c r="W165" s="18">
        <v>2.169</v>
      </c>
      <c r="X165" s="18">
        <f t="shared" si="55"/>
        <v>0.53422263393596936</v>
      </c>
      <c r="Y165" s="18">
        <v>0.53422263393596936</v>
      </c>
      <c r="Z165" s="18">
        <v>0.38154712339066921</v>
      </c>
      <c r="AA165" s="18">
        <f t="shared" ref="AA165:AA228" si="69">IF(OR(NOT(ISNUMBER(W165)),ISNA(B165)),"",LN(Z165))</f>
        <v>-0.96352091454717526</v>
      </c>
      <c r="AB165" s="18">
        <f t="shared" ref="AB165:AB228" si="70">IF(OR(NOT(ISNUMBER(W165)),ISNA(B165)),"",LN(1-Y165))</f>
        <v>-0.76404751424528417</v>
      </c>
      <c r="AC165" s="18">
        <f t="shared" ref="AC165:AC228" si="71">IF(OR(NOT(ISNUMBER(W165)),ISNA(B165)),"",(2*B165-1)*(AA165+AB165))</f>
        <v>-450.89535991483194</v>
      </c>
    </row>
    <row r="166" spans="1:29" x14ac:dyDescent="0.25">
      <c r="A166" s="13" t="str">
        <f t="shared" si="48"/>
        <v/>
      </c>
      <c r="B166" s="30">
        <f>IF(B165=$C$9,$C$6,IF(OR(ISNA(B165),B165=$C$6),NA(),Main!A133))</f>
        <v>132</v>
      </c>
      <c r="C166" s="29">
        <f>IF(ISNA(B166),NA(),IF(B166=$C$6,$C$19,Main!C133))</f>
        <v>0.2410000000000001</v>
      </c>
      <c r="D166" s="19">
        <f t="shared" si="49"/>
        <v>0.35967302452316074</v>
      </c>
      <c r="E166" s="18">
        <f t="shared" si="50"/>
        <v>-2.2309214032372425E-2</v>
      </c>
      <c r="F166" s="18">
        <f t="shared" si="51"/>
        <v>1.4550285511538661</v>
      </c>
      <c r="G166" s="18">
        <f t="shared" si="52"/>
        <v>0.19482890310040987</v>
      </c>
      <c r="H166" s="18">
        <f t="shared" si="53"/>
        <v>4.0478559643321813E-3</v>
      </c>
      <c r="I166" s="18">
        <f t="shared" si="59"/>
        <v>0.18962934794923178</v>
      </c>
      <c r="J166" s="18">
        <f t="shared" si="60"/>
        <v>0.20002845825158796</v>
      </c>
      <c r="K166" s="18">
        <f t="shared" si="61"/>
        <v>0.1881512097004496</v>
      </c>
      <c r="L166" s="18">
        <f t="shared" si="62"/>
        <v>0.20150659650037014</v>
      </c>
      <c r="M166" s="18">
        <f t="shared" si="63"/>
        <v>0.18686864628672722</v>
      </c>
      <c r="N166" s="18">
        <f t="shared" si="64"/>
        <v>0.20278915991409252</v>
      </c>
      <c r="O166" s="18">
        <f t="shared" si="65"/>
        <v>0.1843480698005372</v>
      </c>
      <c r="P166" s="18">
        <f t="shared" si="66"/>
        <v>0.20530973640028255</v>
      </c>
      <c r="Q166" s="18">
        <f t="shared" si="54"/>
        <v>0.57839414832563019</v>
      </c>
      <c r="R166" s="18">
        <f t="shared" si="56"/>
        <v>0.60239331922498907</v>
      </c>
      <c r="S166" s="18">
        <f t="shared" si="57"/>
        <v>4.9462980116468606E-3</v>
      </c>
      <c r="T166" s="18">
        <f t="shared" si="67"/>
        <v>0.18510182713805834</v>
      </c>
      <c r="U166" s="18">
        <f t="shared" si="68"/>
        <v>0.20455597906276141</v>
      </c>
      <c r="V166" s="40" t="str">
        <f t="shared" si="58"/>
        <v>Y</v>
      </c>
      <c r="W166" s="18">
        <v>2.169</v>
      </c>
      <c r="X166" s="18">
        <f t="shared" si="55"/>
        <v>0.53422263393596936</v>
      </c>
      <c r="Y166" s="18">
        <v>0.53422263393596936</v>
      </c>
      <c r="Z166" s="18">
        <v>0.38154712339066921</v>
      </c>
      <c r="AA166" s="18">
        <f t="shared" si="69"/>
        <v>-0.96352091454717526</v>
      </c>
      <c r="AB166" s="18">
        <f t="shared" si="70"/>
        <v>-0.76404751424528417</v>
      </c>
      <c r="AC166" s="18">
        <f t="shared" si="71"/>
        <v>-454.35049677241688</v>
      </c>
    </row>
    <row r="167" spans="1:29" x14ac:dyDescent="0.25">
      <c r="A167" s="13" t="str">
        <f t="shared" si="48"/>
        <v/>
      </c>
      <c r="B167" s="30">
        <f>IF(B166=$C$9,$C$6,IF(OR(ISNA(B166),B166=$C$6),NA(),Main!A134))</f>
        <v>133</v>
      </c>
      <c r="C167" s="29">
        <f>IF(ISNA(B167),NA(),IF(B167=$C$6,$C$19,Main!C134))</f>
        <v>0.2410000000000001</v>
      </c>
      <c r="D167" s="19">
        <f t="shared" si="49"/>
        <v>0.36239782016348776</v>
      </c>
      <c r="E167" s="18">
        <f t="shared" si="50"/>
        <v>-1.4901144270219232E-2</v>
      </c>
      <c r="F167" s="18">
        <f t="shared" si="51"/>
        <v>1.4550285511538661</v>
      </c>
      <c r="G167" s="18">
        <f t="shared" si="52"/>
        <v>0.19537642562291963</v>
      </c>
      <c r="H167" s="18">
        <f t="shared" si="53"/>
        <v>4.0545612495706219E-3</v>
      </c>
      <c r="I167" s="18">
        <f t="shared" si="59"/>
        <v>0.19016825739343321</v>
      </c>
      <c r="J167" s="18">
        <f t="shared" si="60"/>
        <v>0.20058459385240604</v>
      </c>
      <c r="K167" s="18">
        <f t="shared" si="61"/>
        <v>0.18868767060432071</v>
      </c>
      <c r="L167" s="18">
        <f t="shared" si="62"/>
        <v>0.20206518064151854</v>
      </c>
      <c r="M167" s="18">
        <f t="shared" si="63"/>
        <v>0.18740298262055405</v>
      </c>
      <c r="N167" s="18">
        <f t="shared" si="64"/>
        <v>0.2033498686252852</v>
      </c>
      <c r="O167" s="18">
        <f t="shared" si="65"/>
        <v>0.18487823079204596</v>
      </c>
      <c r="P167" s="18">
        <f t="shared" si="66"/>
        <v>0.20587462045379329</v>
      </c>
      <c r="Q167" s="18">
        <f t="shared" si="54"/>
        <v>0.57839414832563019</v>
      </c>
      <c r="R167" s="18">
        <f t="shared" si="56"/>
        <v>0.60239331922498907</v>
      </c>
      <c r="S167" s="18">
        <f t="shared" si="57"/>
        <v>4.9462980116468606E-3</v>
      </c>
      <c r="T167" s="18">
        <f t="shared" si="67"/>
        <v>0.18564934966056809</v>
      </c>
      <c r="U167" s="18">
        <f t="shared" si="68"/>
        <v>0.20510350158527116</v>
      </c>
      <c r="V167" s="40" t="str">
        <f t="shared" si="58"/>
        <v>Y</v>
      </c>
      <c r="W167" s="18">
        <v>2.169</v>
      </c>
      <c r="X167" s="18">
        <f t="shared" si="55"/>
        <v>0.53422263393596936</v>
      </c>
      <c r="Y167" s="18">
        <v>0.53422263393596936</v>
      </c>
      <c r="Z167" s="18">
        <v>0.38154712339066921</v>
      </c>
      <c r="AA167" s="18">
        <f t="shared" si="69"/>
        <v>-0.96352091454717526</v>
      </c>
      <c r="AB167" s="18">
        <f t="shared" si="70"/>
        <v>-0.76404751424528417</v>
      </c>
      <c r="AC167" s="18">
        <f t="shared" si="71"/>
        <v>-457.80563363000175</v>
      </c>
    </row>
    <row r="168" spans="1:29" x14ac:dyDescent="0.25">
      <c r="A168" s="13" t="str">
        <f t="shared" si="48"/>
        <v/>
      </c>
      <c r="B168" s="30">
        <f>IF(B167=$C$9,$C$6,IF(OR(ISNA(B167),B167=$C$6),NA(),Main!A135))</f>
        <v>134</v>
      </c>
      <c r="C168" s="29">
        <f>IF(ISNA(B168),NA(),IF(B168=$C$6,$C$19,Main!C135))</f>
        <v>0.2410000000000001</v>
      </c>
      <c r="D168" s="19">
        <f t="shared" si="49"/>
        <v>0.36512261580381472</v>
      </c>
      <c r="E168" s="18">
        <f t="shared" si="50"/>
        <v>-7.4938985731052834E-3</v>
      </c>
      <c r="F168" s="18">
        <f t="shared" si="51"/>
        <v>1.4550285511538661</v>
      </c>
      <c r="G168" s="18">
        <f t="shared" si="52"/>
        <v>0.19592388723966261</v>
      </c>
      <c r="H168" s="18">
        <f t="shared" si="53"/>
        <v>4.0613773191854833E-3</v>
      </c>
      <c r="I168" s="18">
        <f t="shared" si="59"/>
        <v>0.19070696362703288</v>
      </c>
      <c r="J168" s="18">
        <f t="shared" si="60"/>
        <v>0.20114081085229235</v>
      </c>
      <c r="K168" s="18">
        <f t="shared" si="61"/>
        <v>0.18922388784293317</v>
      </c>
      <c r="L168" s="18">
        <f t="shared" si="62"/>
        <v>0.20262388663639205</v>
      </c>
      <c r="M168" s="18">
        <f t="shared" si="63"/>
        <v>0.18793704018708568</v>
      </c>
      <c r="N168" s="18">
        <f t="shared" si="64"/>
        <v>0.20391073429223955</v>
      </c>
      <c r="O168" s="18">
        <f t="shared" si="65"/>
        <v>0.18540804403146943</v>
      </c>
      <c r="P168" s="18">
        <f t="shared" si="66"/>
        <v>0.2064397304478558</v>
      </c>
      <c r="Q168" s="18">
        <f t="shared" si="54"/>
        <v>0.57839414832563019</v>
      </c>
      <c r="R168" s="18">
        <f t="shared" si="56"/>
        <v>0.60239331922498907</v>
      </c>
      <c r="S168" s="18">
        <f t="shared" si="57"/>
        <v>4.9462980116468606E-3</v>
      </c>
      <c r="T168" s="18">
        <f t="shared" si="67"/>
        <v>0.18619681127731108</v>
      </c>
      <c r="U168" s="18">
        <f t="shared" si="68"/>
        <v>0.20565096320201415</v>
      </c>
      <c r="V168" s="40" t="str">
        <f t="shared" si="58"/>
        <v>Y</v>
      </c>
      <c r="W168" s="18">
        <v>2.169</v>
      </c>
      <c r="X168" s="18">
        <f t="shared" si="55"/>
        <v>0.53422263393596936</v>
      </c>
      <c r="Y168" s="18">
        <v>0.53422263393596936</v>
      </c>
      <c r="Z168" s="18">
        <v>0.38154712339066921</v>
      </c>
      <c r="AA168" s="18">
        <f t="shared" si="69"/>
        <v>-0.96352091454717526</v>
      </c>
      <c r="AB168" s="18">
        <f t="shared" si="70"/>
        <v>-0.76404751424528417</v>
      </c>
      <c r="AC168" s="18">
        <f t="shared" si="71"/>
        <v>-461.26077048758668</v>
      </c>
    </row>
    <row r="169" spans="1:29" x14ac:dyDescent="0.25">
      <c r="A169" s="13" t="str">
        <f t="shared" si="48"/>
        <v/>
      </c>
      <c r="B169" s="30">
        <f>IF(B168=$C$9,$C$6,IF(OR(ISNA(B168),B168=$C$6),NA(),Main!A136))</f>
        <v>135</v>
      </c>
      <c r="C169" s="29">
        <f>IF(ISNA(B169),NA(),IF(B169=$C$6,$C$19,Main!C136))</f>
        <v>0.2410000000000001</v>
      </c>
      <c r="D169" s="19">
        <f t="shared" si="49"/>
        <v>0.36784741144414168</v>
      </c>
      <c r="E169" s="18">
        <f t="shared" si="50"/>
        <v>-8.7065825801786742E-5</v>
      </c>
      <c r="F169" s="18">
        <f t="shared" si="51"/>
        <v>1.4550285511538661</v>
      </c>
      <c r="G169" s="18">
        <f t="shared" si="52"/>
        <v>0.19647131833572626</v>
      </c>
      <c r="H169" s="18">
        <f t="shared" si="53"/>
        <v>4.0683039630352389E-3</v>
      </c>
      <c r="I169" s="18">
        <f t="shared" si="59"/>
        <v>0.19124549730504933</v>
      </c>
      <c r="J169" s="18">
        <f t="shared" si="60"/>
        <v>0.20169713936640318</v>
      </c>
      <c r="K169" s="18">
        <f t="shared" si="61"/>
        <v>0.18975989214804206</v>
      </c>
      <c r="L169" s="18">
        <f t="shared" si="62"/>
        <v>0.20318274452341045</v>
      </c>
      <c r="M169" s="18">
        <f t="shared" si="63"/>
        <v>0.18847084978466055</v>
      </c>
      <c r="N169" s="18">
        <f t="shared" si="64"/>
        <v>0.20447178688679196</v>
      </c>
      <c r="O169" s="18">
        <f t="shared" si="65"/>
        <v>0.18593754044799987</v>
      </c>
      <c r="P169" s="18">
        <f t="shared" si="66"/>
        <v>0.20700509622345264</v>
      </c>
      <c r="Q169" s="18">
        <f t="shared" si="54"/>
        <v>0.57839414832563019</v>
      </c>
      <c r="R169" s="18">
        <f t="shared" si="56"/>
        <v>0.60239331922498907</v>
      </c>
      <c r="S169" s="18">
        <f t="shared" si="57"/>
        <v>4.9462980116468606E-3</v>
      </c>
      <c r="T169" s="18">
        <f t="shared" si="67"/>
        <v>0.18674424237337472</v>
      </c>
      <c r="U169" s="18">
        <f t="shared" si="68"/>
        <v>0.20619839429807779</v>
      </c>
      <c r="V169" s="40" t="str">
        <f t="shared" si="58"/>
        <v>Y</v>
      </c>
      <c r="W169" s="18">
        <v>2.169</v>
      </c>
      <c r="X169" s="18">
        <f t="shared" si="55"/>
        <v>0.53422263393596936</v>
      </c>
      <c r="Y169" s="18">
        <v>0.53422263393596936</v>
      </c>
      <c r="Z169" s="18">
        <v>0.38154712339066921</v>
      </c>
      <c r="AA169" s="18">
        <f t="shared" si="69"/>
        <v>-0.96352091454717526</v>
      </c>
      <c r="AB169" s="18">
        <f t="shared" si="70"/>
        <v>-0.76404751424528417</v>
      </c>
      <c r="AC169" s="18">
        <f t="shared" si="71"/>
        <v>-464.71590734517162</v>
      </c>
    </row>
    <row r="170" spans="1:29" x14ac:dyDescent="0.25">
      <c r="A170" s="13" t="str">
        <f t="shared" si="48"/>
        <v/>
      </c>
      <c r="B170" s="30">
        <f>IF(B169=$C$9,$C$6,IF(OR(ISNA(B169),B169=$C$6),NA(),Main!A137))</f>
        <v>136</v>
      </c>
      <c r="C170" s="29">
        <f>IF(ISNA(B170),NA(),IF(B170=$C$6,$C$19,Main!C137))</f>
        <v>0.2410000000000001</v>
      </c>
      <c r="D170" s="19">
        <f t="shared" si="49"/>
        <v>0.37057220708446864</v>
      </c>
      <c r="E170" s="18">
        <f t="shared" si="50"/>
        <v>7.3197618938616715E-3</v>
      </c>
      <c r="F170" s="18">
        <f t="shared" si="51"/>
        <v>1.4550285511538661</v>
      </c>
      <c r="G170" s="18">
        <f t="shared" si="52"/>
        <v>0.19701874906020239</v>
      </c>
      <c r="H170" s="18">
        <f t="shared" si="53"/>
        <v>4.0753409874612406E-3</v>
      </c>
      <c r="I170" s="18">
        <f t="shared" si="59"/>
        <v>0.19178388882533304</v>
      </c>
      <c r="J170" s="18">
        <f t="shared" si="60"/>
        <v>0.20225360929507175</v>
      </c>
      <c r="K170" s="18">
        <f t="shared" si="61"/>
        <v>0.19029571398821526</v>
      </c>
      <c r="L170" s="18">
        <f t="shared" si="62"/>
        <v>0.20374178413218952</v>
      </c>
      <c r="M170" s="18">
        <f t="shared" si="63"/>
        <v>0.18900444194320729</v>
      </c>
      <c r="N170" s="18">
        <f t="shared" si="64"/>
        <v>0.2050330561771975</v>
      </c>
      <c r="O170" s="18">
        <f t="shared" si="65"/>
        <v>0.18646675069215607</v>
      </c>
      <c r="P170" s="18">
        <f t="shared" si="66"/>
        <v>0.20757074742824871</v>
      </c>
      <c r="Q170" s="18">
        <f t="shared" si="54"/>
        <v>0.57839414832563019</v>
      </c>
      <c r="R170" s="18">
        <f t="shared" si="56"/>
        <v>0.60239331922498907</v>
      </c>
      <c r="S170" s="18">
        <f t="shared" si="57"/>
        <v>4.9462980116468606E-3</v>
      </c>
      <c r="T170" s="18">
        <f t="shared" si="67"/>
        <v>0.18729167309785086</v>
      </c>
      <c r="U170" s="18">
        <f t="shared" si="68"/>
        <v>0.20674582502255393</v>
      </c>
      <c r="V170" s="40" t="str">
        <f t="shared" si="58"/>
        <v>Y</v>
      </c>
      <c r="W170" s="18">
        <v>2.169</v>
      </c>
      <c r="X170" s="18">
        <f t="shared" si="55"/>
        <v>0.53422263393596936</v>
      </c>
      <c r="Y170" s="18">
        <v>0.53422263393596936</v>
      </c>
      <c r="Z170" s="18">
        <v>0.38154712339066921</v>
      </c>
      <c r="AA170" s="18">
        <f t="shared" si="69"/>
        <v>-0.96352091454717526</v>
      </c>
      <c r="AB170" s="18">
        <f t="shared" si="70"/>
        <v>-0.76404751424528417</v>
      </c>
      <c r="AC170" s="18">
        <f t="shared" si="71"/>
        <v>-468.17104420275655</v>
      </c>
    </row>
    <row r="171" spans="1:29" x14ac:dyDescent="0.25">
      <c r="A171" s="13" t="str">
        <f t="shared" ref="A171:A234" si="72">IF(B171=$C$6,"EVA","")</f>
        <v/>
      </c>
      <c r="B171" s="30">
        <f>IF(B170=$C$9,$C$6,IF(OR(ISNA(B170),B170=$C$6),NA(),Main!A138))</f>
        <v>137</v>
      </c>
      <c r="C171" s="29">
        <f>IF(ISNA(B171),NA(),IF(B171=$C$6,$C$19,Main!C138))</f>
        <v>0.2410000000000001</v>
      </c>
      <c r="D171" s="19">
        <f t="shared" ref="D171:D234" si="73">IF(ISNA(B171),NA(),IF(B171=$C$6,(N-1)/N,B171/($C$9+1)))</f>
        <v>0.37329700272479566</v>
      </c>
      <c r="E171" s="18">
        <f t="shared" ref="E171:E234" si="74">IF(ISNA(B171),NA(),-LN(-LN(D171)))</f>
        <v>1.4726989495609065E-2</v>
      </c>
      <c r="F171" s="18">
        <f t="shared" ref="F171:F234" si="75">IF(ISNA(B171),NA(),LN(1/$C$16) - (C171-$C$17)/$C$16 - EXP(-(C171-$C$17)/$C$16))</f>
        <v>1.4550285511538661</v>
      </c>
      <c r="G171" s="18">
        <f t="shared" ref="G171:G234" si="76">IF(ISNA(B171),NA(),$C$16*E171+$C$17)</f>
        <v>0.19756620933953617</v>
      </c>
      <c r="H171" s="18">
        <f t="shared" ref="H171:H234" si="77">IF(ISNA(B171),NA(),$C$16*SQRT((1.109+0.514*E171+0.608*E171^2)/$C$9))</f>
        <v>4.0824882151111507E-3</v>
      </c>
      <c r="I171" s="18">
        <f t="shared" si="59"/>
        <v>0.19232216834214186</v>
      </c>
      <c r="J171" s="18">
        <f t="shared" si="60"/>
        <v>0.20281025033693048</v>
      </c>
      <c r="K171" s="18">
        <f t="shared" si="61"/>
        <v>0.1908313835824737</v>
      </c>
      <c r="L171" s="18">
        <f t="shared" si="62"/>
        <v>0.20430103509659864</v>
      </c>
      <c r="M171" s="18">
        <f t="shared" si="63"/>
        <v>0.1895378469379409</v>
      </c>
      <c r="N171" s="18">
        <f t="shared" si="64"/>
        <v>0.20559457174113144</v>
      </c>
      <c r="O171" s="18">
        <f t="shared" si="65"/>
        <v>0.1869957051495893</v>
      </c>
      <c r="P171" s="18">
        <f t="shared" si="66"/>
        <v>0.20813671352948304</v>
      </c>
      <c r="Q171" s="18">
        <f t="shared" ref="Q171:Q234" si="78">IF(ISNA(B171),NA(),EXP(-EXP(-(C171-$C$17)/$C$16)))</f>
        <v>0.57839414832563019</v>
      </c>
      <c r="R171" s="18">
        <f t="shared" si="56"/>
        <v>0.60239331922498907</v>
      </c>
      <c r="S171" s="18">
        <f t="shared" si="57"/>
        <v>4.9462980116468606E-3</v>
      </c>
      <c r="T171" s="18">
        <f t="shared" si="67"/>
        <v>0.18783913337718464</v>
      </c>
      <c r="U171" s="18">
        <f t="shared" si="68"/>
        <v>0.2072932853018877</v>
      </c>
      <c r="V171" s="40" t="str">
        <f t="shared" si="58"/>
        <v>Y</v>
      </c>
      <c r="W171" s="18">
        <v>2.169</v>
      </c>
      <c r="X171" s="18">
        <f t="shared" si="55"/>
        <v>0.53422263393596936</v>
      </c>
      <c r="Y171" s="18">
        <v>0.53422263393596936</v>
      </c>
      <c r="Z171" s="18">
        <v>0.38154712339066921</v>
      </c>
      <c r="AA171" s="18">
        <f t="shared" si="69"/>
        <v>-0.96352091454717526</v>
      </c>
      <c r="AB171" s="18">
        <f t="shared" si="70"/>
        <v>-0.76404751424528417</v>
      </c>
      <c r="AC171" s="18">
        <f t="shared" si="71"/>
        <v>-471.62618106034148</v>
      </c>
    </row>
    <row r="172" spans="1:29" x14ac:dyDescent="0.25">
      <c r="A172" s="13" t="str">
        <f t="shared" si="72"/>
        <v/>
      </c>
      <c r="B172" s="30">
        <f>IF(B171=$C$9,$C$6,IF(OR(ISNA(B171),B171=$C$6),NA(),Main!A139))</f>
        <v>138</v>
      </c>
      <c r="C172" s="29">
        <f>IF(ISNA(B172),NA(),IF(B172=$C$6,$C$19,Main!C139))</f>
        <v>0.2410000000000001</v>
      </c>
      <c r="D172" s="19">
        <f t="shared" si="73"/>
        <v>0.37602179836512262</v>
      </c>
      <c r="E172" s="18">
        <f t="shared" si="74"/>
        <v>2.2135019053031252E-2</v>
      </c>
      <c r="F172" s="18">
        <f t="shared" si="75"/>
        <v>1.4550285511538661</v>
      </c>
      <c r="G172" s="18">
        <f t="shared" si="76"/>
        <v>0.1981137288905572</v>
      </c>
      <c r="H172" s="18">
        <f t="shared" si="77"/>
        <v>4.0897454847747296E-3</v>
      </c>
      <c r="I172" s="18">
        <f t="shared" si="59"/>
        <v>0.19286036577938334</v>
      </c>
      <c r="J172" s="18">
        <f t="shared" si="60"/>
        <v>0.20336709200173106</v>
      </c>
      <c r="K172" s="18">
        <f t="shared" si="61"/>
        <v>0.1913669309135933</v>
      </c>
      <c r="L172" s="18">
        <f t="shared" si="62"/>
        <v>0.2048605268675211</v>
      </c>
      <c r="M172" s="18">
        <f t="shared" si="63"/>
        <v>0.19007109480271686</v>
      </c>
      <c r="N172" s="18">
        <f t="shared" si="64"/>
        <v>0.20615636297839754</v>
      </c>
      <c r="O172" s="18">
        <f t="shared" si="65"/>
        <v>0.18752443395453972</v>
      </c>
      <c r="P172" s="18">
        <f t="shared" si="66"/>
        <v>0.20870302382657469</v>
      </c>
      <c r="Q172" s="18">
        <f t="shared" si="78"/>
        <v>0.57839414832563019</v>
      </c>
      <c r="R172" s="18">
        <f t="shared" si="56"/>
        <v>0.60239331922498907</v>
      </c>
      <c r="S172" s="18">
        <f t="shared" si="57"/>
        <v>4.9462980116468606E-3</v>
      </c>
      <c r="T172" s="18">
        <f t="shared" si="67"/>
        <v>0.18838665292820567</v>
      </c>
      <c r="U172" s="18">
        <f t="shared" si="68"/>
        <v>0.20784080485290873</v>
      </c>
      <c r="V172" s="40" t="str">
        <f t="shared" si="58"/>
        <v>Y</v>
      </c>
      <c r="W172" s="18">
        <v>2.169</v>
      </c>
      <c r="X172" s="18">
        <f t="shared" si="55"/>
        <v>0.53422263393596936</v>
      </c>
      <c r="Y172" s="18">
        <v>0.53422263393596936</v>
      </c>
      <c r="Z172" s="18">
        <v>0.38154712339066921</v>
      </c>
      <c r="AA172" s="18">
        <f t="shared" si="69"/>
        <v>-0.96352091454717526</v>
      </c>
      <c r="AB172" s="18">
        <f t="shared" si="70"/>
        <v>-0.76404751424528417</v>
      </c>
      <c r="AC172" s="18">
        <f t="shared" si="71"/>
        <v>-475.08131791792636</v>
      </c>
    </row>
    <row r="173" spans="1:29" x14ac:dyDescent="0.25">
      <c r="A173" s="13" t="str">
        <f t="shared" si="72"/>
        <v/>
      </c>
      <c r="B173" s="30">
        <f>IF(B172=$C$9,$C$6,IF(OR(ISNA(B172),B172=$C$6),NA(),Main!A140))</f>
        <v>139</v>
      </c>
      <c r="C173" s="29">
        <f>IF(ISNA(B173),NA(),IF(B173=$C$6,$C$19,Main!C140))</f>
        <v>0.2410000000000001</v>
      </c>
      <c r="D173" s="19">
        <f t="shared" si="73"/>
        <v>0.37874659400544958</v>
      </c>
      <c r="E173" s="18">
        <f t="shared" si="74"/>
        <v>2.9544249975834172E-2</v>
      </c>
      <c r="F173" s="18">
        <f t="shared" si="75"/>
        <v>1.4550285511538661</v>
      </c>
      <c r="G173" s="18">
        <f t="shared" si="76"/>
        <v>0.19866133723321017</v>
      </c>
      <c r="H173" s="18">
        <f t="shared" si="77"/>
        <v>4.0971126512315964E-3</v>
      </c>
      <c r="I173" s="18">
        <f t="shared" si="59"/>
        <v>0.19339851084354076</v>
      </c>
      <c r="J173" s="18">
        <f t="shared" si="60"/>
        <v>0.20392416362287957</v>
      </c>
      <c r="K173" s="18">
        <f t="shared" si="61"/>
        <v>0.19190238574108692</v>
      </c>
      <c r="L173" s="18">
        <f t="shared" si="62"/>
        <v>0.20542028872533341</v>
      </c>
      <c r="M173" s="18">
        <f t="shared" si="63"/>
        <v>0.19060421534306099</v>
      </c>
      <c r="N173" s="18">
        <f t="shared" si="64"/>
        <v>0.20671845912335934</v>
      </c>
      <c r="O173" s="18">
        <f t="shared" si="65"/>
        <v>0.18805296700296106</v>
      </c>
      <c r="P173" s="18">
        <f t="shared" si="66"/>
        <v>0.20926970746345927</v>
      </c>
      <c r="Q173" s="18">
        <f t="shared" si="78"/>
        <v>0.57839414832563019</v>
      </c>
      <c r="R173" s="18">
        <f t="shared" si="56"/>
        <v>0.60239331922498907</v>
      </c>
      <c r="S173" s="18">
        <f t="shared" si="57"/>
        <v>4.9462980116468606E-3</v>
      </c>
      <c r="T173" s="18">
        <f t="shared" si="67"/>
        <v>0.18893426127085863</v>
      </c>
      <c r="U173" s="18">
        <f t="shared" si="68"/>
        <v>0.2083884131955617</v>
      </c>
      <c r="V173" s="40" t="str">
        <f t="shared" si="58"/>
        <v>Y</v>
      </c>
      <c r="W173" s="18">
        <v>2.169</v>
      </c>
      <c r="X173" s="18">
        <f t="shared" si="55"/>
        <v>0.53422263393596936</v>
      </c>
      <c r="Y173" s="18">
        <v>0.53422263393596936</v>
      </c>
      <c r="Z173" s="18">
        <v>0.38154712339066921</v>
      </c>
      <c r="AA173" s="18">
        <f t="shared" si="69"/>
        <v>-0.96352091454717526</v>
      </c>
      <c r="AB173" s="18">
        <f t="shared" si="70"/>
        <v>-0.76404751424528417</v>
      </c>
      <c r="AC173" s="18">
        <f t="shared" si="71"/>
        <v>-478.53645477551129</v>
      </c>
    </row>
    <row r="174" spans="1:29" x14ac:dyDescent="0.25">
      <c r="A174" s="13" t="str">
        <f t="shared" si="72"/>
        <v/>
      </c>
      <c r="B174" s="30">
        <f>IF(B173=$C$9,$C$6,IF(OR(ISNA(B173),B173=$C$6),NA(),Main!A141))</f>
        <v>140</v>
      </c>
      <c r="C174" s="29">
        <f>IF(ISNA(B174),NA(),IF(B174=$C$6,$C$19,Main!C141))</f>
        <v>0.2410000000000001</v>
      </c>
      <c r="D174" s="19">
        <f t="shared" si="73"/>
        <v>0.38147138964577659</v>
      </c>
      <c r="E174" s="18">
        <f t="shared" si="74"/>
        <v>3.695507917824415E-2</v>
      </c>
      <c r="F174" s="18">
        <f t="shared" si="75"/>
        <v>1.4550285511538661</v>
      </c>
      <c r="G174" s="18">
        <f t="shared" si="76"/>
        <v>0.19920906370300154</v>
      </c>
      <c r="H174" s="18">
        <f t="shared" si="77"/>
        <v>4.1045895851106132E-3</v>
      </c>
      <c r="I174" s="18">
        <f t="shared" si="59"/>
        <v>0.19393663303630049</v>
      </c>
      <c r="J174" s="18">
        <f t="shared" si="60"/>
        <v>0.20448149436970259</v>
      </c>
      <c r="K174" s="18">
        <f t="shared" si="61"/>
        <v>0.19243777761388278</v>
      </c>
      <c r="L174" s="18">
        <f t="shared" si="62"/>
        <v>0.20598034979212029</v>
      </c>
      <c r="M174" s="18">
        <f t="shared" si="63"/>
        <v>0.19113723814889289</v>
      </c>
      <c r="N174" s="18">
        <f t="shared" si="64"/>
        <v>0.20728088925711019</v>
      </c>
      <c r="O174" s="18">
        <f t="shared" si="65"/>
        <v>0.18858133396533155</v>
      </c>
      <c r="P174" s="18">
        <f t="shared" si="66"/>
        <v>0.20983679344067152</v>
      </c>
      <c r="Q174" s="18">
        <f t="shared" si="78"/>
        <v>0.57839414832563019</v>
      </c>
      <c r="R174" s="18">
        <f t="shared" si="56"/>
        <v>0.60239331922498907</v>
      </c>
      <c r="S174" s="18">
        <f t="shared" si="57"/>
        <v>4.9462980116468606E-3</v>
      </c>
      <c r="T174" s="18">
        <f t="shared" si="67"/>
        <v>0.18948198774065</v>
      </c>
      <c r="U174" s="18">
        <f t="shared" si="68"/>
        <v>0.20893613966535307</v>
      </c>
      <c r="V174" s="40" t="str">
        <f t="shared" si="58"/>
        <v>Y</v>
      </c>
      <c r="W174" s="18">
        <v>2.169</v>
      </c>
      <c r="X174" s="18">
        <f t="shared" si="55"/>
        <v>0.53422263393596936</v>
      </c>
      <c r="Y174" s="18">
        <v>0.53422263393596936</v>
      </c>
      <c r="Z174" s="18">
        <v>0.38154712339066921</v>
      </c>
      <c r="AA174" s="18">
        <f t="shared" si="69"/>
        <v>-0.96352091454717526</v>
      </c>
      <c r="AB174" s="18">
        <f t="shared" si="70"/>
        <v>-0.76404751424528417</v>
      </c>
      <c r="AC174" s="18">
        <f t="shared" si="71"/>
        <v>-481.99159163309622</v>
      </c>
    </row>
    <row r="175" spans="1:29" x14ac:dyDescent="0.25">
      <c r="A175" s="13" t="str">
        <f t="shared" si="72"/>
        <v/>
      </c>
      <c r="B175" s="30">
        <f>IF(B174=$C$9,$C$6,IF(OR(ISNA(B174),B174=$C$6),NA(),Main!A142))</f>
        <v>141</v>
      </c>
      <c r="C175" s="29">
        <f>IF(ISNA(B175),NA(),IF(B175=$C$6,$C$19,Main!C142))</f>
        <v>0.2410000000000001</v>
      </c>
      <c r="D175" s="19">
        <f t="shared" si="73"/>
        <v>0.38419618528610355</v>
      </c>
      <c r="E175" s="18">
        <f t="shared" si="74"/>
        <v>4.4367901243782051E-2</v>
      </c>
      <c r="F175" s="18">
        <f t="shared" si="75"/>
        <v>1.4550285511538661</v>
      </c>
      <c r="G175" s="18">
        <f t="shared" si="76"/>
        <v>0.19975693746317785</v>
      </c>
      <c r="H175" s="18">
        <f t="shared" si="77"/>
        <v>4.1121761727605328E-3</v>
      </c>
      <c r="I175" s="18">
        <f t="shared" si="59"/>
        <v>0.19447476166689645</v>
      </c>
      <c r="J175" s="18">
        <f t="shared" si="60"/>
        <v>0.20503911325945925</v>
      </c>
      <c r="K175" s="18">
        <f t="shared" si="61"/>
        <v>0.19297313588271642</v>
      </c>
      <c r="L175" s="18">
        <f t="shared" si="62"/>
        <v>0.20654073904363929</v>
      </c>
      <c r="M175" s="18">
        <f t="shared" si="63"/>
        <v>0.19167019260695842</v>
      </c>
      <c r="N175" s="18">
        <f t="shared" si="64"/>
        <v>0.20784368231939729</v>
      </c>
      <c r="O175" s="18">
        <f t="shared" si="65"/>
        <v>0.18910956429916703</v>
      </c>
      <c r="P175" s="18">
        <f t="shared" si="66"/>
        <v>0.21040431062718867</v>
      </c>
      <c r="Q175" s="18">
        <f t="shared" si="78"/>
        <v>0.57839414832563019</v>
      </c>
      <c r="R175" s="18">
        <f t="shared" si="56"/>
        <v>0.60239331922498907</v>
      </c>
      <c r="S175" s="18">
        <f t="shared" si="57"/>
        <v>4.9462980116468606E-3</v>
      </c>
      <c r="T175" s="18">
        <f t="shared" si="67"/>
        <v>0.19002986150082632</v>
      </c>
      <c r="U175" s="18">
        <f t="shared" si="68"/>
        <v>0.20948401342552939</v>
      </c>
      <c r="V175" s="40" t="str">
        <f t="shared" si="58"/>
        <v>Y</v>
      </c>
      <c r="W175" s="18">
        <v>2.169</v>
      </c>
      <c r="X175" s="18">
        <f t="shared" si="55"/>
        <v>0.53422263393596936</v>
      </c>
      <c r="Y175" s="18">
        <v>0.53422263393596936</v>
      </c>
      <c r="Z175" s="18">
        <v>0.38154712339066921</v>
      </c>
      <c r="AA175" s="18">
        <f t="shared" si="69"/>
        <v>-0.96352091454717526</v>
      </c>
      <c r="AB175" s="18">
        <f t="shared" si="70"/>
        <v>-0.76404751424528417</v>
      </c>
      <c r="AC175" s="18">
        <f t="shared" si="71"/>
        <v>-485.44672849068115</v>
      </c>
    </row>
    <row r="176" spans="1:29" x14ac:dyDescent="0.25">
      <c r="A176" s="13" t="str">
        <f t="shared" si="72"/>
        <v/>
      </c>
      <c r="B176" s="30">
        <f>IF(B175=$C$9,$C$6,IF(OR(ISNA(B175),B175=$C$6),NA(),Main!A143))</f>
        <v>142</v>
      </c>
      <c r="C176" s="29">
        <f>IF(ISNA(B176),NA(),IF(B176=$C$6,$C$19,Main!C143))</f>
        <v>0.2410000000000001</v>
      </c>
      <c r="D176" s="19">
        <f t="shared" si="73"/>
        <v>0.38692098092643051</v>
      </c>
      <c r="E176" s="18">
        <f t="shared" si="74"/>
        <v>5.1783108586616E-2</v>
      </c>
      <c r="F176" s="18">
        <f t="shared" si="75"/>
        <v>1.4550285511538661</v>
      </c>
      <c r="G176" s="18">
        <f t="shared" si="76"/>
        <v>0.20030498751665105</v>
      </c>
      <c r="H176" s="18">
        <f t="shared" si="77"/>
        <v>4.1198723161316297E-3</v>
      </c>
      <c r="I176" s="18">
        <f t="shared" si="59"/>
        <v>0.1950129258641875</v>
      </c>
      <c r="J176" s="18">
        <f t="shared" si="60"/>
        <v>0.20559704916911459</v>
      </c>
      <c r="K176" s="18">
        <f t="shared" si="61"/>
        <v>0.19350848971225101</v>
      </c>
      <c r="L176" s="18">
        <f t="shared" si="62"/>
        <v>0.20710148532105108</v>
      </c>
      <c r="M176" s="18">
        <f t="shared" si="63"/>
        <v>0.19220310791298786</v>
      </c>
      <c r="N176" s="18">
        <f t="shared" si="64"/>
        <v>0.20840686712031423</v>
      </c>
      <c r="O176" s="18">
        <f t="shared" si="65"/>
        <v>0.1896376872612528</v>
      </c>
      <c r="P176" s="18">
        <f t="shared" si="66"/>
        <v>0.21097228777204929</v>
      </c>
      <c r="Q176" s="18">
        <f t="shared" si="78"/>
        <v>0.57839414832563019</v>
      </c>
      <c r="R176" s="18">
        <f t="shared" si="56"/>
        <v>0.60239331922498907</v>
      </c>
      <c r="S176" s="18">
        <f t="shared" si="57"/>
        <v>4.9462980116468606E-3</v>
      </c>
      <c r="T176" s="18">
        <f t="shared" si="67"/>
        <v>0.19057791155429951</v>
      </c>
      <c r="U176" s="18">
        <f t="shared" si="68"/>
        <v>0.21003206347900258</v>
      </c>
      <c r="V176" s="40" t="str">
        <f t="shared" si="58"/>
        <v>Y</v>
      </c>
      <c r="W176" s="18">
        <v>2.169</v>
      </c>
      <c r="X176" s="18">
        <f t="shared" si="55"/>
        <v>0.53422263393596936</v>
      </c>
      <c r="Y176" s="18">
        <v>0.53422263393596936</v>
      </c>
      <c r="Z176" s="18">
        <v>0.53422263393596936</v>
      </c>
      <c r="AA176" s="18">
        <f t="shared" si="69"/>
        <v>-0.62694260942479874</v>
      </c>
      <c r="AB176" s="18">
        <f t="shared" si="70"/>
        <v>-0.76404751424528417</v>
      </c>
      <c r="AC176" s="18">
        <f t="shared" si="71"/>
        <v>-393.65020499863351</v>
      </c>
    </row>
    <row r="177" spans="1:29" x14ac:dyDescent="0.25">
      <c r="A177" s="13" t="str">
        <f t="shared" si="72"/>
        <v/>
      </c>
      <c r="B177" s="30">
        <f>IF(B176=$C$9,$C$6,IF(OR(ISNA(B176),B176=$C$6),NA(),Main!A144))</f>
        <v>143</v>
      </c>
      <c r="C177" s="29">
        <f>IF(ISNA(B177),NA(),IF(B177=$C$6,$C$19,Main!C144))</f>
        <v>0.2410000000000001</v>
      </c>
      <c r="D177" s="19">
        <f t="shared" si="73"/>
        <v>0.38964577656675747</v>
      </c>
      <c r="E177" s="18">
        <f t="shared" si="74"/>
        <v>5.9201091609683974E-2</v>
      </c>
      <c r="F177" s="18">
        <f t="shared" si="75"/>
        <v>1.4550285511538661</v>
      </c>
      <c r="G177" s="18">
        <f t="shared" si="76"/>
        <v>0.20085324271768523</v>
      </c>
      <c r="H177" s="18">
        <f t="shared" si="77"/>
        <v>4.1276779326679834E-3</v>
      </c>
      <c r="I177" s="18">
        <f t="shared" si="59"/>
        <v>0.19555115458848255</v>
      </c>
      <c r="J177" s="18">
        <f t="shared" si="60"/>
        <v>0.20615533084688792</v>
      </c>
      <c r="K177" s="18">
        <f t="shared" si="61"/>
        <v>0.19404386809294211</v>
      </c>
      <c r="L177" s="18">
        <f t="shared" si="62"/>
        <v>0.20766261734242836</v>
      </c>
      <c r="M177" s="18">
        <f t="shared" si="63"/>
        <v>0.19273601308359456</v>
      </c>
      <c r="N177" s="18">
        <f t="shared" si="64"/>
        <v>0.2089704723517759</v>
      </c>
      <c r="O177" s="18">
        <f t="shared" si="65"/>
        <v>0.19016573191960931</v>
      </c>
      <c r="P177" s="18">
        <f t="shared" si="66"/>
        <v>0.21154075351576115</v>
      </c>
      <c r="Q177" s="18">
        <f t="shared" si="78"/>
        <v>0.57839414832563019</v>
      </c>
      <c r="R177" s="18">
        <f t="shared" si="56"/>
        <v>0.60239331922498907</v>
      </c>
      <c r="S177" s="18">
        <f t="shared" si="57"/>
        <v>4.9462980116468606E-3</v>
      </c>
      <c r="T177" s="18">
        <f t="shared" si="67"/>
        <v>0.1911261667553337</v>
      </c>
      <c r="U177" s="18">
        <f t="shared" si="68"/>
        <v>0.21058031868003677</v>
      </c>
      <c r="V177" s="40" t="str">
        <f t="shared" si="58"/>
        <v>Y</v>
      </c>
      <c r="W177" s="18">
        <v>2.169</v>
      </c>
      <c r="X177" s="18">
        <f t="shared" si="55"/>
        <v>0.53422263393596936</v>
      </c>
      <c r="Y177" s="18">
        <v>0.53422263393596936</v>
      </c>
      <c r="Z177" s="18">
        <v>0.53422263393596936</v>
      </c>
      <c r="AA177" s="18">
        <f t="shared" si="69"/>
        <v>-0.62694260942479874</v>
      </c>
      <c r="AB177" s="18">
        <f t="shared" si="70"/>
        <v>-0.76404751424528417</v>
      </c>
      <c r="AC177" s="18">
        <f t="shared" si="71"/>
        <v>-396.43218524597364</v>
      </c>
    </row>
    <row r="178" spans="1:29" x14ac:dyDescent="0.25">
      <c r="A178" s="13" t="str">
        <f t="shared" si="72"/>
        <v/>
      </c>
      <c r="B178" s="30">
        <f>IF(B177=$C$9,$C$6,IF(OR(ISNA(B177),B177=$C$6),NA(),Main!A145))</f>
        <v>144</v>
      </c>
      <c r="C178" s="29">
        <f>IF(ISNA(B178),NA(),IF(B178=$C$6,$C$19,Main!C145))</f>
        <v>0.2410000000000001</v>
      </c>
      <c r="D178" s="19">
        <f t="shared" si="73"/>
        <v>0.39237057220708449</v>
      </c>
      <c r="E178" s="18">
        <f t="shared" si="74"/>
        <v>6.6622238859779789E-2</v>
      </c>
      <c r="F178" s="18">
        <f t="shared" si="75"/>
        <v>1.4550285511538661</v>
      </c>
      <c r="G178" s="18">
        <f t="shared" si="76"/>
        <v>0.20140173178335891</v>
      </c>
      <c r="H178" s="18">
        <f t="shared" si="77"/>
        <v>4.1355929552101683E-3</v>
      </c>
      <c r="I178" s="18">
        <f t="shared" si="59"/>
        <v>0.19608947664312779</v>
      </c>
      <c r="J178" s="18">
        <f t="shared" si="60"/>
        <v>0.20671398692359003</v>
      </c>
      <c r="K178" s="18">
        <f t="shared" si="61"/>
        <v>0.19457929985266018</v>
      </c>
      <c r="L178" s="18">
        <f t="shared" si="62"/>
        <v>0.20822416371405764</v>
      </c>
      <c r="M178" s="18">
        <f t="shared" si="63"/>
        <v>0.19326893696792852</v>
      </c>
      <c r="N178" s="18">
        <f t="shared" si="64"/>
        <v>0.20953452659878929</v>
      </c>
      <c r="O178" s="18">
        <f t="shared" si="65"/>
        <v>0.19069372716520627</v>
      </c>
      <c r="P178" s="18">
        <f t="shared" si="66"/>
        <v>0.21210973640151154</v>
      </c>
      <c r="Q178" s="18">
        <f t="shared" si="78"/>
        <v>0.57839414832563019</v>
      </c>
      <c r="R178" s="18">
        <f t="shared" si="56"/>
        <v>0.60239331922498907</v>
      </c>
      <c r="S178" s="18">
        <f t="shared" si="57"/>
        <v>4.9462980116468606E-3</v>
      </c>
      <c r="T178" s="18">
        <f t="shared" si="67"/>
        <v>0.19167465582100737</v>
      </c>
      <c r="U178" s="18">
        <f t="shared" si="68"/>
        <v>0.21112880774571044</v>
      </c>
      <c r="V178" s="40" t="str">
        <f t="shared" si="58"/>
        <v>Y</v>
      </c>
      <c r="W178" s="18">
        <v>2.169</v>
      </c>
      <c r="X178" s="18">
        <f t="shared" si="55"/>
        <v>0.53422263393596936</v>
      </c>
      <c r="Y178" s="18">
        <v>0.53422263393596936</v>
      </c>
      <c r="Z178" s="18">
        <v>0.53422263393596936</v>
      </c>
      <c r="AA178" s="18">
        <f t="shared" si="69"/>
        <v>-0.62694260942479874</v>
      </c>
      <c r="AB178" s="18">
        <f t="shared" si="70"/>
        <v>-0.76404751424528417</v>
      </c>
      <c r="AC178" s="18">
        <f t="shared" si="71"/>
        <v>-399.21416549331383</v>
      </c>
    </row>
    <row r="179" spans="1:29" x14ac:dyDescent="0.25">
      <c r="A179" s="13" t="str">
        <f t="shared" si="72"/>
        <v/>
      </c>
      <c r="B179" s="30">
        <f>IF(B178=$C$9,$C$6,IF(OR(ISNA(B178),B178=$C$6),NA(),Main!A146))</f>
        <v>145</v>
      </c>
      <c r="C179" s="29">
        <f>IF(ISNA(B179),NA(),IF(B179=$C$6,$C$19,Main!C146))</f>
        <v>0.2410000000000001</v>
      </c>
      <c r="D179" s="19">
        <f t="shared" si="73"/>
        <v>0.39509536784741145</v>
      </c>
      <c r="E179" s="18">
        <f t="shared" si="74"/>
        <v>7.4046937179782835E-2</v>
      </c>
      <c r="F179" s="18">
        <f t="shared" si="75"/>
        <v>1.4550285511538661</v>
      </c>
      <c r="G179" s="18">
        <f t="shared" si="76"/>
        <v>0.20195048330481602</v>
      </c>
      <c r="H179" s="18">
        <f t="shared" si="77"/>
        <v>4.1436173319080744E-3</v>
      </c>
      <c r="I179" s="18">
        <f t="shared" si="59"/>
        <v>0.19662792068586968</v>
      </c>
      <c r="J179" s="18">
        <f t="shared" si="60"/>
        <v>0.20727304592376236</v>
      </c>
      <c r="K179" s="18">
        <f t="shared" si="61"/>
        <v>0.19511481366808561</v>
      </c>
      <c r="L179" s="18">
        <f t="shared" si="62"/>
        <v>0.20878615294154643</v>
      </c>
      <c r="M179" s="18">
        <f t="shared" si="63"/>
        <v>0.19380190825909882</v>
      </c>
      <c r="N179" s="18">
        <f t="shared" si="64"/>
        <v>0.21009905835053322</v>
      </c>
      <c r="O179" s="18">
        <f t="shared" si="65"/>
        <v>0.19122170172343961</v>
      </c>
      <c r="P179" s="18">
        <f t="shared" si="66"/>
        <v>0.21267926488619243</v>
      </c>
      <c r="Q179" s="18">
        <f t="shared" si="78"/>
        <v>0.57839414832563019</v>
      </c>
      <c r="R179" s="18">
        <f t="shared" si="56"/>
        <v>0.60239331922498907</v>
      </c>
      <c r="S179" s="18">
        <f t="shared" si="57"/>
        <v>4.9462980116468606E-3</v>
      </c>
      <c r="T179" s="18">
        <f t="shared" si="67"/>
        <v>0.19222340734246449</v>
      </c>
      <c r="U179" s="18">
        <f t="shared" si="68"/>
        <v>0.21167755926716755</v>
      </c>
      <c r="V179" s="40" t="str">
        <f t="shared" si="58"/>
        <v>Y</v>
      </c>
      <c r="W179" s="18">
        <v>2.169</v>
      </c>
      <c r="X179" s="18">
        <f t="shared" si="55"/>
        <v>0.53422263393596936</v>
      </c>
      <c r="Y179" s="18">
        <v>0.53422263393596936</v>
      </c>
      <c r="Z179" s="18">
        <v>0.53422263393596936</v>
      </c>
      <c r="AA179" s="18">
        <f t="shared" si="69"/>
        <v>-0.62694260942479874</v>
      </c>
      <c r="AB179" s="18">
        <f t="shared" si="70"/>
        <v>-0.76404751424528417</v>
      </c>
      <c r="AC179" s="18">
        <f t="shared" si="71"/>
        <v>-401.99614574065401</v>
      </c>
    </row>
    <row r="180" spans="1:29" x14ac:dyDescent="0.25">
      <c r="A180" s="13" t="str">
        <f t="shared" si="72"/>
        <v/>
      </c>
      <c r="B180" s="30">
        <f>IF(B179=$C$9,$C$6,IF(OR(ISNA(B179),B179=$C$6),NA(),Main!A147))</f>
        <v>146</v>
      </c>
      <c r="C180" s="29">
        <f>IF(ISNA(B180),NA(),IF(B180=$C$6,$C$19,Main!C147))</f>
        <v>0.2410000000000001</v>
      </c>
      <c r="D180" s="19">
        <f t="shared" si="73"/>
        <v>0.39782016348773841</v>
      </c>
      <c r="E180" s="18">
        <f t="shared" si="74"/>
        <v>8.1475571858209E-2</v>
      </c>
      <c r="F180" s="18">
        <f t="shared" si="75"/>
        <v>1.4550285511538661</v>
      </c>
      <c r="G180" s="18">
        <f t="shared" si="76"/>
        <v>0.20249952575831917</v>
      </c>
      <c r="H180" s="18">
        <f t="shared" si="77"/>
        <v>4.1517510261436328E-3</v>
      </c>
      <c r="I180" s="18">
        <f t="shared" si="59"/>
        <v>0.19716651524000753</v>
      </c>
      <c r="J180" s="18">
        <f t="shared" si="60"/>
        <v>0.20783253627663081</v>
      </c>
      <c r="K180" s="18">
        <f t="shared" si="61"/>
        <v>0.19565043807588933</v>
      </c>
      <c r="L180" s="18">
        <f t="shared" si="62"/>
        <v>0.20934861344074901</v>
      </c>
      <c r="M180" s="18">
        <f t="shared" si="63"/>
        <v>0.1943349555053788</v>
      </c>
      <c r="N180" s="18">
        <f t="shared" si="64"/>
        <v>0.21066409601125954</v>
      </c>
      <c r="O180" s="18">
        <f t="shared" si="65"/>
        <v>0.19174968416538449</v>
      </c>
      <c r="P180" s="18">
        <f t="shared" si="66"/>
        <v>0.21324936735125385</v>
      </c>
      <c r="Q180" s="18">
        <f t="shared" si="78"/>
        <v>0.57839414832563019</v>
      </c>
      <c r="R180" s="18">
        <f t="shared" si="56"/>
        <v>0.60239331922498907</v>
      </c>
      <c r="S180" s="18">
        <f t="shared" si="57"/>
        <v>4.9462980116468606E-3</v>
      </c>
      <c r="T180" s="18">
        <f t="shared" si="67"/>
        <v>0.19277244979596764</v>
      </c>
      <c r="U180" s="18">
        <f t="shared" si="68"/>
        <v>0.2122266017206707</v>
      </c>
      <c r="V180" s="40" t="str">
        <f t="shared" si="58"/>
        <v>Y</v>
      </c>
      <c r="W180" s="18">
        <v>2.169</v>
      </c>
      <c r="X180" s="18">
        <f t="shared" si="55"/>
        <v>0.53422263393596936</v>
      </c>
      <c r="Y180" s="18">
        <v>0.53422263393596936</v>
      </c>
      <c r="Z180" s="18">
        <v>0.53422263393596936</v>
      </c>
      <c r="AA180" s="18">
        <f t="shared" si="69"/>
        <v>-0.62694260942479874</v>
      </c>
      <c r="AB180" s="18">
        <f t="shared" si="70"/>
        <v>-0.76404751424528417</v>
      </c>
      <c r="AC180" s="18">
        <f t="shared" si="71"/>
        <v>-404.77812598799414</v>
      </c>
    </row>
    <row r="181" spans="1:29" x14ac:dyDescent="0.25">
      <c r="A181" s="13" t="str">
        <f t="shared" si="72"/>
        <v/>
      </c>
      <c r="B181" s="30">
        <f>IF(B180=$C$9,$C$6,IF(OR(ISNA(B180),B180=$C$6),NA(),Main!A148))</f>
        <v>147</v>
      </c>
      <c r="C181" s="29">
        <f>IF(ISNA(B181),NA(),IF(B181=$C$6,$C$19,Main!C148))</f>
        <v>0.2410000000000001</v>
      </c>
      <c r="D181" s="19">
        <f t="shared" si="73"/>
        <v>0.40054495912806537</v>
      </c>
      <c r="E181" s="18">
        <f t="shared" si="74"/>
        <v>8.8908526776249747E-2</v>
      </c>
      <c r="F181" s="18">
        <f t="shared" si="75"/>
        <v>1.4550285511538661</v>
      </c>
      <c r="G181" s="18">
        <f t="shared" si="76"/>
        <v>0.20304888751611722</v>
      </c>
      <c r="H181" s="18">
        <f t="shared" si="77"/>
        <v>4.1599940164632051E-3</v>
      </c>
      <c r="I181" s="18">
        <f t="shared" si="59"/>
        <v>0.19770528870534781</v>
      </c>
      <c r="J181" s="18">
        <f t="shared" si="60"/>
        <v>0.20839248632688662</v>
      </c>
      <c r="K181" s="18">
        <f t="shared" si="61"/>
        <v>0.19618620148371199</v>
      </c>
      <c r="L181" s="18">
        <f t="shared" si="62"/>
        <v>0.20991157354852244</v>
      </c>
      <c r="M181" s="18">
        <f t="shared" si="63"/>
        <v>0.19486810712120672</v>
      </c>
      <c r="N181" s="18">
        <f t="shared" si="64"/>
        <v>0.21122966791102771</v>
      </c>
      <c r="O181" s="18">
        <f t="shared" si="65"/>
        <v>0.19227770291883822</v>
      </c>
      <c r="P181" s="18">
        <f t="shared" si="66"/>
        <v>0.21382007211339621</v>
      </c>
      <c r="Q181" s="18">
        <f t="shared" si="78"/>
        <v>0.57839414832563019</v>
      </c>
      <c r="R181" s="18">
        <f t="shared" si="56"/>
        <v>0.60239331922498907</v>
      </c>
      <c r="S181" s="18">
        <f t="shared" si="57"/>
        <v>4.9462980116468606E-3</v>
      </c>
      <c r="T181" s="18">
        <f t="shared" si="67"/>
        <v>0.19332181155376568</v>
      </c>
      <c r="U181" s="18">
        <f t="shared" si="68"/>
        <v>0.21277596347846875</v>
      </c>
      <c r="V181" s="40" t="str">
        <f t="shared" si="58"/>
        <v>Y</v>
      </c>
      <c r="W181" s="18">
        <v>2.169</v>
      </c>
      <c r="X181" s="18">
        <f t="shared" si="55"/>
        <v>0.53422263393596936</v>
      </c>
      <c r="Y181" s="18">
        <v>0.53422263393596936</v>
      </c>
      <c r="Z181" s="18">
        <v>0.53422263393596936</v>
      </c>
      <c r="AA181" s="18">
        <f t="shared" si="69"/>
        <v>-0.62694260942479874</v>
      </c>
      <c r="AB181" s="18">
        <f t="shared" si="70"/>
        <v>-0.76404751424528417</v>
      </c>
      <c r="AC181" s="18">
        <f t="shared" si="71"/>
        <v>-407.56010623533433</v>
      </c>
    </row>
    <row r="182" spans="1:29" x14ac:dyDescent="0.25">
      <c r="A182" s="13" t="str">
        <f t="shared" si="72"/>
        <v/>
      </c>
      <c r="B182" s="30">
        <f>IF(B181=$C$9,$C$6,IF(OR(ISNA(B181),B181=$C$6),NA(),Main!A149))</f>
        <v>148</v>
      </c>
      <c r="C182" s="29">
        <f>IF(ISNA(B182),NA(),IF(B182=$C$6,$C$19,Main!C149))</f>
        <v>0.2410000000000001</v>
      </c>
      <c r="D182" s="19">
        <f t="shared" si="73"/>
        <v>0.40326975476839239</v>
      </c>
      <c r="E182" s="18">
        <f t="shared" si="74"/>
        <v>9.6346184552466255E-2</v>
      </c>
      <c r="F182" s="18">
        <f t="shared" si="75"/>
        <v>1.4550285511538661</v>
      </c>
      <c r="G182" s="18">
        <f t="shared" si="76"/>
        <v>0.20359859685713921</v>
      </c>
      <c r="H182" s="18">
        <f t="shared" si="77"/>
        <v>4.1683462965194599E-3</v>
      </c>
      <c r="I182" s="18">
        <f t="shared" si="59"/>
        <v>0.19824426936897288</v>
      </c>
      <c r="J182" s="18">
        <f t="shared" si="60"/>
        <v>0.20895292434530555</v>
      </c>
      <c r="K182" s="18">
        <f t="shared" si="61"/>
        <v>0.19672213218095375</v>
      </c>
      <c r="L182" s="18">
        <f t="shared" si="62"/>
        <v>0.21047506153332468</v>
      </c>
      <c r="M182" s="18">
        <f t="shared" si="63"/>
        <v>0.19540139139799387</v>
      </c>
      <c r="N182" s="18">
        <f t="shared" si="64"/>
        <v>0.21179580231628456</v>
      </c>
      <c r="O182" s="18">
        <f t="shared" si="65"/>
        <v>0.19280578627916456</v>
      </c>
      <c r="P182" s="18">
        <f t="shared" si="66"/>
        <v>0.21439140743511387</v>
      </c>
      <c r="Q182" s="18">
        <f t="shared" si="78"/>
        <v>0.57839414832563019</v>
      </c>
      <c r="R182" s="18">
        <f t="shared" si="56"/>
        <v>0.60239331922498907</v>
      </c>
      <c r="S182" s="18">
        <f t="shared" si="57"/>
        <v>4.9462980116468606E-3</v>
      </c>
      <c r="T182" s="18">
        <f t="shared" si="67"/>
        <v>0.19387152089478768</v>
      </c>
      <c r="U182" s="18">
        <f t="shared" si="68"/>
        <v>0.21332567281949075</v>
      </c>
      <c r="V182" s="40" t="str">
        <f t="shared" si="58"/>
        <v>Y</v>
      </c>
      <c r="W182" s="18">
        <v>2.169</v>
      </c>
      <c r="X182" s="18">
        <f t="shared" si="55"/>
        <v>0.53422263393596936</v>
      </c>
      <c r="Y182" s="18">
        <v>0.53422263393596936</v>
      </c>
      <c r="Z182" s="18">
        <v>0.53422263393596936</v>
      </c>
      <c r="AA182" s="18">
        <f t="shared" si="69"/>
        <v>-0.62694260942479874</v>
      </c>
      <c r="AB182" s="18">
        <f t="shared" si="70"/>
        <v>-0.76404751424528417</v>
      </c>
      <c r="AC182" s="18">
        <f t="shared" si="71"/>
        <v>-410.34208648267446</v>
      </c>
    </row>
    <row r="183" spans="1:29" x14ac:dyDescent="0.25">
      <c r="A183" s="13" t="str">
        <f t="shared" si="72"/>
        <v/>
      </c>
      <c r="B183" s="30">
        <f>IF(B182=$C$9,$C$6,IF(OR(ISNA(B182),B182=$C$6),NA(),Main!A150))</f>
        <v>149</v>
      </c>
      <c r="C183" s="29">
        <f>IF(ISNA(B183),NA(),IF(B183=$C$6,$C$19,Main!C150))</f>
        <v>0.2410000000000001</v>
      </c>
      <c r="D183" s="19">
        <f t="shared" si="73"/>
        <v>0.40599455040871935</v>
      </c>
      <c r="E183" s="18">
        <f t="shared" si="74"/>
        <v>0.10378892668529331</v>
      </c>
      <c r="F183" s="18">
        <f t="shared" si="75"/>
        <v>1.4550285511538661</v>
      </c>
      <c r="G183" s="18">
        <f t="shared" si="76"/>
        <v>0.204148681977527</v>
      </c>
      <c r="H183" s="18">
        <f t="shared" si="77"/>
        <v>4.1768078750225165E-3</v>
      </c>
      <c r="I183" s="18">
        <f t="shared" si="59"/>
        <v>0.19878348541583624</v>
      </c>
      <c r="J183" s="18">
        <f t="shared" si="60"/>
        <v>0.20951387853921777</v>
      </c>
      <c r="K183" s="18">
        <f t="shared" si="61"/>
        <v>0.19725825834938748</v>
      </c>
      <c r="L183" s="18">
        <f t="shared" si="62"/>
        <v>0.21103910560566652</v>
      </c>
      <c r="M183" s="18">
        <f t="shared" si="63"/>
        <v>0.19593483651475332</v>
      </c>
      <c r="N183" s="18">
        <f t="shared" si="64"/>
        <v>0.21236252744030068</v>
      </c>
      <c r="O183" s="18">
        <f t="shared" si="65"/>
        <v>0.19333396241995285</v>
      </c>
      <c r="P183" s="18">
        <f t="shared" si="66"/>
        <v>0.21496340153510116</v>
      </c>
      <c r="Q183" s="18">
        <f t="shared" si="78"/>
        <v>0.57839414832563019</v>
      </c>
      <c r="R183" s="18">
        <f t="shared" si="56"/>
        <v>0.60239331922498907</v>
      </c>
      <c r="S183" s="18">
        <f t="shared" si="57"/>
        <v>4.9462980116468606E-3</v>
      </c>
      <c r="T183" s="18">
        <f t="shared" si="67"/>
        <v>0.19442160601517547</v>
      </c>
      <c r="U183" s="18">
        <f t="shared" si="68"/>
        <v>0.21387575793987854</v>
      </c>
      <c r="V183" s="40" t="str">
        <f t="shared" si="58"/>
        <v>Y</v>
      </c>
      <c r="W183" s="18">
        <v>2.169</v>
      </c>
      <c r="X183" s="18">
        <f t="shared" si="55"/>
        <v>0.53422263393596936</v>
      </c>
      <c r="Y183" s="18">
        <v>0.53422263393596936</v>
      </c>
      <c r="Z183" s="18">
        <v>0.53422263393596936</v>
      </c>
      <c r="AA183" s="18">
        <f t="shared" si="69"/>
        <v>-0.62694260942479874</v>
      </c>
      <c r="AB183" s="18">
        <f t="shared" si="70"/>
        <v>-0.76404751424528417</v>
      </c>
      <c r="AC183" s="18">
        <f t="shared" si="71"/>
        <v>-413.12406673001465</v>
      </c>
    </row>
    <row r="184" spans="1:29" x14ac:dyDescent="0.25">
      <c r="A184" s="13" t="str">
        <f t="shared" si="72"/>
        <v/>
      </c>
      <c r="B184" s="30">
        <f>IF(B183=$C$9,$C$6,IF(OR(ISNA(B183),B183=$C$6),NA(),Main!A151))</f>
        <v>150</v>
      </c>
      <c r="C184" s="29">
        <f>IF(ISNA(B184),NA(),IF(B184=$C$6,$C$19,Main!C151))</f>
        <v>0.2410000000000001</v>
      </c>
      <c r="D184" s="19">
        <f t="shared" si="73"/>
        <v>0.40871934604904631</v>
      </c>
      <c r="E184" s="18">
        <f t="shared" si="74"/>
        <v>0.11123713369351067</v>
      </c>
      <c r="F184" s="18">
        <f t="shared" si="75"/>
        <v>1.4550285511538661</v>
      </c>
      <c r="G184" s="18">
        <f t="shared" si="76"/>
        <v>0.20469917100101706</v>
      </c>
      <c r="H184" s="18">
        <f t="shared" si="77"/>
        <v>4.1853787757001994E-3</v>
      </c>
      <c r="I184" s="18">
        <f t="shared" si="59"/>
        <v>0.19932296493919546</v>
      </c>
      <c r="J184" s="18">
        <f t="shared" si="60"/>
        <v>0.21007537706283866</v>
      </c>
      <c r="K184" s="18">
        <f t="shared" si="61"/>
        <v>0.19779460807360616</v>
      </c>
      <c r="L184" s="18">
        <f t="shared" si="62"/>
        <v>0.21160373392842796</v>
      </c>
      <c r="M184" s="18">
        <f t="shared" si="63"/>
        <v>0.19646847054855993</v>
      </c>
      <c r="N184" s="18">
        <f t="shared" si="64"/>
        <v>0.2129298714534742</v>
      </c>
      <c r="O184" s="18">
        <f t="shared" si="65"/>
        <v>0.19386225940350271</v>
      </c>
      <c r="P184" s="18">
        <f t="shared" si="66"/>
        <v>0.21553608259853141</v>
      </c>
      <c r="Q184" s="18">
        <f t="shared" si="78"/>
        <v>0.57839414832563019</v>
      </c>
      <c r="R184" s="18">
        <f t="shared" si="56"/>
        <v>0.60239331922498907</v>
      </c>
      <c r="S184" s="18">
        <f t="shared" si="57"/>
        <v>4.9462980116468606E-3</v>
      </c>
      <c r="T184" s="18">
        <f t="shared" si="67"/>
        <v>0.19497209503866553</v>
      </c>
      <c r="U184" s="18">
        <f t="shared" si="68"/>
        <v>0.21442624696336859</v>
      </c>
      <c r="V184" s="40" t="str">
        <f t="shared" si="58"/>
        <v>Y</v>
      </c>
      <c r="W184" s="18">
        <v>2.169</v>
      </c>
      <c r="X184" s="18">
        <f t="shared" si="55"/>
        <v>0.53422263393596936</v>
      </c>
      <c r="Y184" s="18">
        <v>0.53422263393596936</v>
      </c>
      <c r="Z184" s="18">
        <v>0.53422263393596936</v>
      </c>
      <c r="AA184" s="18">
        <f t="shared" si="69"/>
        <v>-0.62694260942479874</v>
      </c>
      <c r="AB184" s="18">
        <f t="shared" si="70"/>
        <v>-0.76404751424528417</v>
      </c>
      <c r="AC184" s="18">
        <f t="shared" si="71"/>
        <v>-415.90604697735483</v>
      </c>
    </row>
    <row r="185" spans="1:29" x14ac:dyDescent="0.25">
      <c r="A185" s="13" t="str">
        <f t="shared" si="72"/>
        <v/>
      </c>
      <c r="B185" s="30">
        <f>IF(B184=$C$9,$C$6,IF(OR(ISNA(B184),B184=$C$6),NA(),Main!A152))</f>
        <v>151</v>
      </c>
      <c r="C185" s="29">
        <f>IF(ISNA(B185),NA(),IF(B185=$C$6,$C$19,Main!C152))</f>
        <v>0.2410000000000001</v>
      </c>
      <c r="D185" s="19">
        <f t="shared" si="73"/>
        <v>0.41144414168937332</v>
      </c>
      <c r="E185" s="18">
        <f t="shared" si="74"/>
        <v>0.11869118525482614</v>
      </c>
      <c r="F185" s="18">
        <f t="shared" si="75"/>
        <v>1.4550285511538661</v>
      </c>
      <c r="G185" s="18">
        <f t="shared" si="76"/>
        <v>0.2052500919891832</v>
      </c>
      <c r="H185" s="18">
        <f t="shared" si="77"/>
        <v>4.1940590372672379E-3</v>
      </c>
      <c r="I185" s="18">
        <f t="shared" si="59"/>
        <v>0.19986273595089452</v>
      </c>
      <c r="J185" s="18">
        <f t="shared" si="60"/>
        <v>0.21063744802747189</v>
      </c>
      <c r="K185" s="18">
        <f t="shared" si="61"/>
        <v>0.19833120935131648</v>
      </c>
      <c r="L185" s="18">
        <f t="shared" si="62"/>
        <v>0.21216897462704992</v>
      </c>
      <c r="M185" s="18">
        <f t="shared" si="63"/>
        <v>0.19700232148485355</v>
      </c>
      <c r="N185" s="18">
        <f t="shared" si="64"/>
        <v>0.21349786249351285</v>
      </c>
      <c r="O185" s="18">
        <f t="shared" si="65"/>
        <v>0.19439070519114665</v>
      </c>
      <c r="P185" s="18">
        <f t="shared" si="66"/>
        <v>0.21610947878721976</v>
      </c>
      <c r="Q185" s="18">
        <f t="shared" si="78"/>
        <v>0.57839414832563019</v>
      </c>
      <c r="R185" s="18">
        <f t="shared" si="56"/>
        <v>0.60239331922498907</v>
      </c>
      <c r="S185" s="18">
        <f t="shared" si="57"/>
        <v>4.9462980116468606E-3</v>
      </c>
      <c r="T185" s="18">
        <f t="shared" si="67"/>
        <v>0.19552301602683167</v>
      </c>
      <c r="U185" s="18">
        <f t="shared" si="68"/>
        <v>0.21497716795153474</v>
      </c>
      <c r="V185" s="40" t="str">
        <f t="shared" si="58"/>
        <v>Y</v>
      </c>
      <c r="W185" s="18">
        <v>2.169</v>
      </c>
      <c r="X185" s="18">
        <f t="shared" si="55"/>
        <v>0.53422263393596936</v>
      </c>
      <c r="Y185" s="18">
        <v>0.53422263393596936</v>
      </c>
      <c r="Z185" s="18">
        <v>0.53422263393596936</v>
      </c>
      <c r="AA185" s="18">
        <f t="shared" si="69"/>
        <v>-0.62694260942479874</v>
      </c>
      <c r="AB185" s="18">
        <f t="shared" si="70"/>
        <v>-0.76404751424528417</v>
      </c>
      <c r="AC185" s="18">
        <f t="shared" si="71"/>
        <v>-418.68802722469496</v>
      </c>
    </row>
    <row r="186" spans="1:29" x14ac:dyDescent="0.25">
      <c r="A186" s="13" t="str">
        <f t="shared" si="72"/>
        <v/>
      </c>
      <c r="B186" s="30">
        <f>IF(B185=$C$9,$C$6,IF(OR(ISNA(B185),B185=$C$6),NA(),Main!A153))</f>
        <v>152</v>
      </c>
      <c r="C186" s="29">
        <f>IF(ISNA(B186),NA(),IF(B186=$C$6,$C$19,Main!C153))</f>
        <v>0.2410000000000001</v>
      </c>
      <c r="D186" s="19">
        <f t="shared" si="73"/>
        <v>0.41416893732970028</v>
      </c>
      <c r="E186" s="18">
        <f t="shared" si="74"/>
        <v>0.12615146034271646</v>
      </c>
      <c r="F186" s="18">
        <f t="shared" si="75"/>
        <v>1.4550285511538661</v>
      </c>
      <c r="G186" s="18">
        <f t="shared" si="76"/>
        <v>0.20580147295155024</v>
      </c>
      <c r="H186" s="18">
        <f t="shared" si="77"/>
        <v>4.2028487134032596E-3</v>
      </c>
      <c r="I186" s="18">
        <f t="shared" si="59"/>
        <v>0.20040282639150561</v>
      </c>
      <c r="J186" s="18">
        <f t="shared" si="60"/>
        <v>0.21120011951159487</v>
      </c>
      <c r="K186" s="18">
        <f t="shared" si="61"/>
        <v>0.19886809010348866</v>
      </c>
      <c r="L186" s="18">
        <f t="shared" si="62"/>
        <v>0.21273485579961182</v>
      </c>
      <c r="M186" s="18">
        <f t="shared" si="63"/>
        <v>0.1975364172275961</v>
      </c>
      <c r="N186" s="18">
        <f t="shared" si="64"/>
        <v>0.21406652867550438</v>
      </c>
      <c r="O186" s="18">
        <f t="shared" si="65"/>
        <v>0.19491932765342049</v>
      </c>
      <c r="P186" s="18">
        <f t="shared" si="66"/>
        <v>0.21668361824967999</v>
      </c>
      <c r="Q186" s="18">
        <f t="shared" si="78"/>
        <v>0.57839414832563019</v>
      </c>
      <c r="R186" s="18">
        <f t="shared" si="56"/>
        <v>0.60239331922498907</v>
      </c>
      <c r="S186" s="18">
        <f t="shared" si="57"/>
        <v>4.9462980116468606E-3</v>
      </c>
      <c r="T186" s="18">
        <f t="shared" si="67"/>
        <v>0.19607439698919871</v>
      </c>
      <c r="U186" s="18">
        <f t="shared" si="68"/>
        <v>0.21552854891390177</v>
      </c>
      <c r="V186" s="40" t="str">
        <f t="shared" si="58"/>
        <v>Y</v>
      </c>
      <c r="W186" s="18">
        <v>2.169</v>
      </c>
      <c r="X186" s="18">
        <f t="shared" si="55"/>
        <v>0.53422263393596936</v>
      </c>
      <c r="Y186" s="18">
        <v>0.53422263393596936</v>
      </c>
      <c r="Z186" s="18">
        <v>0.53422263393596936</v>
      </c>
      <c r="AA186" s="18">
        <f t="shared" si="69"/>
        <v>-0.62694260942479874</v>
      </c>
      <c r="AB186" s="18">
        <f t="shared" si="70"/>
        <v>-0.76404751424528417</v>
      </c>
      <c r="AC186" s="18">
        <f t="shared" si="71"/>
        <v>-421.47000747203515</v>
      </c>
    </row>
    <row r="187" spans="1:29" x14ac:dyDescent="0.25">
      <c r="A187" s="13" t="str">
        <f t="shared" si="72"/>
        <v/>
      </c>
      <c r="B187" s="30">
        <f>IF(B186=$C$9,$C$6,IF(OR(ISNA(B186),B186=$C$6),NA(),Main!A154))</f>
        <v>153</v>
      </c>
      <c r="C187" s="29">
        <f>IF(ISNA(B187),NA(),IF(B187=$C$6,$C$19,Main!C154))</f>
        <v>0.2410000000000001</v>
      </c>
      <c r="D187" s="19">
        <f t="shared" si="73"/>
        <v>0.41689373297002724</v>
      </c>
      <c r="E187" s="18">
        <f t="shared" si="74"/>
        <v>0.13361833736166695</v>
      </c>
      <c r="F187" s="18">
        <f t="shared" si="75"/>
        <v>1.4550285511538661</v>
      </c>
      <c r="G187" s="18">
        <f t="shared" si="76"/>
        <v>0.20635334185558951</v>
      </c>
      <c r="H187" s="18">
        <f t="shared" si="77"/>
        <v>4.2117478727394519E-3</v>
      </c>
      <c r="I187" s="18">
        <f t="shared" si="59"/>
        <v>0.20094326414034189</v>
      </c>
      <c r="J187" s="18">
        <f t="shared" si="60"/>
        <v>0.21176341957083714</v>
      </c>
      <c r="K187" s="18">
        <f t="shared" si="61"/>
        <v>0.19940527818437412</v>
      </c>
      <c r="L187" s="18">
        <f t="shared" si="62"/>
        <v>0.2133014055268049</v>
      </c>
      <c r="M187" s="18">
        <f t="shared" si="63"/>
        <v>0.19807078560929312</v>
      </c>
      <c r="N187" s="18">
        <f t="shared" si="64"/>
        <v>0.21463589810188591</v>
      </c>
      <c r="O187" s="18">
        <f t="shared" si="65"/>
        <v>0.1954481545800936</v>
      </c>
      <c r="P187" s="18">
        <f t="shared" si="66"/>
        <v>0.21725852913108543</v>
      </c>
      <c r="Q187" s="18">
        <f t="shared" si="78"/>
        <v>0.57839414832563019</v>
      </c>
      <c r="R187" s="18">
        <f t="shared" si="56"/>
        <v>0.60239331922498907</v>
      </c>
      <c r="S187" s="18">
        <f t="shared" si="57"/>
        <v>4.9462980116468606E-3</v>
      </c>
      <c r="T187" s="18">
        <f t="shared" si="67"/>
        <v>0.19662626589323798</v>
      </c>
      <c r="U187" s="18">
        <f t="shared" si="68"/>
        <v>0.21608041781794105</v>
      </c>
      <c r="V187" s="40" t="str">
        <f t="shared" si="58"/>
        <v>Y</v>
      </c>
      <c r="W187" s="18">
        <v>2.169</v>
      </c>
      <c r="X187" s="18">
        <f t="shared" si="55"/>
        <v>0.53422263393596936</v>
      </c>
      <c r="Y187" s="18">
        <v>0.53422263393596936</v>
      </c>
      <c r="Z187" s="18">
        <v>0.53422263393596936</v>
      </c>
      <c r="AA187" s="18">
        <f t="shared" si="69"/>
        <v>-0.62694260942479874</v>
      </c>
      <c r="AB187" s="18">
        <f t="shared" si="70"/>
        <v>-0.76404751424528417</v>
      </c>
      <c r="AC187" s="18">
        <f t="shared" si="71"/>
        <v>-424.25198771937534</v>
      </c>
    </row>
    <row r="188" spans="1:29" x14ac:dyDescent="0.25">
      <c r="A188" s="13" t="str">
        <f t="shared" si="72"/>
        <v/>
      </c>
      <c r="B188" s="30">
        <f>IF(B187=$C$9,$C$6,IF(OR(ISNA(B187),B187=$C$6),NA(),Main!A155))</f>
        <v>154</v>
      </c>
      <c r="C188" s="29">
        <f>IF(ISNA(B188),NA(),IF(B188=$C$6,$C$19,Main!C155))</f>
        <v>0.2410000000000001</v>
      </c>
      <c r="D188" s="19">
        <f t="shared" si="73"/>
        <v>0.4196185286103542</v>
      </c>
      <c r="E188" s="18">
        <f t="shared" si="74"/>
        <v>0.14109219428094424</v>
      </c>
      <c r="F188" s="18">
        <f t="shared" si="75"/>
        <v>1.4550285511538661</v>
      </c>
      <c r="G188" s="18">
        <f t="shared" si="76"/>
        <v>0.2069057266366057</v>
      </c>
      <c r="H188" s="18">
        <f t="shared" si="77"/>
        <v>4.2207565988537686E-3</v>
      </c>
      <c r="I188" s="18">
        <f t="shared" si="59"/>
        <v>0.2014840770253504</v>
      </c>
      <c r="J188" s="18">
        <f t="shared" si="60"/>
        <v>0.21232737624786099</v>
      </c>
      <c r="K188" s="18">
        <f t="shared" si="61"/>
        <v>0.19994280139140011</v>
      </c>
      <c r="L188" s="18">
        <f t="shared" si="62"/>
        <v>0.21386865188181128</v>
      </c>
      <c r="M188" s="18">
        <f t="shared" si="63"/>
        <v>0.19860545440089022</v>
      </c>
      <c r="N188" s="18">
        <f t="shared" si="64"/>
        <v>0.21520599887232117</v>
      </c>
      <c r="O188" s="18">
        <f t="shared" si="65"/>
        <v>0.19597721369006804</v>
      </c>
      <c r="P188" s="18">
        <f t="shared" si="66"/>
        <v>0.21783423958314335</v>
      </c>
      <c r="Q188" s="18">
        <f t="shared" si="78"/>
        <v>0.57839414832563019</v>
      </c>
      <c r="R188" s="18">
        <f t="shared" si="56"/>
        <v>0.60239331922498907</v>
      </c>
      <c r="S188" s="18">
        <f t="shared" si="57"/>
        <v>4.9462980116468606E-3</v>
      </c>
      <c r="T188" s="18">
        <f t="shared" si="67"/>
        <v>0.19717865067425416</v>
      </c>
      <c r="U188" s="18">
        <f t="shared" si="68"/>
        <v>0.21663280259895723</v>
      </c>
      <c r="V188" s="40" t="str">
        <f t="shared" si="58"/>
        <v>Y</v>
      </c>
      <c r="W188" s="18">
        <v>2.169</v>
      </c>
      <c r="X188" s="18">
        <f t="shared" si="55"/>
        <v>0.53422263393596936</v>
      </c>
      <c r="Y188" s="18">
        <v>0.53422263393596936</v>
      </c>
      <c r="Z188" s="18">
        <v>0.53422263393596936</v>
      </c>
      <c r="AA188" s="18">
        <f t="shared" si="69"/>
        <v>-0.62694260942479874</v>
      </c>
      <c r="AB188" s="18">
        <f t="shared" si="70"/>
        <v>-0.76404751424528417</v>
      </c>
      <c r="AC188" s="18">
        <f t="shared" si="71"/>
        <v>-427.03396796671547</v>
      </c>
    </row>
    <row r="189" spans="1:29" x14ac:dyDescent="0.25">
      <c r="A189" s="13" t="str">
        <f t="shared" si="72"/>
        <v/>
      </c>
      <c r="B189" s="30">
        <f>IF(B188=$C$9,$C$6,IF(OR(ISNA(B188),B188=$C$6),NA(),Main!A156))</f>
        <v>155</v>
      </c>
      <c r="C189" s="29">
        <f>IF(ISNA(B189),NA(),IF(B189=$C$6,$C$19,Main!C156))</f>
        <v>0.2410000000000001</v>
      </c>
      <c r="D189" s="19">
        <f t="shared" si="73"/>
        <v>0.42234332425068122</v>
      </c>
      <c r="E189" s="18">
        <f t="shared" si="74"/>
        <v>0.14857340876703592</v>
      </c>
      <c r="F189" s="18">
        <f t="shared" si="75"/>
        <v>1.4550285511538661</v>
      </c>
      <c r="G189" s="18">
        <f t="shared" si="76"/>
        <v>0.20745865520752546</v>
      </c>
      <c r="H189" s="18">
        <f t="shared" si="77"/>
        <v>4.2298749902745687E-3</v>
      </c>
      <c r="I189" s="18">
        <f t="shared" si="59"/>
        <v>0.20202529283289611</v>
      </c>
      <c r="J189" s="18">
        <f t="shared" si="60"/>
        <v>0.21289201758215481</v>
      </c>
      <c r="K189" s="18">
        <f t="shared" si="61"/>
        <v>0.20048068747495237</v>
      </c>
      <c r="L189" s="18">
        <f t="shared" si="62"/>
        <v>0.21443662294009855</v>
      </c>
      <c r="M189" s="18">
        <f t="shared" si="63"/>
        <v>0.19914045132155445</v>
      </c>
      <c r="N189" s="18">
        <f t="shared" si="64"/>
        <v>0.21577685909349648</v>
      </c>
      <c r="O189" s="18">
        <f t="shared" si="65"/>
        <v>0.19650653264115781</v>
      </c>
      <c r="P189" s="18">
        <f t="shared" si="66"/>
        <v>0.21841077777389312</v>
      </c>
      <c r="Q189" s="18">
        <f t="shared" si="78"/>
        <v>0.57839414832563019</v>
      </c>
      <c r="R189" s="18">
        <f t="shared" si="56"/>
        <v>0.60239331922498907</v>
      </c>
      <c r="S189" s="18">
        <f t="shared" si="57"/>
        <v>4.9462980116468606E-3</v>
      </c>
      <c r="T189" s="18">
        <f t="shared" si="67"/>
        <v>0.19773157924517393</v>
      </c>
      <c r="U189" s="18">
        <f t="shared" si="68"/>
        <v>0.21718573116987699</v>
      </c>
      <c r="V189" s="40" t="str">
        <f t="shared" si="58"/>
        <v>Y</v>
      </c>
      <c r="W189" s="18">
        <v>2.169</v>
      </c>
      <c r="X189" s="18">
        <f t="shared" si="55"/>
        <v>0.53422263393596936</v>
      </c>
      <c r="Y189" s="18">
        <v>0.53422263393596936</v>
      </c>
      <c r="Z189" s="18">
        <v>0.53422263393596936</v>
      </c>
      <c r="AA189" s="18">
        <f t="shared" si="69"/>
        <v>-0.62694260942479874</v>
      </c>
      <c r="AB189" s="18">
        <f t="shared" si="70"/>
        <v>-0.76404751424528417</v>
      </c>
      <c r="AC189" s="18">
        <f t="shared" si="71"/>
        <v>-429.81594821405565</v>
      </c>
    </row>
    <row r="190" spans="1:29" x14ac:dyDescent="0.25">
      <c r="A190" s="13" t="str">
        <f t="shared" si="72"/>
        <v/>
      </c>
      <c r="B190" s="30">
        <f>IF(B189=$C$9,$C$6,IF(OR(ISNA(B189),B189=$C$6),NA(),Main!A157))</f>
        <v>156</v>
      </c>
      <c r="C190" s="29">
        <f>IF(ISNA(B190),NA(),IF(B190=$C$6,$C$19,Main!C157))</f>
        <v>0.2410000000000001</v>
      </c>
      <c r="D190" s="19">
        <f t="shared" si="73"/>
        <v>0.42506811989100818</v>
      </c>
      <c r="E190" s="18">
        <f t="shared" si="74"/>
        <v>0.15606235831488632</v>
      </c>
      <c r="F190" s="18">
        <f t="shared" si="75"/>
        <v>1.4550285511538661</v>
      </c>
      <c r="G190" s="18">
        <f t="shared" si="76"/>
        <v>0.20801215546859692</v>
      </c>
      <c r="H190" s="18">
        <f t="shared" si="77"/>
        <v>4.2391031604926055E-3</v>
      </c>
      <c r="I190" s="18">
        <f t="shared" si="59"/>
        <v>0.20256693931744588</v>
      </c>
      <c r="J190" s="18">
        <f t="shared" si="60"/>
        <v>0.21345737161974795</v>
      </c>
      <c r="K190" s="18">
        <f t="shared" si="61"/>
        <v>0.20101896414805487</v>
      </c>
      <c r="L190" s="18">
        <f t="shared" si="62"/>
        <v>0.21500534678913896</v>
      </c>
      <c r="M190" s="18">
        <f t="shared" si="63"/>
        <v>0.19967580404835017</v>
      </c>
      <c r="N190" s="18">
        <f t="shared" si="64"/>
        <v>0.21634850688884366</v>
      </c>
      <c r="O190" s="18">
        <f t="shared" si="65"/>
        <v>0.19703613903975731</v>
      </c>
      <c r="P190" s="18">
        <f t="shared" si="66"/>
        <v>0.21898817189743652</v>
      </c>
      <c r="Q190" s="18">
        <f t="shared" si="78"/>
        <v>0.57839414832563019</v>
      </c>
      <c r="R190" s="18">
        <f t="shared" si="56"/>
        <v>0.60239331922498907</v>
      </c>
      <c r="S190" s="18">
        <f t="shared" si="57"/>
        <v>4.9462980116468606E-3</v>
      </c>
      <c r="T190" s="18">
        <f t="shared" si="67"/>
        <v>0.19828507950624538</v>
      </c>
      <c r="U190" s="18">
        <f t="shared" si="68"/>
        <v>0.21773923143094845</v>
      </c>
      <c r="V190" s="40" t="str">
        <f t="shared" si="58"/>
        <v>Y</v>
      </c>
      <c r="W190" s="18">
        <v>2.169</v>
      </c>
      <c r="X190" s="18">
        <f t="shared" si="55"/>
        <v>0.53422263393596936</v>
      </c>
      <c r="Y190" s="18">
        <v>0.53422263393596936</v>
      </c>
      <c r="Z190" s="18">
        <v>0.53422263393596936</v>
      </c>
      <c r="AA190" s="18">
        <f t="shared" si="69"/>
        <v>-0.62694260942479874</v>
      </c>
      <c r="AB190" s="18">
        <f t="shared" si="70"/>
        <v>-0.76404751424528417</v>
      </c>
      <c r="AC190" s="18">
        <f t="shared" si="71"/>
        <v>-432.59792846139584</v>
      </c>
    </row>
    <row r="191" spans="1:29" x14ac:dyDescent="0.25">
      <c r="A191" s="13" t="str">
        <f t="shared" si="72"/>
        <v/>
      </c>
      <c r="B191" s="30">
        <f>IF(B190=$C$9,$C$6,IF(OR(ISNA(B190),B190=$C$6),NA(),Main!A158))</f>
        <v>157</v>
      </c>
      <c r="C191" s="29">
        <f>IF(ISNA(B191),NA(),IF(B191=$C$6,$C$19,Main!C158))</f>
        <v>0.2410000000000001</v>
      </c>
      <c r="D191" s="19">
        <f t="shared" si="73"/>
        <v>0.42779291553133514</v>
      </c>
      <c r="E191" s="18">
        <f t="shared" si="74"/>
        <v>0.16355942037805526</v>
      </c>
      <c r="F191" s="18">
        <f t="shared" si="75"/>
        <v>1.4550285511538661</v>
      </c>
      <c r="G191" s="18">
        <f t="shared" si="76"/>
        <v>0.20856625531700942</v>
      </c>
      <c r="H191" s="18">
        <f t="shared" si="77"/>
        <v>4.2484412379812679E-3</v>
      </c>
      <c r="I191" s="18">
        <f t="shared" si="59"/>
        <v>0.20310904421116235</v>
      </c>
      <c r="J191" s="18">
        <f t="shared" si="60"/>
        <v>0.2140234664228565</v>
      </c>
      <c r="K191" s="18">
        <f t="shared" si="61"/>
        <v>0.20155765909595613</v>
      </c>
      <c r="L191" s="18">
        <f t="shared" si="62"/>
        <v>0.21557485153806272</v>
      </c>
      <c r="M191" s="18">
        <f t="shared" si="63"/>
        <v>0.20021154022581913</v>
      </c>
      <c r="N191" s="18">
        <f t="shared" si="64"/>
        <v>0.21692097040819971</v>
      </c>
      <c r="O191" s="18">
        <f t="shared" si="65"/>
        <v>0.19756606045040859</v>
      </c>
      <c r="P191" s="18">
        <f t="shared" si="66"/>
        <v>0.21956645018361026</v>
      </c>
      <c r="Q191" s="18">
        <f t="shared" si="78"/>
        <v>0.57839414832563019</v>
      </c>
      <c r="R191" s="18">
        <f t="shared" si="56"/>
        <v>0.60239331922498907</v>
      </c>
      <c r="S191" s="18">
        <f t="shared" si="57"/>
        <v>4.9462980116468606E-3</v>
      </c>
      <c r="T191" s="18">
        <f t="shared" si="67"/>
        <v>0.19883917935465789</v>
      </c>
      <c r="U191" s="18">
        <f t="shared" si="68"/>
        <v>0.21829333127936096</v>
      </c>
      <c r="V191" s="40" t="str">
        <f t="shared" si="58"/>
        <v>Y</v>
      </c>
      <c r="W191" s="18">
        <v>2.169</v>
      </c>
      <c r="X191" s="18">
        <f t="shared" si="55"/>
        <v>0.53422263393596936</v>
      </c>
      <c r="Y191" s="18">
        <v>0.53422263393596936</v>
      </c>
      <c r="Z191" s="18">
        <v>0.53422263393596936</v>
      </c>
      <c r="AA191" s="18">
        <f t="shared" si="69"/>
        <v>-0.62694260942479874</v>
      </c>
      <c r="AB191" s="18">
        <f t="shared" si="70"/>
        <v>-0.76404751424528417</v>
      </c>
      <c r="AC191" s="18">
        <f t="shared" si="71"/>
        <v>-435.37990870873597</v>
      </c>
    </row>
    <row r="192" spans="1:29" x14ac:dyDescent="0.25">
      <c r="A192" s="13" t="str">
        <f t="shared" si="72"/>
        <v/>
      </c>
      <c r="B192" s="30">
        <f>IF(B191=$C$9,$C$6,IF(OR(ISNA(B191),B191=$C$6),NA(),Main!A159))</f>
        <v>158</v>
      </c>
      <c r="C192" s="29">
        <f>IF(ISNA(B192),NA(),IF(B192=$C$6,$C$19,Main!C159))</f>
        <v>0.2410000000000001</v>
      </c>
      <c r="D192" s="19">
        <f t="shared" si="73"/>
        <v>0.4305177111716621</v>
      </c>
      <c r="E192" s="18">
        <f t="shared" si="74"/>
        <v>0.17106497249792332</v>
      </c>
      <c r="F192" s="18">
        <f t="shared" si="75"/>
        <v>1.4550285511538661</v>
      </c>
      <c r="G192" s="18">
        <f t="shared" si="76"/>
        <v>0.20912098265644313</v>
      </c>
      <c r="H192" s="18">
        <f t="shared" si="77"/>
        <v>4.2578893662250121E-3</v>
      </c>
      <c r="I192" s="18">
        <f t="shared" si="59"/>
        <v>0.20365163523341689</v>
      </c>
      <c r="J192" s="18">
        <f t="shared" si="60"/>
        <v>0.21459033007946937</v>
      </c>
      <c r="K192" s="18">
        <f t="shared" si="61"/>
        <v>0.20209679998563196</v>
      </c>
      <c r="L192" s="18">
        <f t="shared" si="62"/>
        <v>0.21614516532725431</v>
      </c>
      <c r="M192" s="18">
        <f t="shared" si="63"/>
        <v>0.20074768747547408</v>
      </c>
      <c r="N192" s="18">
        <f t="shared" si="64"/>
        <v>0.21749427783741218</v>
      </c>
      <c r="O192" s="18">
        <f t="shared" si="65"/>
        <v>0.19809632440527747</v>
      </c>
      <c r="P192" s="18">
        <f t="shared" si="66"/>
        <v>0.2201456409076088</v>
      </c>
      <c r="Q192" s="18">
        <f t="shared" si="78"/>
        <v>0.57839414832563019</v>
      </c>
      <c r="R192" s="18">
        <f t="shared" si="56"/>
        <v>0.60239331922498907</v>
      </c>
      <c r="S192" s="18">
        <f t="shared" si="57"/>
        <v>4.9462980116468606E-3</v>
      </c>
      <c r="T192" s="18">
        <f t="shared" si="67"/>
        <v>0.1993939066940916</v>
      </c>
      <c r="U192" s="18">
        <f t="shared" si="68"/>
        <v>0.21884805861879467</v>
      </c>
      <c r="V192" s="40" t="str">
        <f t="shared" si="58"/>
        <v>Y</v>
      </c>
      <c r="W192" s="18">
        <v>2.169</v>
      </c>
      <c r="X192" s="18">
        <f t="shared" si="55"/>
        <v>0.53422263393596936</v>
      </c>
      <c r="Y192" s="18">
        <v>0.53422263393596936</v>
      </c>
      <c r="Z192" s="18">
        <v>0.53422263393596936</v>
      </c>
      <c r="AA192" s="18">
        <f t="shared" si="69"/>
        <v>-0.62694260942479874</v>
      </c>
      <c r="AB192" s="18">
        <f t="shared" si="70"/>
        <v>-0.76404751424528417</v>
      </c>
      <c r="AC192" s="18">
        <f t="shared" si="71"/>
        <v>-438.16188895607615</v>
      </c>
    </row>
    <row r="193" spans="1:29" x14ac:dyDescent="0.25">
      <c r="A193" s="13" t="str">
        <f t="shared" si="72"/>
        <v/>
      </c>
      <c r="B193" s="30">
        <f>IF(B192=$C$9,$C$6,IF(OR(ISNA(B192),B192=$C$6),NA(),Main!A160))</f>
        <v>159</v>
      </c>
      <c r="C193" s="29">
        <f>IF(ISNA(B193),NA(),IF(B193=$C$6,$C$19,Main!C160))</f>
        <v>0.2410000000000001</v>
      </c>
      <c r="D193" s="19">
        <f t="shared" si="73"/>
        <v>0.43324250681198911</v>
      </c>
      <c r="E193" s="18">
        <f t="shared" si="74"/>
        <v>0.17857939243206433</v>
      </c>
      <c r="F193" s="18">
        <f t="shared" si="75"/>
        <v>1.4550285511538661</v>
      </c>
      <c r="G193" s="18">
        <f t="shared" si="76"/>
        <v>0.20967636540655679</v>
      </c>
      <c r="H193" s="18">
        <f t="shared" si="77"/>
        <v>4.2674477037559213E-3</v>
      </c>
      <c r="I193" s="18">
        <f t="shared" si="59"/>
        <v>0.20419474010023048</v>
      </c>
      <c r="J193" s="18">
        <f t="shared" si="60"/>
        <v>0.21515799071288311</v>
      </c>
      <c r="K193" s="18">
        <f t="shared" si="61"/>
        <v>0.20263641447521283</v>
      </c>
      <c r="L193" s="18">
        <f t="shared" si="62"/>
        <v>0.21671631633790076</v>
      </c>
      <c r="M193" s="18">
        <f t="shared" si="63"/>
        <v>0.2012842734052146</v>
      </c>
      <c r="N193" s="18">
        <f t="shared" si="64"/>
        <v>0.21806845740789899</v>
      </c>
      <c r="O193" s="18">
        <f t="shared" si="65"/>
        <v>0.19862695841354652</v>
      </c>
      <c r="P193" s="18">
        <f t="shared" si="66"/>
        <v>0.22072577239956706</v>
      </c>
      <c r="Q193" s="18">
        <f t="shared" si="78"/>
        <v>0.57839414832563019</v>
      </c>
      <c r="R193" s="18">
        <f t="shared" si="56"/>
        <v>0.60239331922498907</v>
      </c>
      <c r="S193" s="18">
        <f t="shared" si="57"/>
        <v>4.9462980116468606E-3</v>
      </c>
      <c r="T193" s="18">
        <f t="shared" si="67"/>
        <v>0.19994928944420526</v>
      </c>
      <c r="U193" s="18">
        <f t="shared" si="68"/>
        <v>0.21940344136890833</v>
      </c>
      <c r="V193" s="40" t="str">
        <f t="shared" si="58"/>
        <v>Y</v>
      </c>
      <c r="W193" s="18">
        <v>2.169</v>
      </c>
      <c r="X193" s="18">
        <f t="shared" si="55"/>
        <v>0.53422263393596936</v>
      </c>
      <c r="Y193" s="18">
        <v>0.53422263393596936</v>
      </c>
      <c r="Z193" s="18">
        <v>0.53422263393596936</v>
      </c>
      <c r="AA193" s="18">
        <f t="shared" si="69"/>
        <v>-0.62694260942479874</v>
      </c>
      <c r="AB193" s="18">
        <f t="shared" si="70"/>
        <v>-0.76404751424528417</v>
      </c>
      <c r="AC193" s="18">
        <f t="shared" si="71"/>
        <v>-440.94386920341634</v>
      </c>
    </row>
    <row r="194" spans="1:29" x14ac:dyDescent="0.25">
      <c r="A194" s="13" t="str">
        <f t="shared" si="72"/>
        <v/>
      </c>
      <c r="B194" s="30">
        <f>IF(B193=$C$9,$C$6,IF(OR(ISNA(B193),B193=$C$6),NA(),Main!A161))</f>
        <v>160</v>
      </c>
      <c r="C194" s="29">
        <f>IF(ISNA(B194),NA(),IF(B194=$C$6,$C$19,Main!C161))</f>
        <v>0.26509999999999989</v>
      </c>
      <c r="D194" s="19">
        <f t="shared" si="73"/>
        <v>0.43596730245231607</v>
      </c>
      <c r="E194" s="18">
        <f t="shared" si="74"/>
        <v>0.18610305828190474</v>
      </c>
      <c r="F194" s="18">
        <f t="shared" si="75"/>
        <v>1.281293585330292</v>
      </c>
      <c r="G194" s="18">
        <f t="shared" si="76"/>
        <v>0.21023243151242291</v>
      </c>
      <c r="H194" s="18">
        <f t="shared" si="77"/>
        <v>4.2771164241983415E-3</v>
      </c>
      <c r="I194" s="18">
        <f t="shared" si="59"/>
        <v>0.20473838653365156</v>
      </c>
      <c r="J194" s="18">
        <f t="shared" si="60"/>
        <v>0.21572647649119425</v>
      </c>
      <c r="K194" s="18">
        <f t="shared" si="61"/>
        <v>0.20317653022334553</v>
      </c>
      <c r="L194" s="18">
        <f t="shared" si="62"/>
        <v>0.21728833280150028</v>
      </c>
      <c r="M194" s="18">
        <f t="shared" si="63"/>
        <v>0.20182132561867455</v>
      </c>
      <c r="N194" s="18">
        <f t="shared" si="64"/>
        <v>0.21864353740617126</v>
      </c>
      <c r="O194" s="18">
        <f t="shared" si="65"/>
        <v>0.19915798997073478</v>
      </c>
      <c r="P194" s="18">
        <f t="shared" si="66"/>
        <v>0.22130687305411104</v>
      </c>
      <c r="Q194" s="18">
        <f t="shared" si="78"/>
        <v>0.67357378935618784</v>
      </c>
      <c r="R194" s="18">
        <f t="shared" si="56"/>
        <v>0.92847028214063287</v>
      </c>
      <c r="S194" s="18">
        <f t="shared" si="57"/>
        <v>5.6122254739842141E-3</v>
      </c>
      <c r="T194" s="18">
        <f t="shared" si="67"/>
        <v>0.19919578483752656</v>
      </c>
      <c r="U194" s="18">
        <f t="shared" si="68"/>
        <v>0.22126907818731925</v>
      </c>
      <c r="V194" s="40" t="str">
        <f t="shared" si="58"/>
        <v>Y</v>
      </c>
      <c r="W194" s="18">
        <v>2.1449000000000003</v>
      </c>
      <c r="X194" s="18">
        <f t="shared" si="55"/>
        <v>0.38154712339066921</v>
      </c>
      <c r="Y194" s="18">
        <v>0.38154712339066921</v>
      </c>
      <c r="Z194" s="18">
        <v>0.53422263393596936</v>
      </c>
      <c r="AA194" s="18">
        <f t="shared" si="69"/>
        <v>-0.62694260942479874</v>
      </c>
      <c r="AB194" s="18">
        <f t="shared" si="70"/>
        <v>-0.48053427985116476</v>
      </c>
      <c r="AC194" s="18">
        <f t="shared" si="71"/>
        <v>-353.28512767903231</v>
      </c>
    </row>
    <row r="195" spans="1:29" x14ac:dyDescent="0.25">
      <c r="A195" s="13" t="str">
        <f t="shared" si="72"/>
        <v/>
      </c>
      <c r="B195" s="30">
        <f>IF(B194=$C$9,$C$6,IF(OR(ISNA(B194),B194=$C$6),NA(),Main!A162))</f>
        <v>161</v>
      </c>
      <c r="C195" s="29">
        <f>IF(ISNA(B195),NA(),IF(B195=$C$6,$C$19,Main!C162))</f>
        <v>0.26509999999999989</v>
      </c>
      <c r="D195" s="19">
        <f t="shared" si="73"/>
        <v>0.43869209809264303</v>
      </c>
      <c r="E195" s="18">
        <f t="shared" si="74"/>
        <v>0.19363634861978829</v>
      </c>
      <c r="F195" s="18">
        <f t="shared" si="75"/>
        <v>1.281293585330292</v>
      </c>
      <c r="G195" s="18">
        <f t="shared" si="76"/>
        <v>0.21078920895391901</v>
      </c>
      <c r="H195" s="18">
        <f t="shared" si="77"/>
        <v>4.2868957163215687E-3</v>
      </c>
      <c r="I195" s="18">
        <f t="shared" si="59"/>
        <v>0.20528260227107956</v>
      </c>
      <c r="J195" s="18">
        <f t="shared" si="60"/>
        <v>0.21629581563675845</v>
      </c>
      <c r="K195" s="18">
        <f t="shared" si="61"/>
        <v>0.20371717489849744</v>
      </c>
      <c r="L195" s="18">
        <f t="shared" si="62"/>
        <v>0.21786124300934057</v>
      </c>
      <c r="M195" s="18">
        <f t="shared" si="63"/>
        <v>0.20235887172450978</v>
      </c>
      <c r="N195" s="18">
        <f t="shared" si="64"/>
        <v>0.21921954618332823</v>
      </c>
      <c r="O195" s="18">
        <f t="shared" si="65"/>
        <v>0.19968944656795246</v>
      </c>
      <c r="P195" s="18">
        <f t="shared" si="66"/>
        <v>0.22188897133988555</v>
      </c>
      <c r="Q195" s="18">
        <f t="shared" si="78"/>
        <v>0.67357378935618784</v>
      </c>
      <c r="R195" s="18">
        <f t="shared" si="56"/>
        <v>0.92847028214063287</v>
      </c>
      <c r="S195" s="18">
        <f t="shared" si="57"/>
        <v>5.6122254739842141E-3</v>
      </c>
      <c r="T195" s="18">
        <f t="shared" si="67"/>
        <v>0.19975256227902266</v>
      </c>
      <c r="U195" s="18">
        <f t="shared" si="68"/>
        <v>0.22182585562881535</v>
      </c>
      <c r="V195" s="40" t="str">
        <f t="shared" si="58"/>
        <v>Y</v>
      </c>
      <c r="W195" s="18">
        <v>2.1449000000000003</v>
      </c>
      <c r="X195" s="18">
        <f t="shared" si="55"/>
        <v>0.38154712339066921</v>
      </c>
      <c r="Y195" s="18">
        <v>0.38154712339066921</v>
      </c>
      <c r="Z195" s="18">
        <v>0.53422263393596936</v>
      </c>
      <c r="AA195" s="18">
        <f t="shared" si="69"/>
        <v>-0.62694260942479874</v>
      </c>
      <c r="AB195" s="18">
        <f t="shared" si="70"/>
        <v>-0.48053427985116476</v>
      </c>
      <c r="AC195" s="18">
        <f t="shared" si="71"/>
        <v>-355.50008145758426</v>
      </c>
    </row>
    <row r="196" spans="1:29" x14ac:dyDescent="0.25">
      <c r="A196" s="13" t="str">
        <f t="shared" si="72"/>
        <v/>
      </c>
      <c r="B196" s="30">
        <f>IF(B195=$C$9,$C$6,IF(OR(ISNA(B195),B195=$C$6),NA(),Main!A163))</f>
        <v>162</v>
      </c>
      <c r="C196" s="29">
        <f>IF(ISNA(B196),NA(),IF(B196=$C$6,$C$19,Main!C163))</f>
        <v>0.26509999999999989</v>
      </c>
      <c r="D196" s="19">
        <f t="shared" si="73"/>
        <v>0.44141689373297005</v>
      </c>
      <c r="E196" s="18">
        <f t="shared" si="74"/>
        <v>0.2011796426155571</v>
      </c>
      <c r="F196" s="18">
        <f t="shared" si="75"/>
        <v>1.281293585330292</v>
      </c>
      <c r="G196" s="18">
        <f t="shared" si="76"/>
        <v>0.21134672575508306</v>
      </c>
      <c r="H196" s="18">
        <f t="shared" si="77"/>
        <v>4.2967857841005284E-3</v>
      </c>
      <c r="I196" s="18">
        <f t="shared" si="59"/>
        <v>0.20582741507454244</v>
      </c>
      <c r="J196" s="18">
        <f t="shared" si="60"/>
        <v>0.21686603643562369</v>
      </c>
      <c r="K196" s="18">
        <f t="shared" si="61"/>
        <v>0.2042583761882118</v>
      </c>
      <c r="L196" s="18">
        <f t="shared" si="62"/>
        <v>0.21843507532195433</v>
      </c>
      <c r="M196" s="18">
        <f t="shared" si="63"/>
        <v>0.2028969393456341</v>
      </c>
      <c r="N196" s="18">
        <f t="shared" si="64"/>
        <v>0.21979651216453203</v>
      </c>
      <c r="O196" s="18">
        <f t="shared" si="65"/>
        <v>0.20022135570109942</v>
      </c>
      <c r="P196" s="18">
        <f t="shared" si="66"/>
        <v>0.22247209580906671</v>
      </c>
      <c r="Q196" s="18">
        <f t="shared" si="78"/>
        <v>0.67357378935618784</v>
      </c>
      <c r="R196" s="18">
        <f t="shared" si="56"/>
        <v>0.92847028214063287</v>
      </c>
      <c r="S196" s="18">
        <f t="shared" si="57"/>
        <v>5.6122254739842141E-3</v>
      </c>
      <c r="T196" s="18">
        <f t="shared" si="67"/>
        <v>0.20031007908018672</v>
      </c>
      <c r="U196" s="18">
        <f t="shared" si="68"/>
        <v>0.22238337242997941</v>
      </c>
      <c r="V196" s="40" t="str">
        <f t="shared" si="58"/>
        <v>Y</v>
      </c>
      <c r="W196" s="18">
        <v>2.1449000000000003</v>
      </c>
      <c r="X196" s="18">
        <f t="shared" si="55"/>
        <v>0.38154712339066921</v>
      </c>
      <c r="Y196" s="18">
        <v>0.38154712339066921</v>
      </c>
      <c r="Z196" s="18">
        <v>0.53422263393596936</v>
      </c>
      <c r="AA196" s="18">
        <f t="shared" si="69"/>
        <v>-0.62694260942479874</v>
      </c>
      <c r="AB196" s="18">
        <f t="shared" si="70"/>
        <v>-0.48053427985116476</v>
      </c>
      <c r="AC196" s="18">
        <f t="shared" si="71"/>
        <v>-357.7150352361362</v>
      </c>
    </row>
    <row r="197" spans="1:29" x14ac:dyDescent="0.25">
      <c r="A197" s="13" t="str">
        <f t="shared" si="72"/>
        <v/>
      </c>
      <c r="B197" s="30">
        <f>IF(B196=$C$9,$C$6,IF(OR(ISNA(B196),B196=$C$6),NA(),Main!A164))</f>
        <v>163</v>
      </c>
      <c r="C197" s="29">
        <f>IF(ISNA(B197),NA(),IF(B197=$C$6,$C$19,Main!C164))</f>
        <v>0.26509999999999989</v>
      </c>
      <c r="D197" s="19">
        <f t="shared" si="73"/>
        <v>0.44414168937329701</v>
      </c>
      <c r="E197" s="18">
        <f t="shared" si="74"/>
        <v>0.20873332016276666</v>
      </c>
      <c r="F197" s="18">
        <f t="shared" si="75"/>
        <v>1.281293585330292</v>
      </c>
      <c r="G197" s="18">
        <f t="shared" si="76"/>
        <v>0.211905009993442</v>
      </c>
      <c r="H197" s="18">
        <f t="shared" si="77"/>
        <v>4.3067868467844802E-3</v>
      </c>
      <c r="I197" s="18">
        <f t="shared" si="59"/>
        <v>0.20637285273993689</v>
      </c>
      <c r="J197" s="18">
        <f t="shared" si="60"/>
        <v>0.21743716724694712</v>
      </c>
      <c r="K197" s="18">
        <f t="shared" si="61"/>
        <v>0.20480016180832303</v>
      </c>
      <c r="L197" s="18">
        <f t="shared" si="62"/>
        <v>0.21900985817856097</v>
      </c>
      <c r="M197" s="18">
        <f t="shared" si="63"/>
        <v>0.20343555612841274</v>
      </c>
      <c r="N197" s="18">
        <f t="shared" si="64"/>
        <v>0.22037446385847126</v>
      </c>
      <c r="O197" s="18">
        <f t="shared" si="65"/>
        <v>0.2007537448800156</v>
      </c>
      <c r="P197" s="18">
        <f t="shared" si="66"/>
        <v>0.2230562751068684</v>
      </c>
      <c r="Q197" s="18">
        <f t="shared" si="78"/>
        <v>0.67357378935618784</v>
      </c>
      <c r="R197" s="18">
        <f t="shared" si="56"/>
        <v>0.92847028214063287</v>
      </c>
      <c r="S197" s="18">
        <f t="shared" si="57"/>
        <v>5.6122254739842141E-3</v>
      </c>
      <c r="T197" s="18">
        <f t="shared" si="67"/>
        <v>0.20086836331854566</v>
      </c>
      <c r="U197" s="18">
        <f t="shared" si="68"/>
        <v>0.22294165666833834</v>
      </c>
      <c r="V197" s="40" t="str">
        <f t="shared" si="58"/>
        <v>Y</v>
      </c>
      <c r="W197" s="18">
        <v>2.1449000000000003</v>
      </c>
      <c r="X197" s="18">
        <f t="shared" si="55"/>
        <v>0.38154712339066921</v>
      </c>
      <c r="Y197" s="18">
        <v>0.38154712339066921</v>
      </c>
      <c r="Z197" s="18">
        <v>0.53422263393596936</v>
      </c>
      <c r="AA197" s="18">
        <f t="shared" si="69"/>
        <v>-0.62694260942479874</v>
      </c>
      <c r="AB197" s="18">
        <f t="shared" si="70"/>
        <v>-0.48053427985116476</v>
      </c>
      <c r="AC197" s="18">
        <f t="shared" si="71"/>
        <v>-359.92998901468809</v>
      </c>
    </row>
    <row r="198" spans="1:29" x14ac:dyDescent="0.25">
      <c r="A198" s="13" t="str">
        <f t="shared" si="72"/>
        <v/>
      </c>
      <c r="B198" s="30">
        <f>IF(B197=$C$9,$C$6,IF(OR(ISNA(B197),B197=$C$6),NA(),Main!A165))</f>
        <v>164</v>
      </c>
      <c r="C198" s="29">
        <f>IF(ISNA(B198),NA(),IF(B198=$C$6,$C$19,Main!C165))</f>
        <v>0.26509999999999989</v>
      </c>
      <c r="D198" s="19">
        <f t="shared" si="73"/>
        <v>0.44686648501362397</v>
      </c>
      <c r="E198" s="18">
        <f t="shared" si="74"/>
        <v>0.21629776200464562</v>
      </c>
      <c r="F198" s="18">
        <f t="shared" si="75"/>
        <v>1.281293585330292</v>
      </c>
      <c r="G198" s="18">
        <f t="shared" si="76"/>
        <v>0.21246408980932105</v>
      </c>
      <c r="H198" s="18">
        <f t="shared" si="77"/>
        <v>4.3168991389736901E-3</v>
      </c>
      <c r="I198" s="18">
        <f t="shared" si="59"/>
        <v>0.20691894310623918</v>
      </c>
      <c r="J198" s="18">
        <f t="shared" si="60"/>
        <v>0.21800923651240292</v>
      </c>
      <c r="K198" s="18">
        <f t="shared" si="61"/>
        <v>0.20534255951213948</v>
      </c>
      <c r="L198" s="18">
        <f t="shared" si="62"/>
        <v>0.21958562010650262</v>
      </c>
      <c r="M198" s="18">
        <f t="shared" si="63"/>
        <v>0.20397474975182089</v>
      </c>
      <c r="N198" s="18">
        <f t="shared" si="64"/>
        <v>0.2209534298668212</v>
      </c>
      <c r="O198" s="18">
        <f t="shared" si="65"/>
        <v>0.20128664163759202</v>
      </c>
      <c r="P198" s="18">
        <f t="shared" si="66"/>
        <v>0.22364153798105008</v>
      </c>
      <c r="Q198" s="18">
        <f t="shared" si="78"/>
        <v>0.67357378935618784</v>
      </c>
      <c r="R198" s="18">
        <f t="shared" si="56"/>
        <v>0.92847028214063287</v>
      </c>
      <c r="S198" s="18">
        <f t="shared" si="57"/>
        <v>5.6122254739842141E-3</v>
      </c>
      <c r="T198" s="18">
        <f t="shared" si="67"/>
        <v>0.20142744313442471</v>
      </c>
      <c r="U198" s="18">
        <f t="shared" si="68"/>
        <v>0.22350073648421739</v>
      </c>
      <c r="V198" s="40" t="str">
        <f t="shared" si="58"/>
        <v>Y</v>
      </c>
      <c r="W198" s="18">
        <v>2.1449000000000003</v>
      </c>
      <c r="X198" s="18">
        <f t="shared" si="55"/>
        <v>0.38154712339066921</v>
      </c>
      <c r="Y198" s="18">
        <v>0.38154712339066921</v>
      </c>
      <c r="Z198" s="18">
        <v>0.53422263393596936</v>
      </c>
      <c r="AA198" s="18">
        <f t="shared" si="69"/>
        <v>-0.62694260942479874</v>
      </c>
      <c r="AB198" s="18">
        <f t="shared" si="70"/>
        <v>-0.48053427985116476</v>
      </c>
      <c r="AC198" s="18">
        <f t="shared" si="71"/>
        <v>-362.14494279324003</v>
      </c>
    </row>
    <row r="199" spans="1:29" x14ac:dyDescent="0.25">
      <c r="A199" s="13" t="str">
        <f t="shared" si="72"/>
        <v/>
      </c>
      <c r="B199" s="30">
        <f>IF(B198=$C$9,$C$6,IF(OR(ISNA(B198),B198=$C$6),NA(),Main!A166))</f>
        <v>165</v>
      </c>
      <c r="C199" s="29">
        <f>IF(ISNA(B199),NA(),IF(B199=$C$6,$C$19,Main!C166))</f>
        <v>0.26509999999999989</v>
      </c>
      <c r="D199" s="19">
        <f t="shared" si="73"/>
        <v>0.44959128065395093</v>
      </c>
      <c r="E199" s="18">
        <f t="shared" si="74"/>
        <v>0.22387334985991061</v>
      </c>
      <c r="F199" s="18">
        <f t="shared" si="75"/>
        <v>1.281293585330292</v>
      </c>
      <c r="G199" s="18">
        <f t="shared" si="76"/>
        <v>0.21302399341514283</v>
      </c>
      <c r="H199" s="18">
        <f t="shared" si="77"/>
        <v>4.3271229107041155E-3</v>
      </c>
      <c r="I199" s="18">
        <f t="shared" si="59"/>
        <v>0.20746571406469558</v>
      </c>
      <c r="J199" s="18">
        <f t="shared" si="60"/>
        <v>0.21858227276559009</v>
      </c>
      <c r="K199" s="18">
        <f t="shared" si="61"/>
        <v>0.20588559709960275</v>
      </c>
      <c r="L199" s="18">
        <f t="shared" si="62"/>
        <v>0.22016238973068292</v>
      </c>
      <c r="M199" s="18">
        <f t="shared" si="63"/>
        <v>0.20451454793657639</v>
      </c>
      <c r="N199" s="18">
        <f t="shared" si="64"/>
        <v>0.22153343889370927</v>
      </c>
      <c r="O199" s="18">
        <f t="shared" si="65"/>
        <v>0.20182007353885051</v>
      </c>
      <c r="P199" s="18">
        <f t="shared" si="66"/>
        <v>0.22422791329143515</v>
      </c>
      <c r="Q199" s="18">
        <f t="shared" si="78"/>
        <v>0.67357378935618784</v>
      </c>
      <c r="R199" s="18">
        <f t="shared" si="56"/>
        <v>0.92847028214063287</v>
      </c>
      <c r="S199" s="18">
        <f t="shared" si="57"/>
        <v>5.6122254739842141E-3</v>
      </c>
      <c r="T199" s="18">
        <f t="shared" si="67"/>
        <v>0.20198734674024649</v>
      </c>
      <c r="U199" s="18">
        <f t="shared" si="68"/>
        <v>0.22406064009003918</v>
      </c>
      <c r="V199" s="40" t="str">
        <f t="shared" si="58"/>
        <v>Y</v>
      </c>
      <c r="W199" s="18">
        <v>2.1449000000000003</v>
      </c>
      <c r="X199" s="18">
        <f t="shared" si="55"/>
        <v>0.38154712339066921</v>
      </c>
      <c r="Y199" s="18">
        <v>0.38154712339066921</v>
      </c>
      <c r="Z199" s="18">
        <v>0.53422263393596936</v>
      </c>
      <c r="AA199" s="18">
        <f t="shared" si="69"/>
        <v>-0.62694260942479874</v>
      </c>
      <c r="AB199" s="18">
        <f t="shared" si="70"/>
        <v>-0.48053427985116476</v>
      </c>
      <c r="AC199" s="18">
        <f t="shared" si="71"/>
        <v>-364.35989657179198</v>
      </c>
    </row>
    <row r="200" spans="1:29" x14ac:dyDescent="0.25">
      <c r="A200" s="13" t="str">
        <f t="shared" si="72"/>
        <v/>
      </c>
      <c r="B200" s="30">
        <f>IF(B199=$C$9,$C$6,IF(OR(ISNA(B199),B199=$C$6),NA(),Main!A167))</f>
        <v>166</v>
      </c>
      <c r="C200" s="29">
        <f>IF(ISNA(B200),NA(),IF(B200=$C$6,$C$19,Main!C167))</f>
        <v>0.26509999999999989</v>
      </c>
      <c r="D200" s="19">
        <f t="shared" si="73"/>
        <v>0.45231607629427795</v>
      </c>
      <c r="E200" s="18">
        <f t="shared" si="74"/>
        <v>0.23146046654854555</v>
      </c>
      <c r="F200" s="18">
        <f t="shared" si="75"/>
        <v>1.281293585330292</v>
      </c>
      <c r="G200" s="18">
        <f t="shared" si="76"/>
        <v>0.21358474910472341</v>
      </c>
      <c r="H200" s="18">
        <f t="shared" si="77"/>
        <v>4.3374584275400873E-3</v>
      </c>
      <c r="I200" s="18">
        <f t="shared" si="59"/>
        <v>0.20801319356799927</v>
      </c>
      <c r="J200" s="18">
        <f t="shared" si="60"/>
        <v>0.21915630464144756</v>
      </c>
      <c r="K200" s="18">
        <f t="shared" si="61"/>
        <v>0.20642930242643109</v>
      </c>
      <c r="L200" s="18">
        <f t="shared" si="62"/>
        <v>0.22074019578301574</v>
      </c>
      <c r="M200" s="18">
        <f t="shared" si="63"/>
        <v>0.20505497845425327</v>
      </c>
      <c r="N200" s="18">
        <f t="shared" si="64"/>
        <v>0.22211451975519356</v>
      </c>
      <c r="O200" s="18">
        <f t="shared" si="65"/>
        <v>0.20235406818999979</v>
      </c>
      <c r="P200" s="18">
        <f t="shared" si="66"/>
        <v>0.22481543001944704</v>
      </c>
      <c r="Q200" s="18">
        <f t="shared" si="78"/>
        <v>0.67357378935618784</v>
      </c>
      <c r="R200" s="18">
        <f t="shared" si="56"/>
        <v>0.92847028214063287</v>
      </c>
      <c r="S200" s="18">
        <f t="shared" si="57"/>
        <v>5.6122254739842141E-3</v>
      </c>
      <c r="T200" s="18">
        <f t="shared" si="67"/>
        <v>0.20254810242982707</v>
      </c>
      <c r="U200" s="18">
        <f t="shared" si="68"/>
        <v>0.22462139577961976</v>
      </c>
      <c r="V200" s="40" t="str">
        <f t="shared" si="58"/>
        <v>Y</v>
      </c>
      <c r="W200" s="18">
        <v>2.1449000000000003</v>
      </c>
      <c r="X200" s="18">
        <f t="shared" si="55"/>
        <v>0.38154712339066921</v>
      </c>
      <c r="Y200" s="18">
        <v>0.38154712339066921</v>
      </c>
      <c r="Z200" s="18">
        <v>0.53422263393596936</v>
      </c>
      <c r="AA200" s="18">
        <f t="shared" si="69"/>
        <v>-0.62694260942479874</v>
      </c>
      <c r="AB200" s="18">
        <f t="shared" si="70"/>
        <v>-0.48053427985116476</v>
      </c>
      <c r="AC200" s="18">
        <f t="shared" si="71"/>
        <v>-366.57485035034392</v>
      </c>
    </row>
    <row r="201" spans="1:29" x14ac:dyDescent="0.25">
      <c r="A201" s="13" t="str">
        <f t="shared" si="72"/>
        <v/>
      </c>
      <c r="B201" s="30">
        <f>IF(B200=$C$9,$C$6,IF(OR(ISNA(B200),B200=$C$6),NA(),Main!A168))</f>
        <v>167</v>
      </c>
      <c r="C201" s="29">
        <f>IF(ISNA(B201),NA(),IF(B201=$C$6,$C$19,Main!C168))</f>
        <v>0.26509999999999989</v>
      </c>
      <c r="D201" s="19">
        <f t="shared" si="73"/>
        <v>0.45504087193460491</v>
      </c>
      <c r="E201" s="18">
        <f t="shared" si="74"/>
        <v>0.23905949611765628</v>
      </c>
      <c r="F201" s="18">
        <f t="shared" si="75"/>
        <v>1.281293585330292</v>
      </c>
      <c r="G201" s="18">
        <f t="shared" si="76"/>
        <v>0.2141463852625741</v>
      </c>
      <c r="H201" s="18">
        <f t="shared" si="77"/>
        <v>4.3479059706750325E-3</v>
      </c>
      <c r="I201" s="18">
        <f t="shared" si="59"/>
        <v>0.20856140963946271</v>
      </c>
      <c r="J201" s="18">
        <f t="shared" si="60"/>
        <v>0.21973136088568548</v>
      </c>
      <c r="K201" s="18">
        <f t="shared" si="61"/>
        <v>0.20697370341325474</v>
      </c>
      <c r="L201" s="18">
        <f t="shared" si="62"/>
        <v>0.22131906711189345</v>
      </c>
      <c r="M201" s="18">
        <f t="shared" si="63"/>
        <v>0.2055960691363857</v>
      </c>
      <c r="N201" s="18">
        <f t="shared" si="64"/>
        <v>0.22269670138876249</v>
      </c>
      <c r="O201" s="18">
        <f t="shared" si="65"/>
        <v>0.20288865324747649</v>
      </c>
      <c r="P201" s="18">
        <f t="shared" si="66"/>
        <v>0.22540411727767171</v>
      </c>
      <c r="Q201" s="18">
        <f t="shared" si="78"/>
        <v>0.67357378935618784</v>
      </c>
      <c r="R201" s="18">
        <f t="shared" si="56"/>
        <v>0.92847028214063287</v>
      </c>
      <c r="S201" s="18">
        <f t="shared" si="57"/>
        <v>5.6122254739842141E-3</v>
      </c>
      <c r="T201" s="18">
        <f t="shared" si="67"/>
        <v>0.20310973858767775</v>
      </c>
      <c r="U201" s="18">
        <f t="shared" si="68"/>
        <v>0.22518303193747044</v>
      </c>
      <c r="V201" s="40" t="str">
        <f t="shared" si="58"/>
        <v>Y</v>
      </c>
      <c r="W201" s="18">
        <v>2.1449000000000003</v>
      </c>
      <c r="X201" s="18">
        <f t="shared" si="55"/>
        <v>0.38154712339066921</v>
      </c>
      <c r="Y201" s="18">
        <v>0.38154712339066921</v>
      </c>
      <c r="Z201" s="18">
        <v>0.53422263393596936</v>
      </c>
      <c r="AA201" s="18">
        <f t="shared" si="69"/>
        <v>-0.62694260942479874</v>
      </c>
      <c r="AB201" s="18">
        <f t="shared" si="70"/>
        <v>-0.48053427985116476</v>
      </c>
      <c r="AC201" s="18">
        <f t="shared" si="71"/>
        <v>-368.78980412889581</v>
      </c>
    </row>
    <row r="202" spans="1:29" x14ac:dyDescent="0.25">
      <c r="A202" s="13" t="str">
        <f t="shared" si="72"/>
        <v/>
      </c>
      <c r="B202" s="30">
        <f>IF(B201=$C$9,$C$6,IF(OR(ISNA(B201),B201=$C$6),NA(),Main!A169))</f>
        <v>168</v>
      </c>
      <c r="C202" s="29">
        <f>IF(ISNA(B202),NA(),IF(B202=$C$6,$C$19,Main!C169))</f>
        <v>0.26509999999999989</v>
      </c>
      <c r="D202" s="19">
        <f t="shared" si="73"/>
        <v>0.45776566757493187</v>
      </c>
      <c r="E202" s="18">
        <f t="shared" si="74"/>
        <v>0.24667082396750856</v>
      </c>
      <c r="F202" s="18">
        <f t="shared" si="75"/>
        <v>1.281293585330292</v>
      </c>
      <c r="G202" s="18">
        <f t="shared" si="76"/>
        <v>0.21470893037321687</v>
      </c>
      <c r="H202" s="18">
        <f t="shared" si="77"/>
        <v>4.3584658370402745E-3</v>
      </c>
      <c r="I202" s="18">
        <f t="shared" si="59"/>
        <v>0.20911039038219342</v>
      </c>
      <c r="J202" s="18">
        <f t="shared" si="60"/>
        <v>0.22030747036424031</v>
      </c>
      <c r="K202" s="18">
        <f t="shared" si="61"/>
        <v>0.20751882805475211</v>
      </c>
      <c r="L202" s="18">
        <f t="shared" si="62"/>
        <v>0.22189903269168162</v>
      </c>
      <c r="M202" s="18">
        <f t="shared" si="63"/>
        <v>0.20613784788356934</v>
      </c>
      <c r="N202" s="18">
        <f t="shared" si="64"/>
        <v>0.22328001286286439</v>
      </c>
      <c r="O202" s="18">
        <f t="shared" si="65"/>
        <v>0.20342385642697886</v>
      </c>
      <c r="P202" s="18">
        <f t="shared" si="66"/>
        <v>0.22599400431945488</v>
      </c>
      <c r="Q202" s="18">
        <f t="shared" si="78"/>
        <v>0.67357378935618784</v>
      </c>
      <c r="R202" s="18">
        <f t="shared" si="56"/>
        <v>0.92847028214063287</v>
      </c>
      <c r="S202" s="18">
        <f t="shared" si="57"/>
        <v>5.6122254739842141E-3</v>
      </c>
      <c r="T202" s="18">
        <f t="shared" si="67"/>
        <v>0.20367228369832052</v>
      </c>
      <c r="U202" s="18">
        <f t="shared" si="68"/>
        <v>0.22574557704811321</v>
      </c>
      <c r="V202" s="40" t="str">
        <f t="shared" si="58"/>
        <v>Y</v>
      </c>
      <c r="W202" s="18">
        <v>2.1449000000000003</v>
      </c>
      <c r="X202" s="18">
        <f t="shared" si="55"/>
        <v>0.38154712339066921</v>
      </c>
      <c r="Y202" s="18">
        <v>0.38154712339066921</v>
      </c>
      <c r="Z202" s="18">
        <v>0.53422263393596936</v>
      </c>
      <c r="AA202" s="18">
        <f t="shared" si="69"/>
        <v>-0.62694260942479874</v>
      </c>
      <c r="AB202" s="18">
        <f t="shared" si="70"/>
        <v>-0.48053427985116476</v>
      </c>
      <c r="AC202" s="18">
        <f t="shared" si="71"/>
        <v>-371.00475790744775</v>
      </c>
    </row>
    <row r="203" spans="1:29" x14ac:dyDescent="0.25">
      <c r="A203" s="13" t="str">
        <f t="shared" si="72"/>
        <v/>
      </c>
      <c r="B203" s="30">
        <f>IF(B202=$C$9,$C$6,IF(OR(ISNA(B202),B202=$C$6),NA(),Main!A170))</f>
        <v>169</v>
      </c>
      <c r="C203" s="29">
        <f>IF(ISNA(B203),NA(),IF(B203=$C$6,$C$19,Main!C170))</f>
        <v>0.26509999999999989</v>
      </c>
      <c r="D203" s="19">
        <f t="shared" si="73"/>
        <v>0.46049046321525888</v>
      </c>
      <c r="E203" s="18">
        <f t="shared" si="74"/>
        <v>0.25429483697785427</v>
      </c>
      <c r="F203" s="18">
        <f t="shared" si="75"/>
        <v>1.281293585330292</v>
      </c>
      <c r="G203" s="18">
        <f t="shared" si="76"/>
        <v>0.21527241303052089</v>
      </c>
      <c r="H203" s="18">
        <f t="shared" si="77"/>
        <v>4.3691383394219288E-3</v>
      </c>
      <c r="I203" s="18">
        <f t="shared" si="59"/>
        <v>0.20966016398828036</v>
      </c>
      <c r="J203" s="18">
        <f t="shared" si="60"/>
        <v>0.22088466207276142</v>
      </c>
      <c r="K203" s="18">
        <f t="shared" si="61"/>
        <v>0.20806470442879335</v>
      </c>
      <c r="L203" s="18">
        <f t="shared" si="62"/>
        <v>0.22248012163224842</v>
      </c>
      <c r="M203" s="18">
        <f t="shared" si="63"/>
        <v>0.20668034267456803</v>
      </c>
      <c r="N203" s="18">
        <f t="shared" si="64"/>
        <v>0.22386448338647374</v>
      </c>
      <c r="O203" s="18">
        <f t="shared" si="65"/>
        <v>0.20395970551250064</v>
      </c>
      <c r="P203" s="18">
        <f t="shared" si="66"/>
        <v>0.22658512054854113</v>
      </c>
      <c r="Q203" s="18">
        <f t="shared" si="78"/>
        <v>0.67357378935618784</v>
      </c>
      <c r="R203" s="18">
        <f t="shared" si="56"/>
        <v>0.92847028214063287</v>
      </c>
      <c r="S203" s="18">
        <f t="shared" si="57"/>
        <v>5.6122254739842141E-3</v>
      </c>
      <c r="T203" s="18">
        <f t="shared" si="67"/>
        <v>0.20423576635562454</v>
      </c>
      <c r="U203" s="18">
        <f t="shared" si="68"/>
        <v>0.22630905970541723</v>
      </c>
      <c r="V203" s="40" t="str">
        <f t="shared" si="58"/>
        <v>Y</v>
      </c>
      <c r="W203" s="18">
        <v>2.1449000000000003</v>
      </c>
      <c r="X203" s="18">
        <f t="shared" si="55"/>
        <v>0.38154712339066921</v>
      </c>
      <c r="Y203" s="18">
        <v>0.38154712339066921</v>
      </c>
      <c r="Z203" s="18">
        <v>0.53422263393596936</v>
      </c>
      <c r="AA203" s="18">
        <f t="shared" si="69"/>
        <v>-0.62694260942479874</v>
      </c>
      <c r="AB203" s="18">
        <f t="shared" si="70"/>
        <v>-0.48053427985116476</v>
      </c>
      <c r="AC203" s="18">
        <f t="shared" si="71"/>
        <v>-373.2197116859997</v>
      </c>
    </row>
    <row r="204" spans="1:29" x14ac:dyDescent="0.25">
      <c r="A204" s="13" t="str">
        <f t="shared" si="72"/>
        <v/>
      </c>
      <c r="B204" s="30">
        <f>IF(B203=$C$9,$C$6,IF(OR(ISNA(B203),B203=$C$6),NA(),Main!A171))</f>
        <v>170</v>
      </c>
      <c r="C204" s="29">
        <f>IF(ISNA(B204),NA(),IF(B204=$C$6,$C$19,Main!C171))</f>
        <v>0.26509999999999989</v>
      </c>
      <c r="D204" s="19">
        <f t="shared" si="73"/>
        <v>0.46321525885558584</v>
      </c>
      <c r="E204" s="18">
        <f t="shared" si="74"/>
        <v>0.26193192363465811</v>
      </c>
      <c r="F204" s="18">
        <f t="shared" si="75"/>
        <v>1.281293585330292</v>
      </c>
      <c r="G204" s="18">
        <f t="shared" si="76"/>
        <v>0.2158368619470688</v>
      </c>
      <c r="H204" s="18">
        <f t="shared" si="77"/>
        <v>4.3799238065859855E-3</v>
      </c>
      <c r="I204" s="18">
        <f t="shared" si="59"/>
        <v>0.21021075874799935</v>
      </c>
      <c r="J204" s="18">
        <f t="shared" si="60"/>
        <v>0.22146296514613825</v>
      </c>
      <c r="K204" s="18">
        <f t="shared" si="61"/>
        <v>0.20861136070560024</v>
      </c>
      <c r="L204" s="18">
        <f t="shared" si="62"/>
        <v>0.22306236318853737</v>
      </c>
      <c r="M204" s="18">
        <f t="shared" si="63"/>
        <v>0.20722358157543408</v>
      </c>
      <c r="N204" s="18">
        <f t="shared" si="64"/>
        <v>0.22445014231870353</v>
      </c>
      <c r="O204" s="18">
        <f t="shared" si="65"/>
        <v>0.2044962283653734</v>
      </c>
      <c r="P204" s="18">
        <f t="shared" si="66"/>
        <v>0.22717749552876421</v>
      </c>
      <c r="Q204" s="18">
        <f t="shared" si="78"/>
        <v>0.67357378935618784</v>
      </c>
      <c r="R204" s="18">
        <f t="shared" si="56"/>
        <v>0.92847028214063287</v>
      </c>
      <c r="S204" s="18">
        <f t="shared" si="57"/>
        <v>5.6122254739842141E-3</v>
      </c>
      <c r="T204" s="18">
        <f t="shared" si="67"/>
        <v>0.20480021527217246</v>
      </c>
      <c r="U204" s="18">
        <f t="shared" si="68"/>
        <v>0.22687350862196515</v>
      </c>
      <c r="V204" s="40" t="str">
        <f t="shared" si="58"/>
        <v>Y</v>
      </c>
      <c r="W204" s="18">
        <v>2.1449000000000003</v>
      </c>
      <c r="X204" s="18">
        <f t="shared" si="55"/>
        <v>0.38154712339066921</v>
      </c>
      <c r="Y204" s="18">
        <v>0.38154712339066921</v>
      </c>
      <c r="Z204" s="18">
        <v>0.53422263393596936</v>
      </c>
      <c r="AA204" s="18">
        <f t="shared" si="69"/>
        <v>-0.62694260942479874</v>
      </c>
      <c r="AB204" s="18">
        <f t="shared" si="70"/>
        <v>-0.48053427985116476</v>
      </c>
      <c r="AC204" s="18">
        <f t="shared" si="71"/>
        <v>-375.43466546455159</v>
      </c>
    </row>
    <row r="205" spans="1:29" x14ac:dyDescent="0.25">
      <c r="A205" s="13" t="str">
        <f t="shared" si="72"/>
        <v/>
      </c>
      <c r="B205" s="30">
        <f>IF(B204=$C$9,$C$6,IF(OR(ISNA(B204),B204=$C$6),NA(),Main!A172))</f>
        <v>171</v>
      </c>
      <c r="C205" s="29">
        <f>IF(ISNA(B205),NA(),IF(B205=$C$6,$C$19,Main!C172))</f>
        <v>0.26509999999999989</v>
      </c>
      <c r="D205" s="19">
        <f t="shared" si="73"/>
        <v>0.4659400544959128</v>
      </c>
      <c r="E205" s="18">
        <f t="shared" si="74"/>
        <v>0.26958247415732917</v>
      </c>
      <c r="F205" s="18">
        <f t="shared" si="75"/>
        <v>1.281293585330292</v>
      </c>
      <c r="G205" s="18">
        <f t="shared" si="76"/>
        <v>0.2164023059635603</v>
      </c>
      <c r="H205" s="18">
        <f t="shared" si="77"/>
        <v>4.3908225834116202E-3</v>
      </c>
      <c r="I205" s="18">
        <f t="shared" si="59"/>
        <v>0.21076220305904564</v>
      </c>
      <c r="J205" s="18">
        <f t="shared" si="60"/>
        <v>0.22204240886807497</v>
      </c>
      <c r="K205" s="18">
        <f t="shared" si="61"/>
        <v>0.20915882515692996</v>
      </c>
      <c r="L205" s="18">
        <f t="shared" si="62"/>
        <v>0.22364578677019065</v>
      </c>
      <c r="M205" s="18">
        <f t="shared" si="63"/>
        <v>0.20776759274864964</v>
      </c>
      <c r="N205" s="18">
        <f t="shared" si="64"/>
        <v>0.22503701917847097</v>
      </c>
      <c r="O205" s="18">
        <f t="shared" si="65"/>
        <v>0.20503345293332512</v>
      </c>
      <c r="P205" s="18">
        <f t="shared" si="66"/>
        <v>0.22777115899379549</v>
      </c>
      <c r="Q205" s="18">
        <f t="shared" si="78"/>
        <v>0.67357378935618784</v>
      </c>
      <c r="R205" s="18">
        <f t="shared" si="56"/>
        <v>0.92847028214063287</v>
      </c>
      <c r="S205" s="18">
        <f t="shared" si="57"/>
        <v>5.6122254739842141E-3</v>
      </c>
      <c r="T205" s="18">
        <f t="shared" si="67"/>
        <v>0.20536565928866396</v>
      </c>
      <c r="U205" s="18">
        <f t="shared" si="68"/>
        <v>0.22743895263845665</v>
      </c>
      <c r="V205" s="40" t="str">
        <f t="shared" si="58"/>
        <v>Y</v>
      </c>
      <c r="W205" s="18">
        <v>2.1449000000000003</v>
      </c>
      <c r="X205" s="18">
        <f t="shared" si="55"/>
        <v>0.38154712339066921</v>
      </c>
      <c r="Y205" s="18">
        <v>0.38154712339066921</v>
      </c>
      <c r="Z205" s="18">
        <v>0.53422263393596936</v>
      </c>
      <c r="AA205" s="18">
        <f t="shared" si="69"/>
        <v>-0.62694260942479874</v>
      </c>
      <c r="AB205" s="18">
        <f t="shared" si="70"/>
        <v>-0.48053427985116476</v>
      </c>
      <c r="AC205" s="18">
        <f t="shared" si="71"/>
        <v>-377.64961924310353</v>
      </c>
    </row>
    <row r="206" spans="1:29" x14ac:dyDescent="0.25">
      <c r="A206" s="13" t="str">
        <f t="shared" si="72"/>
        <v/>
      </c>
      <c r="B206" s="30">
        <f>IF(B205=$C$9,$C$6,IF(OR(ISNA(B205),B205=$C$6),NA(),Main!A173))</f>
        <v>172</v>
      </c>
      <c r="C206" s="29">
        <f>IF(ISNA(B206),NA(),IF(B206=$C$6,$C$19,Main!C173))</f>
        <v>0.26509999999999989</v>
      </c>
      <c r="D206" s="19">
        <f t="shared" si="73"/>
        <v>0.46866485013623976</v>
      </c>
      <c r="E206" s="18">
        <f t="shared" si="74"/>
        <v>0.27724688062656555</v>
      </c>
      <c r="F206" s="18">
        <f t="shared" si="75"/>
        <v>1.281293585330292</v>
      </c>
      <c r="G206" s="18">
        <f t="shared" si="76"/>
        <v>0.21696877405826093</v>
      </c>
      <c r="H206" s="18">
        <f t="shared" si="77"/>
        <v>4.4018350310328089E-3</v>
      </c>
      <c r="I206" s="18">
        <f t="shared" si="59"/>
        <v>0.21131452543580068</v>
      </c>
      <c r="J206" s="18">
        <f t="shared" si="60"/>
        <v>0.22262302268072118</v>
      </c>
      <c r="K206" s="18">
        <f t="shared" si="61"/>
        <v>0.20970712616529022</v>
      </c>
      <c r="L206" s="18">
        <f t="shared" si="62"/>
        <v>0.22423042195123163</v>
      </c>
      <c r="M206" s="18">
        <f t="shared" si="63"/>
        <v>0.20831240446229712</v>
      </c>
      <c r="N206" s="18">
        <f t="shared" si="64"/>
        <v>0.22562514365422473</v>
      </c>
      <c r="O206" s="18">
        <f t="shared" si="65"/>
        <v>0.20557140725956205</v>
      </c>
      <c r="P206" s="18">
        <f t="shared" si="66"/>
        <v>0.2283661408569598</v>
      </c>
      <c r="Q206" s="18">
        <f t="shared" si="78"/>
        <v>0.67357378935618784</v>
      </c>
      <c r="R206" s="18">
        <f t="shared" si="56"/>
        <v>0.92847028214063287</v>
      </c>
      <c r="S206" s="18">
        <f t="shared" si="57"/>
        <v>5.6122254739842141E-3</v>
      </c>
      <c r="T206" s="18">
        <f t="shared" si="67"/>
        <v>0.20593212738336458</v>
      </c>
      <c r="U206" s="18">
        <f t="shared" si="68"/>
        <v>0.22800542073315727</v>
      </c>
      <c r="V206" s="40" t="str">
        <f t="shared" si="58"/>
        <v>Y</v>
      </c>
      <c r="W206" s="18">
        <v>2.1449000000000003</v>
      </c>
      <c r="X206" s="18">
        <f t="shared" si="55"/>
        <v>0.38154712339066921</v>
      </c>
      <c r="Y206" s="18">
        <v>0.38154712339066921</v>
      </c>
      <c r="Z206" s="18">
        <v>0.53422263393596936</v>
      </c>
      <c r="AA206" s="18">
        <f t="shared" si="69"/>
        <v>-0.62694260942479874</v>
      </c>
      <c r="AB206" s="18">
        <f t="shared" si="70"/>
        <v>-0.48053427985116476</v>
      </c>
      <c r="AC206" s="18">
        <f t="shared" si="71"/>
        <v>-379.86457302165547</v>
      </c>
    </row>
    <row r="207" spans="1:29" x14ac:dyDescent="0.25">
      <c r="A207" s="13" t="str">
        <f t="shared" si="72"/>
        <v/>
      </c>
      <c r="B207" s="30">
        <f>IF(B206=$C$9,$C$6,IF(OR(ISNA(B206),B206=$C$6),NA(),Main!A174))</f>
        <v>173</v>
      </c>
      <c r="C207" s="29">
        <f>IF(ISNA(B207),NA(),IF(B207=$C$6,$C$19,Main!C174))</f>
        <v>0.26509999999999989</v>
      </c>
      <c r="D207" s="19">
        <f t="shared" si="73"/>
        <v>0.47138964577656678</v>
      </c>
      <c r="E207" s="18">
        <f t="shared" si="74"/>
        <v>0.28492553711291985</v>
      </c>
      <c r="F207" s="18">
        <f t="shared" si="75"/>
        <v>1.281293585330292</v>
      </c>
      <c r="G207" s="18">
        <f t="shared" si="76"/>
        <v>0.21753629535650429</v>
      </c>
      <c r="H207" s="18">
        <f t="shared" si="77"/>
        <v>4.4129615269883488E-3</v>
      </c>
      <c r="I207" s="18">
        <f t="shared" si="59"/>
        <v>0.21186775451864162</v>
      </c>
      <c r="J207" s="18">
        <f t="shared" si="60"/>
        <v>0.22320483619436696</v>
      </c>
      <c r="K207" s="18">
        <f t="shared" si="61"/>
        <v>0.21025629223319395</v>
      </c>
      <c r="L207" s="18">
        <f t="shared" si="62"/>
        <v>0.22481629847981463</v>
      </c>
      <c r="M207" s="18">
        <f t="shared" si="63"/>
        <v>0.20885804509926623</v>
      </c>
      <c r="N207" s="18">
        <f t="shared" si="64"/>
        <v>0.22621454561374235</v>
      </c>
      <c r="O207" s="18">
        <f t="shared" si="65"/>
        <v>0.20611011949188279</v>
      </c>
      <c r="P207" s="18">
        <f t="shared" si="66"/>
        <v>0.22896247122112579</v>
      </c>
      <c r="Q207" s="18">
        <f t="shared" si="78"/>
        <v>0.67357378935618784</v>
      </c>
      <c r="R207" s="18">
        <f t="shared" si="56"/>
        <v>0.92847028214063287</v>
      </c>
      <c r="S207" s="18">
        <f t="shared" si="57"/>
        <v>5.6122254739842141E-3</v>
      </c>
      <c r="T207" s="18">
        <f t="shared" si="67"/>
        <v>0.20649964868160794</v>
      </c>
      <c r="U207" s="18">
        <f t="shared" si="68"/>
        <v>0.22857294203140063</v>
      </c>
      <c r="V207" s="40" t="str">
        <f t="shared" si="58"/>
        <v>Y</v>
      </c>
      <c r="W207" s="18">
        <v>2.1449000000000003</v>
      </c>
      <c r="X207" s="18">
        <f t="shared" si="55"/>
        <v>0.38154712339066921</v>
      </c>
      <c r="Y207" s="18">
        <v>0.38154712339066921</v>
      </c>
      <c r="Z207" s="18">
        <v>0.53422263393596936</v>
      </c>
      <c r="AA207" s="18">
        <f t="shared" si="69"/>
        <v>-0.62694260942479874</v>
      </c>
      <c r="AB207" s="18">
        <f t="shared" si="70"/>
        <v>-0.48053427985116476</v>
      </c>
      <c r="AC207" s="18">
        <f t="shared" si="71"/>
        <v>-382.07952680020736</v>
      </c>
    </row>
    <row r="208" spans="1:29" x14ac:dyDescent="0.25">
      <c r="A208" s="13" t="str">
        <f t="shared" si="72"/>
        <v/>
      </c>
      <c r="B208" s="30">
        <f>IF(B207=$C$9,$C$6,IF(OR(ISNA(B207),B207=$C$6),NA(),Main!A175))</f>
        <v>174</v>
      </c>
      <c r="C208" s="29">
        <f>IF(ISNA(B208),NA(),IF(B208=$C$6,$C$19,Main!C175))</f>
        <v>0.26509999999999989</v>
      </c>
      <c r="D208" s="19">
        <f t="shared" si="73"/>
        <v>0.47411444141689374</v>
      </c>
      <c r="E208" s="18">
        <f t="shared" si="74"/>
        <v>0.29261883980619408</v>
      </c>
      <c r="F208" s="18">
        <f t="shared" si="75"/>
        <v>1.281293585330292</v>
      </c>
      <c r="G208" s="18">
        <f t="shared" si="76"/>
        <v>0.21810489914025541</v>
      </c>
      <c r="H208" s="18">
        <f t="shared" si="77"/>
        <v>4.4242024653803553E-3</v>
      </c>
      <c r="I208" s="18">
        <f t="shared" si="59"/>
        <v>0.21242191908330113</v>
      </c>
      <c r="J208" s="18">
        <f t="shared" si="60"/>
        <v>0.22378787919720969</v>
      </c>
      <c r="K208" s="18">
        <f t="shared" si="61"/>
        <v>0.2108063519924612</v>
      </c>
      <c r="L208" s="18">
        <f t="shared" si="62"/>
        <v>0.22540344628804962</v>
      </c>
      <c r="M208" s="18">
        <f t="shared" si="63"/>
        <v>0.20940454316650578</v>
      </c>
      <c r="N208" s="18">
        <f t="shared" si="64"/>
        <v>0.22680525511400504</v>
      </c>
      <c r="O208" s="18">
        <f t="shared" si="65"/>
        <v>0.20664961789183101</v>
      </c>
      <c r="P208" s="18">
        <f t="shared" si="66"/>
        <v>0.22956018038867981</v>
      </c>
      <c r="Q208" s="18">
        <f t="shared" si="78"/>
        <v>0.67357378935618784</v>
      </c>
      <c r="R208" s="18">
        <f t="shared" si="56"/>
        <v>0.92847028214063287</v>
      </c>
      <c r="S208" s="18">
        <f t="shared" si="57"/>
        <v>5.6122254739842141E-3</v>
      </c>
      <c r="T208" s="18">
        <f t="shared" si="67"/>
        <v>0.20706825246535907</v>
      </c>
      <c r="U208" s="18">
        <f t="shared" si="68"/>
        <v>0.22914154581515175</v>
      </c>
      <c r="V208" s="40" t="str">
        <f t="shared" si="58"/>
        <v>Y</v>
      </c>
      <c r="W208" s="18">
        <v>2.1449000000000003</v>
      </c>
      <c r="X208" s="18">
        <f t="shared" si="55"/>
        <v>0.38154712339066921</v>
      </c>
      <c r="Y208" s="18">
        <v>0.38154712339066921</v>
      </c>
      <c r="Z208" s="18">
        <v>0.53422263393596936</v>
      </c>
      <c r="AA208" s="18">
        <f t="shared" si="69"/>
        <v>-0.62694260942479874</v>
      </c>
      <c r="AB208" s="18">
        <f t="shared" si="70"/>
        <v>-0.48053427985116476</v>
      </c>
      <c r="AC208" s="18">
        <f t="shared" si="71"/>
        <v>-384.29448057875931</v>
      </c>
    </row>
    <row r="209" spans="1:29" x14ac:dyDescent="0.25">
      <c r="A209" s="13" t="str">
        <f t="shared" si="72"/>
        <v/>
      </c>
      <c r="B209" s="30">
        <f>IF(B208=$C$9,$C$6,IF(OR(ISNA(B208),B208=$C$6),NA(),Main!A176))</f>
        <v>175</v>
      </c>
      <c r="C209" s="29">
        <f>IF(ISNA(B209),NA(),IF(B209=$C$6,$C$19,Main!C176))</f>
        <v>0.26509999999999989</v>
      </c>
      <c r="D209" s="19">
        <f t="shared" si="73"/>
        <v>0.4768392370572207</v>
      </c>
      <c r="E209" s="18">
        <f t="shared" si="74"/>
        <v>0.30032718714577333</v>
      </c>
      <c r="F209" s="18">
        <f t="shared" si="75"/>
        <v>1.281293585330292</v>
      </c>
      <c r="G209" s="18">
        <f t="shared" si="76"/>
        <v>0.21867461485774362</v>
      </c>
      <c r="H209" s="18">
        <f t="shared" si="77"/>
        <v>4.43555825704137E-3</v>
      </c>
      <c r="I209" s="18">
        <f t="shared" si="59"/>
        <v>0.21297704805028561</v>
      </c>
      <c r="J209" s="18">
        <f t="shared" si="60"/>
        <v>0.22437218166520162</v>
      </c>
      <c r="K209" s="18">
        <f t="shared" si="61"/>
        <v>0.21135733421357644</v>
      </c>
      <c r="L209" s="18">
        <f t="shared" si="62"/>
        <v>0.22599189550191079</v>
      </c>
      <c r="M209" s="18">
        <f t="shared" si="63"/>
        <v>0.20995192730432791</v>
      </c>
      <c r="N209" s="18">
        <f t="shared" si="64"/>
        <v>0.22739730241115932</v>
      </c>
      <c r="O209" s="18">
        <f t="shared" si="65"/>
        <v>0.20718993084389578</v>
      </c>
      <c r="P209" s="18">
        <f t="shared" si="66"/>
        <v>0.23015929887159145</v>
      </c>
      <c r="Q209" s="18">
        <f t="shared" si="78"/>
        <v>0.67357378935618784</v>
      </c>
      <c r="R209" s="18">
        <f t="shared" si="56"/>
        <v>0.92847028214063287</v>
      </c>
      <c r="S209" s="18">
        <f t="shared" si="57"/>
        <v>5.6122254739842141E-3</v>
      </c>
      <c r="T209" s="18">
        <f t="shared" si="67"/>
        <v>0.20763796818284727</v>
      </c>
      <c r="U209" s="18">
        <f t="shared" si="68"/>
        <v>0.22971126153263996</v>
      </c>
      <c r="V209" s="40" t="str">
        <f t="shared" si="58"/>
        <v>Y</v>
      </c>
      <c r="W209" s="18">
        <v>2.1449000000000003</v>
      </c>
      <c r="X209" s="18">
        <f t="shared" si="55"/>
        <v>0.38154712339066921</v>
      </c>
      <c r="Y209" s="18">
        <v>0.38154712339066921</v>
      </c>
      <c r="Z209" s="18">
        <v>0.53422263393596936</v>
      </c>
      <c r="AA209" s="18">
        <f t="shared" si="69"/>
        <v>-0.62694260942479874</v>
      </c>
      <c r="AB209" s="18">
        <f t="shared" si="70"/>
        <v>-0.48053427985116476</v>
      </c>
      <c r="AC209" s="18">
        <f t="shared" si="71"/>
        <v>-386.50943435731125</v>
      </c>
    </row>
    <row r="210" spans="1:29" x14ac:dyDescent="0.25">
      <c r="A210" s="13" t="str">
        <f t="shared" si="72"/>
        <v/>
      </c>
      <c r="B210" s="30">
        <f>IF(B209=$C$9,$C$6,IF(OR(ISNA(B209),B209=$C$6),NA(),Main!A177))</f>
        <v>176</v>
      </c>
      <c r="C210" s="29">
        <f>IF(ISNA(B210),NA(),IF(B210=$C$6,$C$19,Main!C177))</f>
        <v>0.26509999999999989</v>
      </c>
      <c r="D210" s="19">
        <f t="shared" si="73"/>
        <v>0.47956403269754766</v>
      </c>
      <c r="E210" s="18">
        <f t="shared" si="74"/>
        <v>0.30805097995200537</v>
      </c>
      <c r="F210" s="18">
        <f t="shared" si="75"/>
        <v>1.281293585330292</v>
      </c>
      <c r="G210" s="18">
        <f t="shared" si="76"/>
        <v>0.21924547213317261</v>
      </c>
      <c r="H210" s="18">
        <f t="shared" si="77"/>
        <v>4.447029329710174E-3</v>
      </c>
      <c r="I210" s="18">
        <f t="shared" si="59"/>
        <v>0.21353317049435941</v>
      </c>
      <c r="J210" s="18">
        <f t="shared" si="60"/>
        <v>0.22495777377198581</v>
      </c>
      <c r="K210" s="18">
        <f t="shared" si="61"/>
        <v>0.21190926781510847</v>
      </c>
      <c r="L210" s="18">
        <f t="shared" si="62"/>
        <v>0.22658167645123675</v>
      </c>
      <c r="M210" s="18">
        <f t="shared" si="63"/>
        <v>0.21050022629577231</v>
      </c>
      <c r="N210" s="18">
        <f t="shared" si="64"/>
        <v>0.22799071797057291</v>
      </c>
      <c r="O210" s="18">
        <f t="shared" si="65"/>
        <v>0.20773108686476635</v>
      </c>
      <c r="P210" s="18">
        <f t="shared" si="66"/>
        <v>0.23075985740157887</v>
      </c>
      <c r="Q210" s="18">
        <f t="shared" si="78"/>
        <v>0.67357378935618784</v>
      </c>
      <c r="R210" s="18">
        <f t="shared" si="56"/>
        <v>0.92847028214063287</v>
      </c>
      <c r="S210" s="18">
        <f t="shared" si="57"/>
        <v>5.6122254739842141E-3</v>
      </c>
      <c r="T210" s="18">
        <f t="shared" si="67"/>
        <v>0.20820882545827626</v>
      </c>
      <c r="U210" s="18">
        <f t="shared" si="68"/>
        <v>0.23028211880806895</v>
      </c>
      <c r="V210" s="40" t="str">
        <f t="shared" si="58"/>
        <v>Y</v>
      </c>
      <c r="W210" s="18">
        <v>2.1449000000000003</v>
      </c>
      <c r="X210" s="18">
        <f t="shared" si="55"/>
        <v>0.38154712339066921</v>
      </c>
      <c r="Y210" s="18">
        <v>0.38154712339066921</v>
      </c>
      <c r="Z210" s="18">
        <v>0.53422263393596936</v>
      </c>
      <c r="AA210" s="18">
        <f t="shared" si="69"/>
        <v>-0.62694260942479874</v>
      </c>
      <c r="AB210" s="18">
        <f t="shared" si="70"/>
        <v>-0.48053427985116476</v>
      </c>
      <c r="AC210" s="18">
        <f t="shared" si="71"/>
        <v>-388.72438813586319</v>
      </c>
    </row>
    <row r="211" spans="1:29" x14ac:dyDescent="0.25">
      <c r="A211" s="13" t="str">
        <f t="shared" si="72"/>
        <v/>
      </c>
      <c r="B211" s="30">
        <f>IF(B210=$C$9,$C$6,IF(OR(ISNA(B210),B210=$C$6),NA(),Main!A178))</f>
        <v>177</v>
      </c>
      <c r="C211" s="29">
        <f>IF(ISNA(B211),NA(),IF(B211=$C$6,$C$19,Main!C178))</f>
        <v>0.26509999999999989</v>
      </c>
      <c r="D211" s="19">
        <f t="shared" si="73"/>
        <v>0.48228882833787468</v>
      </c>
      <c r="E211" s="18">
        <f t="shared" si="74"/>
        <v>0.31579062155873949</v>
      </c>
      <c r="F211" s="18">
        <f t="shared" si="75"/>
        <v>1.281293585330292</v>
      </c>
      <c r="G211" s="18">
        <f t="shared" si="76"/>
        <v>0.21981750077651638</v>
      </c>
      <c r="H211" s="18">
        <f t="shared" si="77"/>
        <v>4.4586161282164334E-3</v>
      </c>
      <c r="I211" s="18">
        <f t="shared" si="59"/>
        <v>0.21409031565410352</v>
      </c>
      <c r="J211" s="18">
        <f t="shared" si="60"/>
        <v>0.22554468589892923</v>
      </c>
      <c r="K211" s="18">
        <f t="shared" si="61"/>
        <v>0.21246218187320176</v>
      </c>
      <c r="L211" s="18">
        <f t="shared" si="62"/>
        <v>0.227172819679831</v>
      </c>
      <c r="M211" s="18">
        <f t="shared" si="63"/>
        <v>0.21104946907603919</v>
      </c>
      <c r="N211" s="18">
        <f t="shared" si="64"/>
        <v>0.22858553247699356</v>
      </c>
      <c r="O211" s="18">
        <f t="shared" si="65"/>
        <v>0.20827311461265005</v>
      </c>
      <c r="P211" s="18">
        <f t="shared" si="66"/>
        <v>0.2313618869403827</v>
      </c>
      <c r="Q211" s="18">
        <f t="shared" si="78"/>
        <v>0.67357378935618784</v>
      </c>
      <c r="R211" s="18">
        <f t="shared" si="56"/>
        <v>0.92847028214063287</v>
      </c>
      <c r="S211" s="18">
        <f t="shared" si="57"/>
        <v>5.6122254739842141E-3</v>
      </c>
      <c r="T211" s="18">
        <f t="shared" si="67"/>
        <v>0.20878085410162003</v>
      </c>
      <c r="U211" s="18">
        <f t="shared" si="68"/>
        <v>0.23085414745141272</v>
      </c>
      <c r="V211" s="40" t="str">
        <f t="shared" si="58"/>
        <v>Y</v>
      </c>
      <c r="W211" s="18">
        <v>2.1449000000000003</v>
      </c>
      <c r="X211" s="18">
        <f t="shared" si="55"/>
        <v>0.38154712339066921</v>
      </c>
      <c r="Y211" s="18">
        <v>0.38154712339066921</v>
      </c>
      <c r="Z211" s="18">
        <v>0.53422263393596936</v>
      </c>
      <c r="AA211" s="18">
        <f t="shared" si="69"/>
        <v>-0.62694260942479874</v>
      </c>
      <c r="AB211" s="18">
        <f t="shared" si="70"/>
        <v>-0.48053427985116476</v>
      </c>
      <c r="AC211" s="18">
        <f t="shared" si="71"/>
        <v>-390.93934191441508</v>
      </c>
    </row>
    <row r="212" spans="1:29" x14ac:dyDescent="0.25">
      <c r="A212" s="13" t="str">
        <f t="shared" si="72"/>
        <v/>
      </c>
      <c r="B212" s="30">
        <f>IF(B211=$C$9,$C$6,IF(OR(ISNA(B211),B211=$C$6),NA(),Main!A179))</f>
        <v>178</v>
      </c>
      <c r="C212" s="29">
        <f>IF(ISNA(B212),NA(),IF(B212=$C$6,$C$19,Main!C179))</f>
        <v>0.26509999999999989</v>
      </c>
      <c r="D212" s="19">
        <f t="shared" si="73"/>
        <v>0.48501362397820164</v>
      </c>
      <c r="E212" s="18">
        <f t="shared" si="74"/>
        <v>0.32354651794713363</v>
      </c>
      <c r="F212" s="18">
        <f t="shared" si="75"/>
        <v>1.281293585330292</v>
      </c>
      <c r="G212" s="18">
        <f t="shared" si="76"/>
        <v>0.2203907307934086</v>
      </c>
      <c r="H212" s="18">
        <f t="shared" si="77"/>
        <v>4.4703191146743372E-3</v>
      </c>
      <c r="I212" s="18">
        <f t="shared" si="59"/>
        <v>0.21464851294155635</v>
      </c>
      <c r="J212" s="18">
        <f t="shared" si="60"/>
        <v>0.22613294864526085</v>
      </c>
      <c r="K212" s="18">
        <f t="shared" si="61"/>
        <v>0.21301610563114642</v>
      </c>
      <c r="L212" s="18">
        <f t="shared" si="62"/>
        <v>0.22776535595567077</v>
      </c>
      <c r="M212" s="18">
        <f t="shared" si="63"/>
        <v>0.21159968474199778</v>
      </c>
      <c r="N212" s="18">
        <f t="shared" si="64"/>
        <v>0.22918177684481941</v>
      </c>
      <c r="O212" s="18">
        <f t="shared" si="65"/>
        <v>0.20881604289666028</v>
      </c>
      <c r="P212" s="18">
        <f t="shared" si="66"/>
        <v>0.23196541869015691</v>
      </c>
      <c r="Q212" s="18">
        <f t="shared" si="78"/>
        <v>0.67357378935618784</v>
      </c>
      <c r="R212" s="18">
        <f t="shared" si="56"/>
        <v>0.92847028214063287</v>
      </c>
      <c r="S212" s="18">
        <f t="shared" si="57"/>
        <v>5.6122254739842141E-3</v>
      </c>
      <c r="T212" s="18">
        <f t="shared" si="67"/>
        <v>0.20935408411851225</v>
      </c>
      <c r="U212" s="18">
        <f t="shared" si="68"/>
        <v>0.23142737746830494</v>
      </c>
      <c r="V212" s="40" t="str">
        <f t="shared" si="58"/>
        <v>Y</v>
      </c>
      <c r="W212" s="18">
        <v>2.1449000000000003</v>
      </c>
      <c r="X212" s="18">
        <f t="shared" si="55"/>
        <v>0.38154712339066921</v>
      </c>
      <c r="Y212" s="18">
        <v>0.38154712339066921</v>
      </c>
      <c r="Z212" s="18">
        <v>0.53422263393596936</v>
      </c>
      <c r="AA212" s="18">
        <f t="shared" si="69"/>
        <v>-0.62694260942479874</v>
      </c>
      <c r="AB212" s="18">
        <f t="shared" si="70"/>
        <v>-0.48053427985116476</v>
      </c>
      <c r="AC212" s="18">
        <f t="shared" si="71"/>
        <v>-393.15429569296703</v>
      </c>
    </row>
    <row r="213" spans="1:29" x14ac:dyDescent="0.25">
      <c r="A213" s="13" t="str">
        <f t="shared" si="72"/>
        <v/>
      </c>
      <c r="B213" s="30">
        <f>IF(B212=$C$9,$C$6,IF(OR(ISNA(B212),B212=$C$6),NA(),Main!A180))</f>
        <v>179</v>
      </c>
      <c r="C213" s="29">
        <f>IF(ISNA(B213),NA(),IF(B213=$C$6,$C$19,Main!C180))</f>
        <v>0.26509999999999989</v>
      </c>
      <c r="D213" s="19">
        <f t="shared" si="73"/>
        <v>0.4877384196185286</v>
      </c>
      <c r="E213" s="18">
        <f t="shared" si="74"/>
        <v>0.33131907788084602</v>
      </c>
      <c r="F213" s="18">
        <f t="shared" si="75"/>
        <v>1.281293585330292</v>
      </c>
      <c r="G213" s="18">
        <f t="shared" si="76"/>
        <v>0.2209651923951346</v>
      </c>
      <c r="H213" s="18">
        <f t="shared" si="77"/>
        <v>4.4821387686853524E-3</v>
      </c>
      <c r="I213" s="18">
        <f t="shared" si="59"/>
        <v>0.2152077919519452</v>
      </c>
      <c r="J213" s="18">
        <f t="shared" si="60"/>
        <v>0.22672259283832399</v>
      </c>
      <c r="K213" s="18">
        <f t="shared" si="61"/>
        <v>0.21357106850903576</v>
      </c>
      <c r="L213" s="18">
        <f t="shared" si="62"/>
        <v>0.22835931628123343</v>
      </c>
      <c r="M213" s="18">
        <f t="shared" si="63"/>
        <v>0.21215090256177954</v>
      </c>
      <c r="N213" s="18">
        <f t="shared" si="64"/>
        <v>0.22977948222848965</v>
      </c>
      <c r="O213" s="18">
        <f t="shared" si="65"/>
        <v>0.20935990068628349</v>
      </c>
      <c r="P213" s="18">
        <f t="shared" si="66"/>
        <v>0.2325704841039857</v>
      </c>
      <c r="Q213" s="18">
        <f t="shared" si="78"/>
        <v>0.67357378935618784</v>
      </c>
      <c r="R213" s="18">
        <f t="shared" si="56"/>
        <v>0.92847028214063287</v>
      </c>
      <c r="S213" s="18">
        <f t="shared" si="57"/>
        <v>5.6122254739842141E-3</v>
      </c>
      <c r="T213" s="18">
        <f t="shared" si="67"/>
        <v>0.20992854572023825</v>
      </c>
      <c r="U213" s="18">
        <f t="shared" si="68"/>
        <v>0.23200183907003094</v>
      </c>
      <c r="V213" s="40" t="str">
        <f t="shared" si="58"/>
        <v>Y</v>
      </c>
      <c r="W213" s="18">
        <v>2.1449000000000003</v>
      </c>
      <c r="X213" s="18">
        <f t="shared" si="55"/>
        <v>0.38154712339066921</v>
      </c>
      <c r="Y213" s="18">
        <v>0.38154712339066921</v>
      </c>
      <c r="Z213" s="18">
        <v>0.53422263393596936</v>
      </c>
      <c r="AA213" s="18">
        <f t="shared" si="69"/>
        <v>-0.62694260942479874</v>
      </c>
      <c r="AB213" s="18">
        <f t="shared" si="70"/>
        <v>-0.48053427985116476</v>
      </c>
      <c r="AC213" s="18">
        <f t="shared" si="71"/>
        <v>-395.36924947151897</v>
      </c>
    </row>
    <row r="214" spans="1:29" x14ac:dyDescent="0.25">
      <c r="A214" s="13" t="str">
        <f t="shared" si="72"/>
        <v/>
      </c>
      <c r="B214" s="30">
        <f>IF(B213=$C$9,$C$6,IF(OR(ISNA(B213),B213=$C$6),NA(),Main!A181))</f>
        <v>180</v>
      </c>
      <c r="C214" s="29">
        <f>IF(ISNA(B214),NA(),IF(B214=$C$6,$C$19,Main!C181))</f>
        <v>0.26509999999999989</v>
      </c>
      <c r="D214" s="19">
        <f t="shared" si="73"/>
        <v>0.49046321525885561</v>
      </c>
      <c r="E214" s="18">
        <f t="shared" si="74"/>
        <v>0.3391087130427205</v>
      </c>
      <c r="F214" s="18">
        <f t="shared" si="75"/>
        <v>1.281293585330292</v>
      </c>
      <c r="G214" s="18">
        <f t="shared" si="76"/>
        <v>0.22154091600873357</v>
      </c>
      <c r="H214" s="18">
        <f t="shared" si="77"/>
        <v>4.4940755875502612E-3</v>
      </c>
      <c r="I214" s="18">
        <f t="shared" si="59"/>
        <v>0.21576818247351606</v>
      </c>
      <c r="J214" s="18">
        <f t="shared" si="60"/>
        <v>0.22731364954395109</v>
      </c>
      <c r="K214" s="18">
        <f t="shared" si="61"/>
        <v>0.21412710011351851</v>
      </c>
      <c r="L214" s="18">
        <f t="shared" si="62"/>
        <v>0.22895473190394863</v>
      </c>
      <c r="M214" s="18">
        <f t="shared" si="63"/>
        <v>0.21270315198446355</v>
      </c>
      <c r="N214" s="18">
        <f t="shared" si="64"/>
        <v>0.2303786800330036</v>
      </c>
      <c r="O214" s="18">
        <f t="shared" si="65"/>
        <v>0.20990471712093234</v>
      </c>
      <c r="P214" s="18">
        <f t="shared" si="66"/>
        <v>0.23317711489653481</v>
      </c>
      <c r="Q214" s="18">
        <f t="shared" si="78"/>
        <v>0.67357378935618784</v>
      </c>
      <c r="R214" s="18">
        <f t="shared" si="56"/>
        <v>0.92847028214063287</v>
      </c>
      <c r="S214" s="18">
        <f t="shared" si="57"/>
        <v>5.6122254739842141E-3</v>
      </c>
      <c r="T214" s="18">
        <f t="shared" si="67"/>
        <v>0.21050426933383723</v>
      </c>
      <c r="U214" s="18">
        <f t="shared" si="68"/>
        <v>0.23257756268362992</v>
      </c>
      <c r="V214" s="40" t="str">
        <f t="shared" si="58"/>
        <v>Y</v>
      </c>
      <c r="W214" s="18">
        <v>2.1449000000000003</v>
      </c>
      <c r="X214" s="18">
        <f t="shared" si="55"/>
        <v>0.38154712339066921</v>
      </c>
      <c r="Y214" s="18">
        <v>0.38154712339066921</v>
      </c>
      <c r="Z214" s="18">
        <v>0.53422263393596936</v>
      </c>
      <c r="AA214" s="18">
        <f t="shared" si="69"/>
        <v>-0.62694260942479874</v>
      </c>
      <c r="AB214" s="18">
        <f t="shared" si="70"/>
        <v>-0.48053427985116476</v>
      </c>
      <c r="AC214" s="18">
        <f t="shared" si="71"/>
        <v>-397.58420325007086</v>
      </c>
    </row>
    <row r="215" spans="1:29" x14ac:dyDescent="0.25">
      <c r="A215" s="13" t="str">
        <f t="shared" si="72"/>
        <v/>
      </c>
      <c r="B215" s="30">
        <f>IF(B214=$C$9,$C$6,IF(OR(ISNA(B214),B214=$C$6),NA(),Main!A182))</f>
        <v>181</v>
      </c>
      <c r="C215" s="29">
        <f>IF(ISNA(B215),NA(),IF(B215=$C$6,$C$19,Main!C182))</f>
        <v>0.26509999999999989</v>
      </c>
      <c r="D215" s="19">
        <f t="shared" si="73"/>
        <v>0.49318801089918257</v>
      </c>
      <c r="E215" s="18">
        <f t="shared" si="74"/>
        <v>0.34691583817308647</v>
      </c>
      <c r="F215" s="18">
        <f t="shared" si="75"/>
        <v>1.281293585330292</v>
      </c>
      <c r="G215" s="18">
        <f t="shared" si="76"/>
        <v>0.22211793228722024</v>
      </c>
      <c r="H215" s="18">
        <f t="shared" si="77"/>
        <v>4.506130086490665E-3</v>
      </c>
      <c r="I215" s="18">
        <f t="shared" si="59"/>
        <v>0.21632971449747077</v>
      </c>
      <c r="J215" s="18">
        <f t="shared" si="60"/>
        <v>0.22790615007696971</v>
      </c>
      <c r="K215" s="18">
        <f t="shared" si="61"/>
        <v>0.21468423024765532</v>
      </c>
      <c r="L215" s="18">
        <f t="shared" si="62"/>
        <v>0.22955163432678516</v>
      </c>
      <c r="M215" s="18">
        <f t="shared" si="63"/>
        <v>0.21325646264986234</v>
      </c>
      <c r="N215" s="18">
        <f t="shared" si="64"/>
        <v>0.23097940192457814</v>
      </c>
      <c r="O215" s="18">
        <f t="shared" si="65"/>
        <v>0.21045052151959395</v>
      </c>
      <c r="P215" s="18">
        <f t="shared" si="66"/>
        <v>0.23378534305484652</v>
      </c>
      <c r="Q215" s="18">
        <f t="shared" si="78"/>
        <v>0.67357378935618784</v>
      </c>
      <c r="R215" s="18">
        <f t="shared" si="56"/>
        <v>0.92847028214063287</v>
      </c>
      <c r="S215" s="18">
        <f t="shared" si="57"/>
        <v>5.6122254739842141E-3</v>
      </c>
      <c r="T215" s="18">
        <f t="shared" si="67"/>
        <v>0.21108128561232389</v>
      </c>
      <c r="U215" s="18">
        <f t="shared" si="68"/>
        <v>0.23315457896211658</v>
      </c>
      <c r="V215" s="40" t="str">
        <f t="shared" si="58"/>
        <v>Y</v>
      </c>
      <c r="W215" s="18">
        <v>2.1449000000000003</v>
      </c>
      <c r="X215" s="18">
        <f t="shared" si="55"/>
        <v>0.38154712339066921</v>
      </c>
      <c r="Y215" s="18">
        <v>0.38154712339066921</v>
      </c>
      <c r="Z215" s="18">
        <v>0.53422263393596936</v>
      </c>
      <c r="AA215" s="18">
        <f t="shared" si="69"/>
        <v>-0.62694260942479874</v>
      </c>
      <c r="AB215" s="18">
        <f t="shared" si="70"/>
        <v>-0.48053427985116476</v>
      </c>
      <c r="AC215" s="18">
        <f t="shared" si="71"/>
        <v>-399.7991570286228</v>
      </c>
    </row>
    <row r="216" spans="1:29" x14ac:dyDescent="0.25">
      <c r="A216" s="13" t="str">
        <f t="shared" si="72"/>
        <v/>
      </c>
      <c r="B216" s="30">
        <f>IF(B215=$C$9,$C$6,IF(OR(ISNA(B215),B215=$C$6),NA(),Main!A183))</f>
        <v>182</v>
      </c>
      <c r="C216" s="29">
        <f>IF(ISNA(B216),NA(),IF(B216=$C$6,$C$19,Main!C183))</f>
        <v>0.26509999999999989</v>
      </c>
      <c r="D216" s="19">
        <f t="shared" si="73"/>
        <v>0.49591280653950953</v>
      </c>
      <c r="E216" s="18">
        <f t="shared" si="74"/>
        <v>0.35474087120978925</v>
      </c>
      <c r="F216" s="18">
        <f t="shared" si="75"/>
        <v>1.281293585330292</v>
      </c>
      <c r="G216" s="18">
        <f t="shared" si="76"/>
        <v>0.22269627211993426</v>
      </c>
      <c r="H216" s="18">
        <f t="shared" si="77"/>
        <v>4.5183027988801175E-3</v>
      </c>
      <c r="I216" s="18">
        <f t="shared" si="59"/>
        <v>0.21689241822801955</v>
      </c>
      <c r="J216" s="18">
        <f t="shared" si="60"/>
        <v>0.22850012601184896</v>
      </c>
      <c r="K216" s="18">
        <f t="shared" si="61"/>
        <v>0.21524248892088665</v>
      </c>
      <c r="L216" s="18">
        <f t="shared" si="62"/>
        <v>0.23015005531898186</v>
      </c>
      <c r="M216" s="18">
        <f t="shared" si="63"/>
        <v>0.21381086439841701</v>
      </c>
      <c r="N216" s="18">
        <f t="shared" si="64"/>
        <v>0.2315816798414515</v>
      </c>
      <c r="O216" s="18">
        <f t="shared" si="65"/>
        <v>0.21099734339058074</v>
      </c>
      <c r="P216" s="18">
        <f t="shared" si="66"/>
        <v>0.23439520084928778</v>
      </c>
      <c r="Q216" s="18">
        <f t="shared" si="78"/>
        <v>0.67357378935618784</v>
      </c>
      <c r="R216" s="18">
        <f t="shared" si="56"/>
        <v>0.92847028214063287</v>
      </c>
      <c r="S216" s="18">
        <f t="shared" si="57"/>
        <v>5.6122254739842141E-3</v>
      </c>
      <c r="T216" s="18">
        <f t="shared" si="67"/>
        <v>0.21165962544503791</v>
      </c>
      <c r="U216" s="18">
        <f t="shared" si="68"/>
        <v>0.2337329187948306</v>
      </c>
      <c r="V216" s="40" t="str">
        <f t="shared" si="58"/>
        <v>Y</v>
      </c>
      <c r="W216" s="18">
        <v>2.1449000000000003</v>
      </c>
      <c r="X216" s="18">
        <f t="shared" si="55"/>
        <v>0.38154712339066921</v>
      </c>
      <c r="Y216" s="18">
        <v>0.38154712339066921</v>
      </c>
      <c r="Z216" s="18">
        <v>0.53422263393596936</v>
      </c>
      <c r="AA216" s="18">
        <f t="shared" si="69"/>
        <v>-0.62694260942479874</v>
      </c>
      <c r="AB216" s="18">
        <f t="shared" si="70"/>
        <v>-0.48053427985116476</v>
      </c>
      <c r="AC216" s="18">
        <f t="shared" si="71"/>
        <v>-402.01411080717475</v>
      </c>
    </row>
    <row r="217" spans="1:29" x14ac:dyDescent="0.25">
      <c r="A217" s="13" t="str">
        <f t="shared" si="72"/>
        <v/>
      </c>
      <c r="B217" s="30">
        <f>IF(B216=$C$9,$C$6,IF(OR(ISNA(B216),B216=$C$6),NA(),Main!A184))</f>
        <v>183</v>
      </c>
      <c r="C217" s="29">
        <f>IF(ISNA(B217),NA(),IF(B217=$C$6,$C$19,Main!C184))</f>
        <v>0.26509999999999989</v>
      </c>
      <c r="D217" s="19">
        <f t="shared" si="73"/>
        <v>0.49863760217983649</v>
      </c>
      <c r="E217" s="18">
        <f t="shared" si="74"/>
        <v>0.36258423343006985</v>
      </c>
      <c r="F217" s="18">
        <f t="shared" si="75"/>
        <v>1.281293585330292</v>
      </c>
      <c r="G217" s="18">
        <f t="shared" si="76"/>
        <v>0.22327596664302654</v>
      </c>
      <c r="H217" s="18">
        <f t="shared" si="77"/>
        <v>4.5305942764851054E-3</v>
      </c>
      <c r="I217" s="18">
        <f t="shared" si="59"/>
        <v>0.21745632409255783</v>
      </c>
      <c r="J217" s="18">
        <f t="shared" si="60"/>
        <v>0.22909560919349525</v>
      </c>
      <c r="K217" s="18">
        <f t="shared" si="61"/>
        <v>0.21580190635912172</v>
      </c>
      <c r="L217" s="18">
        <f t="shared" si="62"/>
        <v>0.23075002692693136</v>
      </c>
      <c r="M217" s="18">
        <f t="shared" si="63"/>
        <v>0.21436638728120946</v>
      </c>
      <c r="N217" s="18">
        <f t="shared" si="64"/>
        <v>0.23218554600484362</v>
      </c>
      <c r="O217" s="18">
        <f t="shared" si="65"/>
        <v>0.21154521244139285</v>
      </c>
      <c r="P217" s="18">
        <f t="shared" si="66"/>
        <v>0.23500672084466023</v>
      </c>
      <c r="Q217" s="18">
        <f t="shared" si="78"/>
        <v>0.67357378935618784</v>
      </c>
      <c r="R217" s="18">
        <f t="shared" si="56"/>
        <v>0.92847028214063287</v>
      </c>
      <c r="S217" s="18">
        <f t="shared" si="57"/>
        <v>5.6122254739842141E-3</v>
      </c>
      <c r="T217" s="18">
        <f t="shared" si="67"/>
        <v>0.2122393199681302</v>
      </c>
      <c r="U217" s="18">
        <f t="shared" si="68"/>
        <v>0.23431261331792289</v>
      </c>
      <c r="V217" s="40" t="str">
        <f t="shared" si="58"/>
        <v>Y</v>
      </c>
      <c r="W217" s="18">
        <v>2.1449000000000003</v>
      </c>
      <c r="X217" s="18">
        <f t="shared" si="55"/>
        <v>0.38154712339066921</v>
      </c>
      <c r="Y217" s="18">
        <v>0.38154712339066921</v>
      </c>
      <c r="Z217" s="18">
        <v>0.53422263393596936</v>
      </c>
      <c r="AA217" s="18">
        <f t="shared" si="69"/>
        <v>-0.62694260942479874</v>
      </c>
      <c r="AB217" s="18">
        <f t="shared" si="70"/>
        <v>-0.48053427985116476</v>
      </c>
      <c r="AC217" s="18">
        <f t="shared" si="71"/>
        <v>-404.22906458572663</v>
      </c>
    </row>
    <row r="218" spans="1:29" x14ac:dyDescent="0.25">
      <c r="A218" s="13" t="str">
        <f t="shared" si="72"/>
        <v/>
      </c>
      <c r="B218" s="30">
        <f>IF(B217=$C$9,$C$6,IF(OR(ISNA(B217),B217=$C$6),NA(),Main!A185))</f>
        <v>184</v>
      </c>
      <c r="C218" s="29">
        <f>IF(ISNA(B218),NA(),IF(B218=$C$6,$C$19,Main!C185))</f>
        <v>0.26509999999999989</v>
      </c>
      <c r="D218" s="19">
        <f t="shared" si="73"/>
        <v>0.50136239782016345</v>
      </c>
      <c r="E218" s="18">
        <f t="shared" si="74"/>
        <v>0.37044634959441686</v>
      </c>
      <c r="F218" s="18">
        <f t="shared" si="75"/>
        <v>1.281293585330292</v>
      </c>
      <c r="G218" s="18">
        <f t="shared" si="76"/>
        <v>0.22385704725009101</v>
      </c>
      <c r="H218" s="18">
        <f t="shared" si="77"/>
        <v>4.543005089716055E-3</v>
      </c>
      <c r="I218" s="18">
        <f t="shared" si="59"/>
        <v>0.21802146275197548</v>
      </c>
      <c r="J218" s="18">
        <f t="shared" si="60"/>
        <v>0.22969263174820653</v>
      </c>
      <c r="K218" s="18">
        <f t="shared" si="61"/>
        <v>0.21636251301495601</v>
      </c>
      <c r="L218" s="18">
        <f t="shared" si="62"/>
        <v>0.231351581485226</v>
      </c>
      <c r="M218" s="18">
        <f t="shared" si="63"/>
        <v>0.21492306157010069</v>
      </c>
      <c r="N218" s="18">
        <f t="shared" si="64"/>
        <v>0.23279103293008133</v>
      </c>
      <c r="O218" s="18">
        <f t="shared" si="65"/>
        <v>0.21209415858869995</v>
      </c>
      <c r="P218" s="18">
        <f t="shared" si="66"/>
        <v>0.23561993591148206</v>
      </c>
      <c r="Q218" s="18">
        <f t="shared" si="78"/>
        <v>0.67357378935618784</v>
      </c>
      <c r="R218" s="18">
        <f t="shared" si="56"/>
        <v>0.92847028214063287</v>
      </c>
      <c r="S218" s="18">
        <f t="shared" si="57"/>
        <v>5.6122254739842141E-3</v>
      </c>
      <c r="T218" s="18">
        <f t="shared" si="67"/>
        <v>0.21282040057519466</v>
      </c>
      <c r="U218" s="18">
        <f t="shared" si="68"/>
        <v>0.23489369392498735</v>
      </c>
      <c r="V218" s="40" t="str">
        <f t="shared" si="58"/>
        <v>Y</v>
      </c>
      <c r="W218" s="18">
        <v>2.1449000000000003</v>
      </c>
      <c r="X218" s="18">
        <f t="shared" si="55"/>
        <v>0.38154712339066921</v>
      </c>
      <c r="Y218" s="18">
        <v>0.38154712339066921</v>
      </c>
      <c r="Z218" s="18">
        <v>0.53422263393596936</v>
      </c>
      <c r="AA218" s="18">
        <f t="shared" si="69"/>
        <v>-0.62694260942479874</v>
      </c>
      <c r="AB218" s="18">
        <f t="shared" si="70"/>
        <v>-0.48053427985116476</v>
      </c>
      <c r="AC218" s="18">
        <f t="shared" si="71"/>
        <v>-406.44401836427858</v>
      </c>
    </row>
    <row r="219" spans="1:29" x14ac:dyDescent="0.25">
      <c r="A219" s="13" t="str">
        <f t="shared" si="72"/>
        <v/>
      </c>
      <c r="B219" s="30">
        <f>IF(B218=$C$9,$C$6,IF(OR(ISNA(B218),B218=$C$6),NA(),Main!A186))</f>
        <v>185</v>
      </c>
      <c r="C219" s="29">
        <f>IF(ISNA(B219),NA(),IF(B219=$C$6,$C$19,Main!C186))</f>
        <v>0.26509999999999989</v>
      </c>
      <c r="D219" s="19">
        <f t="shared" si="73"/>
        <v>0.50408719346049047</v>
      </c>
      <c r="E219" s="18">
        <f t="shared" si="74"/>
        <v>0.37832764809251523</v>
      </c>
      <c r="F219" s="18">
        <f t="shared" si="75"/>
        <v>1.281293585330292</v>
      </c>
      <c r="G219" s="18">
        <f t="shared" si="76"/>
        <v>0.22443954560295168</v>
      </c>
      <c r="H219" s="18">
        <f t="shared" si="77"/>
        <v>4.5555358278886113E-3</v>
      </c>
      <c r="I219" s="18">
        <f t="shared" si="59"/>
        <v>0.21858786511110828</v>
      </c>
      <c r="J219" s="18">
        <f t="shared" si="60"/>
        <v>0.23029122609479508</v>
      </c>
      <c r="K219" s="18">
        <f t="shared" si="61"/>
        <v>0.21692433957802754</v>
      </c>
      <c r="L219" s="18">
        <f t="shared" si="62"/>
        <v>0.23195475162787582</v>
      </c>
      <c r="M219" s="18">
        <f t="shared" si="63"/>
        <v>0.21548091776800388</v>
      </c>
      <c r="N219" s="18">
        <f t="shared" si="64"/>
        <v>0.23339817343789948</v>
      </c>
      <c r="O219" s="18">
        <f t="shared" si="65"/>
        <v>0.21264421196845187</v>
      </c>
      <c r="P219" s="18">
        <f t="shared" si="66"/>
        <v>0.23623487923745148</v>
      </c>
      <c r="Q219" s="18">
        <f t="shared" si="78"/>
        <v>0.67357378935618784</v>
      </c>
      <c r="R219" s="18">
        <f t="shared" si="56"/>
        <v>0.92847028214063287</v>
      </c>
      <c r="S219" s="18">
        <f t="shared" si="57"/>
        <v>5.6122254739842141E-3</v>
      </c>
      <c r="T219" s="18">
        <f t="shared" si="67"/>
        <v>0.21340289892805533</v>
      </c>
      <c r="U219" s="18">
        <f t="shared" si="68"/>
        <v>0.23547619227784802</v>
      </c>
      <c r="V219" s="40" t="str">
        <f t="shared" si="58"/>
        <v>Y</v>
      </c>
      <c r="W219" s="18">
        <v>2.1449000000000003</v>
      </c>
      <c r="X219" s="18">
        <f t="shared" si="55"/>
        <v>0.38154712339066921</v>
      </c>
      <c r="Y219" s="18">
        <v>0.38154712339066921</v>
      </c>
      <c r="Z219" s="18">
        <v>0.53422263393596936</v>
      </c>
      <c r="AA219" s="18">
        <f t="shared" si="69"/>
        <v>-0.62694260942479874</v>
      </c>
      <c r="AB219" s="18">
        <f t="shared" si="70"/>
        <v>-0.48053427985116476</v>
      </c>
      <c r="AC219" s="18">
        <f t="shared" si="71"/>
        <v>-408.65897214283052</v>
      </c>
    </row>
    <row r="220" spans="1:29" x14ac:dyDescent="0.25">
      <c r="A220" s="13" t="str">
        <f t="shared" si="72"/>
        <v/>
      </c>
      <c r="B220" s="30">
        <f>IF(B219=$C$9,$C$6,IF(OR(ISNA(B219),B219=$C$6),NA(),Main!A187))</f>
        <v>186</v>
      </c>
      <c r="C220" s="29">
        <f>IF(ISNA(B220),NA(),IF(B220=$C$6,$C$19,Main!C187))</f>
        <v>0.26509999999999989</v>
      </c>
      <c r="D220" s="19">
        <f t="shared" si="73"/>
        <v>0.50681198910081748</v>
      </c>
      <c r="E220" s="18">
        <f t="shared" si="74"/>
        <v>0.38622856109141929</v>
      </c>
      <c r="F220" s="18">
        <f t="shared" si="75"/>
        <v>1.281293585330292</v>
      </c>
      <c r="G220" s="18">
        <f t="shared" si="76"/>
        <v>0.22502349364261384</v>
      </c>
      <c r="H220" s="18">
        <f t="shared" si="77"/>
        <v>4.5681870994954054E-3</v>
      </c>
      <c r="I220" s="18">
        <f t="shared" si="59"/>
        <v>0.21915556232934011</v>
      </c>
      <c r="J220" s="18">
        <f t="shared" si="60"/>
        <v>0.23089142495588758</v>
      </c>
      <c r="K220" s="18">
        <f t="shared" si="61"/>
        <v>0.21748741698551943</v>
      </c>
      <c r="L220" s="18">
        <f t="shared" si="62"/>
        <v>0.23255957029970825</v>
      </c>
      <c r="M220" s="18">
        <f t="shared" si="63"/>
        <v>0.21603998661930138</v>
      </c>
      <c r="N220" s="18">
        <f t="shared" si="64"/>
        <v>0.23400700066592631</v>
      </c>
      <c r="O220" s="18">
        <f t="shared" si="65"/>
        <v>0.21319540294612602</v>
      </c>
      <c r="P220" s="18">
        <f t="shared" si="66"/>
        <v>0.23685158433910167</v>
      </c>
      <c r="Q220" s="18">
        <f t="shared" si="78"/>
        <v>0.67357378935618784</v>
      </c>
      <c r="R220" s="18">
        <f t="shared" si="56"/>
        <v>0.92847028214063287</v>
      </c>
      <c r="S220" s="18">
        <f t="shared" si="57"/>
        <v>5.6122254739842141E-3</v>
      </c>
      <c r="T220" s="18">
        <f t="shared" si="67"/>
        <v>0.2139868469677175</v>
      </c>
      <c r="U220" s="18">
        <f t="shared" si="68"/>
        <v>0.23606014031751019</v>
      </c>
      <c r="V220" s="40" t="str">
        <f t="shared" si="58"/>
        <v>Y</v>
      </c>
      <c r="W220" s="18">
        <v>2.1449000000000003</v>
      </c>
      <c r="X220" s="18">
        <f t="shared" si="55"/>
        <v>0.38154712339066921</v>
      </c>
      <c r="Y220" s="18">
        <v>0.38154712339066921</v>
      </c>
      <c r="Z220" s="18">
        <v>0.66501994267845621</v>
      </c>
      <c r="AA220" s="18">
        <f t="shared" si="69"/>
        <v>-0.40793824978578397</v>
      </c>
      <c r="AB220" s="18">
        <f t="shared" si="70"/>
        <v>-0.48053427985116476</v>
      </c>
      <c r="AC220" s="18">
        <f t="shared" si="71"/>
        <v>-329.62330849530798</v>
      </c>
    </row>
    <row r="221" spans="1:29" x14ac:dyDescent="0.25">
      <c r="A221" s="13" t="str">
        <f t="shared" si="72"/>
        <v/>
      </c>
      <c r="B221" s="30">
        <f>IF(B220=$C$9,$C$6,IF(OR(ISNA(B220),B220=$C$6),NA(),Main!A188))</f>
        <v>187</v>
      </c>
      <c r="C221" s="29">
        <f>IF(ISNA(B221),NA(),IF(B221=$C$6,$C$19,Main!C188))</f>
        <v>0.28920000000000012</v>
      </c>
      <c r="D221" s="19">
        <f t="shared" si="73"/>
        <v>0.50953678474114439</v>
      </c>
      <c r="E221" s="18">
        <f t="shared" si="74"/>
        <v>0.39414952468607772</v>
      </c>
      <c r="F221" s="18">
        <f t="shared" si="75"/>
        <v>1.0651694035671371</v>
      </c>
      <c r="G221" s="18">
        <f t="shared" si="76"/>
        <v>0.22560892360038934</v>
      </c>
      <c r="H221" s="18">
        <f t="shared" si="77"/>
        <v>4.5809595324885636E-3</v>
      </c>
      <c r="I221" s="18">
        <f t="shared" si="59"/>
        <v>0.21972458583136525</v>
      </c>
      <c r="J221" s="18">
        <f t="shared" si="60"/>
        <v>0.23149326136941342</v>
      </c>
      <c r="K221" s="18">
        <f t="shared" si="61"/>
        <v>0.21805177643281939</v>
      </c>
      <c r="L221" s="18">
        <f t="shared" si="62"/>
        <v>0.23316607076795928</v>
      </c>
      <c r="M221" s="18">
        <f t="shared" si="63"/>
        <v>0.21660029912041412</v>
      </c>
      <c r="N221" s="18">
        <f t="shared" si="64"/>
        <v>0.23461754808036456</v>
      </c>
      <c r="O221" s="18">
        <f t="shared" si="65"/>
        <v>0.21374776212712124</v>
      </c>
      <c r="P221" s="18">
        <f t="shared" si="66"/>
        <v>0.23747008507365744</v>
      </c>
      <c r="Q221" s="18">
        <f t="shared" si="78"/>
        <v>0.75186014708637094</v>
      </c>
      <c r="R221" s="18">
        <f t="shared" si="56"/>
        <v>1.2545472450562829</v>
      </c>
      <c r="S221" s="18">
        <f t="shared" si="57"/>
        <v>6.3606580795318056E-3</v>
      </c>
      <c r="T221" s="18">
        <f t="shared" si="67"/>
        <v>0.21310045683100615</v>
      </c>
      <c r="U221" s="18">
        <f t="shared" si="68"/>
        <v>0.23811739036977253</v>
      </c>
      <c r="V221" s="40" t="str">
        <f t="shared" si="58"/>
        <v>Y</v>
      </c>
      <c r="W221" s="18">
        <v>2.1208</v>
      </c>
      <c r="X221" s="18">
        <f t="shared" si="55"/>
        <v>0.22745712522122905</v>
      </c>
      <c r="Y221" s="18">
        <v>0.22745712522122905</v>
      </c>
      <c r="Z221" s="18">
        <v>0.66501994267845621</v>
      </c>
      <c r="AA221" s="18">
        <f t="shared" si="69"/>
        <v>-0.40793824978578397</v>
      </c>
      <c r="AB221" s="18">
        <f t="shared" si="70"/>
        <v>-0.25806777041863616</v>
      </c>
      <c r="AC221" s="18">
        <f t="shared" si="71"/>
        <v>-248.4202455362487</v>
      </c>
    </row>
    <row r="222" spans="1:29" x14ac:dyDescent="0.25">
      <c r="A222" s="13" t="str">
        <f t="shared" si="72"/>
        <v/>
      </c>
      <c r="B222" s="30">
        <f>IF(B221=$C$9,$C$6,IF(OR(ISNA(B221),B221=$C$6),NA(),Main!A189))</f>
        <v>188</v>
      </c>
      <c r="C222" s="29">
        <f>IF(ISNA(B222),NA(),IF(B222=$C$6,$C$19,Main!C189))</f>
        <v>0.28920000000000012</v>
      </c>
      <c r="D222" s="19">
        <f t="shared" si="73"/>
        <v>0.5122615803814714</v>
      </c>
      <c r="E222" s="18">
        <f t="shared" si="74"/>
        <v>0.40209097905234709</v>
      </c>
      <c r="F222" s="18">
        <f t="shared" si="75"/>
        <v>1.0651694035671371</v>
      </c>
      <c r="G222" s="18">
        <f t="shared" si="76"/>
        <v>0.22619586800920549</v>
      </c>
      <c r="H222" s="18">
        <f t="shared" si="77"/>
        <v>4.5938537745732165E-3</v>
      </c>
      <c r="I222" s="18">
        <f t="shared" si="59"/>
        <v>0.22029496731812032</v>
      </c>
      <c r="J222" s="18">
        <f t="shared" si="60"/>
        <v>0.23209676870029067</v>
      </c>
      <c r="K222" s="18">
        <f t="shared" si="61"/>
        <v>0.21861744938434438</v>
      </c>
      <c r="L222" s="18">
        <f t="shared" si="62"/>
        <v>0.2337742866340666</v>
      </c>
      <c r="M222" s="18">
        <f t="shared" si="63"/>
        <v>0.21716188653053367</v>
      </c>
      <c r="N222" s="18">
        <f t="shared" si="64"/>
        <v>0.23522984948787731</v>
      </c>
      <c r="O222" s="18">
        <f t="shared" si="65"/>
        <v>0.21430132036730681</v>
      </c>
      <c r="P222" s="18">
        <f t="shared" si="66"/>
        <v>0.23809041565110417</v>
      </c>
      <c r="Q222" s="18">
        <f t="shared" si="78"/>
        <v>0.75186014708637094</v>
      </c>
      <c r="R222" s="18">
        <f t="shared" si="56"/>
        <v>1.2545472450562829</v>
      </c>
      <c r="S222" s="18">
        <f t="shared" si="57"/>
        <v>6.3606580795318056E-3</v>
      </c>
      <c r="T222" s="18">
        <f t="shared" si="67"/>
        <v>0.2136874012398223</v>
      </c>
      <c r="U222" s="18">
        <f t="shared" si="68"/>
        <v>0.23870433477858868</v>
      </c>
      <c r="V222" s="40" t="str">
        <f t="shared" si="58"/>
        <v>Y</v>
      </c>
      <c r="W222" s="18">
        <v>2.1208</v>
      </c>
      <c r="X222" s="18">
        <f t="shared" si="55"/>
        <v>0.22745712522122905</v>
      </c>
      <c r="Y222" s="18">
        <v>0.22745712522122905</v>
      </c>
      <c r="Z222" s="18">
        <v>0.66501994267845621</v>
      </c>
      <c r="AA222" s="18">
        <f t="shared" si="69"/>
        <v>-0.40793824978578397</v>
      </c>
      <c r="AB222" s="18">
        <f t="shared" si="70"/>
        <v>-0.25806777041863616</v>
      </c>
      <c r="AC222" s="18">
        <f t="shared" si="71"/>
        <v>-249.75225757665754</v>
      </c>
    </row>
    <row r="223" spans="1:29" x14ac:dyDescent="0.25">
      <c r="A223" s="13" t="str">
        <f t="shared" si="72"/>
        <v/>
      </c>
      <c r="B223" s="30">
        <f>IF(B222=$C$9,$C$6,IF(OR(ISNA(B222),B222=$C$6),NA(),Main!A190))</f>
        <v>189</v>
      </c>
      <c r="C223" s="29">
        <f>IF(ISNA(B223),NA(),IF(B223=$C$6,$C$19,Main!C190))</f>
        <v>0.28920000000000012</v>
      </c>
      <c r="D223" s="19">
        <f t="shared" si="73"/>
        <v>0.51498637602179842</v>
      </c>
      <c r="E223" s="18">
        <f t="shared" si="74"/>
        <v>0.41005336860262531</v>
      </c>
      <c r="F223" s="18">
        <f t="shared" si="75"/>
        <v>1.0651694035671371</v>
      </c>
      <c r="G223" s="18">
        <f t="shared" si="76"/>
        <v>0.22678435971510791</v>
      </c>
      <c r="H223" s="18">
        <f t="shared" si="77"/>
        <v>4.6068704935122674E-3</v>
      </c>
      <c r="I223" s="18">
        <f t="shared" si="59"/>
        <v>0.22086673877789556</v>
      </c>
      <c r="J223" s="18">
        <f t="shared" si="60"/>
        <v>0.23270198065232026</v>
      </c>
      <c r="K223" s="18">
        <f t="shared" si="61"/>
        <v>0.21918446758454047</v>
      </c>
      <c r="L223" s="18">
        <f t="shared" si="62"/>
        <v>0.23438425184567535</v>
      </c>
      <c r="M223" s="18">
        <f t="shared" si="63"/>
        <v>0.21772478038252543</v>
      </c>
      <c r="N223" s="18">
        <f t="shared" si="64"/>
        <v>0.23584393904769038</v>
      </c>
      <c r="O223" s="18">
        <f t="shared" si="65"/>
        <v>0.21485610878373609</v>
      </c>
      <c r="P223" s="18">
        <f t="shared" si="66"/>
        <v>0.23871261064647972</v>
      </c>
      <c r="Q223" s="18">
        <f t="shared" si="78"/>
        <v>0.75186014708637094</v>
      </c>
      <c r="R223" s="18">
        <f t="shared" si="56"/>
        <v>1.2545472450562829</v>
      </c>
      <c r="S223" s="18">
        <f t="shared" si="57"/>
        <v>6.3606580795318056E-3</v>
      </c>
      <c r="T223" s="18">
        <f t="shared" si="67"/>
        <v>0.21427589294572472</v>
      </c>
      <c r="U223" s="18">
        <f t="shared" si="68"/>
        <v>0.2392928264844911</v>
      </c>
      <c r="V223" s="40" t="str">
        <f t="shared" si="58"/>
        <v>Y</v>
      </c>
      <c r="W223" s="18">
        <v>2.1208</v>
      </c>
      <c r="X223" s="18">
        <f t="shared" si="55"/>
        <v>0.22745712522122905</v>
      </c>
      <c r="Y223" s="18">
        <v>0.22745712522122905</v>
      </c>
      <c r="Z223" s="18">
        <v>0.66501994267845621</v>
      </c>
      <c r="AA223" s="18">
        <f t="shared" si="69"/>
        <v>-0.40793824978578397</v>
      </c>
      <c r="AB223" s="18">
        <f t="shared" si="70"/>
        <v>-0.25806777041863616</v>
      </c>
      <c r="AC223" s="18">
        <f t="shared" si="71"/>
        <v>-251.08426961706638</v>
      </c>
    </row>
    <row r="224" spans="1:29" x14ac:dyDescent="0.25">
      <c r="A224" s="13" t="str">
        <f t="shared" si="72"/>
        <v/>
      </c>
      <c r="B224" s="30">
        <f>IF(B223=$C$9,$C$6,IF(OR(ISNA(B223),B223=$C$6),NA(),Main!A191))</f>
        <v>190</v>
      </c>
      <c r="C224" s="29">
        <f>IF(ISNA(B224),NA(),IF(B224=$C$6,$C$19,Main!C191))</f>
        <v>0.28920000000000012</v>
      </c>
      <c r="D224" s="19">
        <f t="shared" si="73"/>
        <v>0.51771117166212532</v>
      </c>
      <c r="E224" s="18">
        <f t="shared" si="74"/>
        <v>0.41803714214424792</v>
      </c>
      <c r="F224" s="18">
        <f t="shared" si="75"/>
        <v>1.0651694035671371</v>
      </c>
      <c r="G224" s="18">
        <f t="shared" si="76"/>
        <v>0.2273744318889673</v>
      </c>
      <c r="H224" s="18">
        <f t="shared" si="77"/>
        <v>4.6200103774427384E-3</v>
      </c>
      <c r="I224" s="18">
        <f t="shared" si="59"/>
        <v>0.22143993249763538</v>
      </c>
      <c r="J224" s="18">
        <f t="shared" si="60"/>
        <v>0.23330893128029923</v>
      </c>
      <c r="K224" s="18">
        <f t="shared" si="61"/>
        <v>0.21975286306906805</v>
      </c>
      <c r="L224" s="18">
        <f t="shared" si="62"/>
        <v>0.23499600070886656</v>
      </c>
      <c r="M224" s="18">
        <f t="shared" si="63"/>
        <v>0.2182890124940135</v>
      </c>
      <c r="N224" s="18">
        <f t="shared" si="64"/>
        <v>0.23645985128392111</v>
      </c>
      <c r="O224" s="18">
        <f t="shared" si="65"/>
        <v>0.21541215876553421</v>
      </c>
      <c r="P224" s="18">
        <f t="shared" si="66"/>
        <v>0.2393367050124004</v>
      </c>
      <c r="Q224" s="18">
        <f t="shared" si="78"/>
        <v>0.75186014708637094</v>
      </c>
      <c r="R224" s="18">
        <f t="shared" si="56"/>
        <v>1.2545472450562829</v>
      </c>
      <c r="S224" s="18">
        <f t="shared" si="57"/>
        <v>6.3606580795318056E-3</v>
      </c>
      <c r="T224" s="18">
        <f t="shared" si="67"/>
        <v>0.21486596511958411</v>
      </c>
      <c r="U224" s="18">
        <f t="shared" si="68"/>
        <v>0.2398828986583505</v>
      </c>
      <c r="V224" s="40" t="str">
        <f t="shared" si="58"/>
        <v>Y</v>
      </c>
      <c r="W224" s="18">
        <v>2.1208</v>
      </c>
      <c r="X224" s="18">
        <f t="shared" si="55"/>
        <v>0.22745712522122905</v>
      </c>
      <c r="Y224" s="18">
        <v>0.22745712522122905</v>
      </c>
      <c r="Z224" s="18">
        <v>0.66501994267845621</v>
      </c>
      <c r="AA224" s="18">
        <f t="shared" si="69"/>
        <v>-0.40793824978578397</v>
      </c>
      <c r="AB224" s="18">
        <f t="shared" si="70"/>
        <v>-0.25806777041863616</v>
      </c>
      <c r="AC224" s="18">
        <f t="shared" si="71"/>
        <v>-252.41628165747522</v>
      </c>
    </row>
    <row r="225" spans="1:29" x14ac:dyDescent="0.25">
      <c r="A225" s="13" t="str">
        <f t="shared" si="72"/>
        <v/>
      </c>
      <c r="B225" s="30">
        <f>IF(B224=$C$9,$C$6,IF(OR(ISNA(B224),B224=$C$6),NA(),Main!A192))</f>
        <v>191</v>
      </c>
      <c r="C225" s="29">
        <f>IF(ISNA(B225),NA(),IF(B225=$C$6,$C$19,Main!C192))</f>
        <v>0.28920000000000012</v>
      </c>
      <c r="D225" s="19">
        <f t="shared" si="73"/>
        <v>0.52043596730245234</v>
      </c>
      <c r="E225" s="18">
        <f t="shared" si="74"/>
        <v>0.42604275304079281</v>
      </c>
      <c r="F225" s="18">
        <f t="shared" si="75"/>
        <v>1.0651694035671371</v>
      </c>
      <c r="G225" s="18">
        <f t="shared" si="76"/>
        <v>0.22796611803840142</v>
      </c>
      <c r="H225" s="18">
        <f t="shared" si="77"/>
        <v>4.6332741352039667E-3</v>
      </c>
      <c r="I225" s="18">
        <f t="shared" si="59"/>
        <v>0.22201458107443869</v>
      </c>
      <c r="J225" s="18">
        <f t="shared" si="60"/>
        <v>0.23391765500236414</v>
      </c>
      <c r="K225" s="18">
        <f t="shared" si="61"/>
        <v>0.22032266817618215</v>
      </c>
      <c r="L225" s="18">
        <f t="shared" si="62"/>
        <v>0.23560956790062068</v>
      </c>
      <c r="M225" s="18">
        <f t="shared" si="63"/>
        <v>0.2188546149786571</v>
      </c>
      <c r="N225" s="18">
        <f t="shared" si="64"/>
        <v>0.23707762109814573</v>
      </c>
      <c r="O225" s="18">
        <f t="shared" si="65"/>
        <v>0.21596950198497025</v>
      </c>
      <c r="P225" s="18">
        <f t="shared" si="66"/>
        <v>0.23996273409183258</v>
      </c>
      <c r="Q225" s="18">
        <f t="shared" si="78"/>
        <v>0.75186014708637094</v>
      </c>
      <c r="R225" s="18">
        <f t="shared" si="56"/>
        <v>1.2545472450562829</v>
      </c>
      <c r="S225" s="18">
        <f t="shared" si="57"/>
        <v>6.3606580795318056E-3</v>
      </c>
      <c r="T225" s="18">
        <f t="shared" si="67"/>
        <v>0.21545765126901822</v>
      </c>
      <c r="U225" s="18">
        <f t="shared" si="68"/>
        <v>0.24047458480778461</v>
      </c>
      <c r="V225" s="40" t="str">
        <f t="shared" si="58"/>
        <v>Y</v>
      </c>
      <c r="W225" s="18">
        <v>2.1208</v>
      </c>
      <c r="X225" s="18">
        <f t="shared" si="55"/>
        <v>0.22745712522122905</v>
      </c>
      <c r="Y225" s="18">
        <v>0.22745712522122905</v>
      </c>
      <c r="Z225" s="18">
        <v>0.66501994267845621</v>
      </c>
      <c r="AA225" s="18">
        <f t="shared" si="69"/>
        <v>-0.40793824978578397</v>
      </c>
      <c r="AB225" s="18">
        <f t="shared" si="70"/>
        <v>-0.25806777041863616</v>
      </c>
      <c r="AC225" s="18">
        <f t="shared" si="71"/>
        <v>-253.74829369788407</v>
      </c>
    </row>
    <row r="226" spans="1:29" x14ac:dyDescent="0.25">
      <c r="A226" s="13" t="str">
        <f t="shared" si="72"/>
        <v/>
      </c>
      <c r="B226" s="30">
        <f>IF(B225=$C$9,$C$6,IF(OR(ISNA(B225),B225=$C$6),NA(),Main!A193))</f>
        <v>192</v>
      </c>
      <c r="C226" s="29">
        <f>IF(ISNA(B226),NA(),IF(B226=$C$6,$C$19,Main!C193))</f>
        <v>0.28920000000000012</v>
      </c>
      <c r="D226" s="19">
        <f t="shared" si="73"/>
        <v>0.52316076294277924</v>
      </c>
      <c r="E226" s="18">
        <f t="shared" si="74"/>
        <v>0.43407065937643136</v>
      </c>
      <c r="F226" s="18">
        <f t="shared" si="75"/>
        <v>1.0651694035671371</v>
      </c>
      <c r="G226" s="18">
        <f t="shared" si="76"/>
        <v>0.22855945201992203</v>
      </c>
      <c r="H226" s="18">
        <f t="shared" si="77"/>
        <v>4.6466624966779863E-3</v>
      </c>
      <c r="I226" s="18">
        <f t="shared" si="59"/>
        <v>0.2225907174272686</v>
      </c>
      <c r="J226" s="18">
        <f t="shared" si="60"/>
        <v>0.23452818661257546</v>
      </c>
      <c r="K226" s="18">
        <f t="shared" si="61"/>
        <v>0.22089391555831803</v>
      </c>
      <c r="L226" s="18">
        <f t="shared" si="62"/>
        <v>0.23622498848152604</v>
      </c>
      <c r="M226" s="18">
        <f t="shared" si="63"/>
        <v>0.21942162025762835</v>
      </c>
      <c r="N226" s="18">
        <f t="shared" si="64"/>
        <v>0.23769728378221572</v>
      </c>
      <c r="O226" s="18">
        <f t="shared" si="65"/>
        <v>0.21652817040872296</v>
      </c>
      <c r="P226" s="18">
        <f t="shared" si="66"/>
        <v>0.2405907336311211</v>
      </c>
      <c r="Q226" s="18">
        <f t="shared" si="78"/>
        <v>0.75186014708637094</v>
      </c>
      <c r="R226" s="18">
        <f t="shared" si="56"/>
        <v>1.2545472450562829</v>
      </c>
      <c r="S226" s="18">
        <f t="shared" si="57"/>
        <v>6.3606580795318056E-3</v>
      </c>
      <c r="T226" s="18">
        <f t="shared" si="67"/>
        <v>0.21605098525053884</v>
      </c>
      <c r="U226" s="18">
        <f t="shared" si="68"/>
        <v>0.24106791878930522</v>
      </c>
      <c r="V226" s="40" t="str">
        <f t="shared" si="58"/>
        <v>Y</v>
      </c>
      <c r="W226" s="18">
        <v>2.1208</v>
      </c>
      <c r="X226" s="18">
        <f t="shared" si="55"/>
        <v>0.22745712522122905</v>
      </c>
      <c r="Y226" s="18">
        <v>0.22745712522122905</v>
      </c>
      <c r="Z226" s="18">
        <v>0.66501994267845621</v>
      </c>
      <c r="AA226" s="18">
        <f t="shared" si="69"/>
        <v>-0.40793824978578397</v>
      </c>
      <c r="AB226" s="18">
        <f t="shared" si="70"/>
        <v>-0.25806777041863616</v>
      </c>
      <c r="AC226" s="18">
        <f t="shared" si="71"/>
        <v>-255.08030573829291</v>
      </c>
    </row>
    <row r="227" spans="1:29" x14ac:dyDescent="0.25">
      <c r="A227" s="13" t="str">
        <f t="shared" si="72"/>
        <v/>
      </c>
      <c r="B227" s="30">
        <f>IF(B226=$C$9,$C$6,IF(OR(ISNA(B226),B226=$C$6),NA(),Main!A194))</f>
        <v>193</v>
      </c>
      <c r="C227" s="29">
        <f>IF(ISNA(B227),NA(),IF(B227=$C$6,$C$19,Main!C194))</f>
        <v>0.28920000000000012</v>
      </c>
      <c r="D227" s="19">
        <f t="shared" si="73"/>
        <v>0.52588555858310626</v>
      </c>
      <c r="E227" s="18">
        <f t="shared" si="74"/>
        <v>0.4421213241234907</v>
      </c>
      <c r="F227" s="18">
        <f t="shared" si="75"/>
        <v>1.0651694035671371</v>
      </c>
      <c r="G227" s="18">
        <f t="shared" si="76"/>
        <v>0.22915446805131925</v>
      </c>
      <c r="H227" s="18">
        <f t="shared" si="77"/>
        <v>4.660176213142431E-3</v>
      </c>
      <c r="I227" s="18">
        <f t="shared" si="59"/>
        <v>0.22316837480888346</v>
      </c>
      <c r="J227" s="18">
        <f t="shared" si="60"/>
        <v>0.23514056129375505</v>
      </c>
      <c r="K227" s="18">
        <f t="shared" si="61"/>
        <v>0.2214666381938932</v>
      </c>
      <c r="L227" s="18">
        <f t="shared" si="62"/>
        <v>0.23684229790874531</v>
      </c>
      <c r="M227" s="18">
        <f t="shared" si="63"/>
        <v>0.21999006107130237</v>
      </c>
      <c r="N227" s="18">
        <f t="shared" si="64"/>
        <v>0.23831887503133614</v>
      </c>
      <c r="O227" s="18">
        <f t="shared" si="65"/>
        <v>0.21708819630935131</v>
      </c>
      <c r="P227" s="18">
        <f t="shared" si="66"/>
        <v>0.2412207397932872</v>
      </c>
      <c r="Q227" s="18">
        <f t="shared" si="78"/>
        <v>0.75186014708637094</v>
      </c>
      <c r="R227" s="18">
        <f t="shared" si="56"/>
        <v>1.2545472450562829</v>
      </c>
      <c r="S227" s="18">
        <f t="shared" si="57"/>
        <v>6.3606580795318056E-3</v>
      </c>
      <c r="T227" s="18">
        <f t="shared" si="67"/>
        <v>0.21664600128193606</v>
      </c>
      <c r="U227" s="18">
        <f t="shared" si="68"/>
        <v>0.24166293482070245</v>
      </c>
      <c r="V227" s="40" t="str">
        <f t="shared" si="58"/>
        <v>Y</v>
      </c>
      <c r="W227" s="18">
        <v>2.1208</v>
      </c>
      <c r="X227" s="18">
        <f t="shared" ref="X227:X290" si="79">IF(OR(NOT(ISNUMBER(W227)),ISNA(B227)),"",(EXP(-EXP(-(W227-$C$28)/$C$29))))</f>
        <v>0.22745712522122905</v>
      </c>
      <c r="Y227" s="18">
        <v>0.22745712522122905</v>
      </c>
      <c r="Z227" s="18">
        <v>0.66501994267845621</v>
      </c>
      <c r="AA227" s="18">
        <f t="shared" si="69"/>
        <v>-0.40793824978578397</v>
      </c>
      <c r="AB227" s="18">
        <f t="shared" si="70"/>
        <v>-0.25806777041863616</v>
      </c>
      <c r="AC227" s="18">
        <f t="shared" si="71"/>
        <v>-256.41231777870172</v>
      </c>
    </row>
    <row r="228" spans="1:29" x14ac:dyDescent="0.25">
      <c r="A228" s="13" t="str">
        <f t="shared" si="72"/>
        <v/>
      </c>
      <c r="B228" s="30">
        <f>IF(B227=$C$9,$C$6,IF(OR(ISNA(B227),B227=$C$6),NA(),Main!A195))</f>
        <v>194</v>
      </c>
      <c r="C228" s="29">
        <f>IF(ISNA(B228),NA(),IF(B228=$C$6,$C$19,Main!C195))</f>
        <v>0.28920000000000012</v>
      </c>
      <c r="D228" s="19">
        <f t="shared" si="73"/>
        <v>0.52861035422343328</v>
      </c>
      <c r="E228" s="18">
        <f t="shared" si="74"/>
        <v>0.45019521531336965</v>
      </c>
      <c r="F228" s="18">
        <f t="shared" si="75"/>
        <v>1.0651694035671371</v>
      </c>
      <c r="G228" s="18">
        <f t="shared" si="76"/>
        <v>0.22975120072429384</v>
      </c>
      <c r="H228" s="18">
        <f t="shared" si="77"/>
        <v>4.6738160576362906E-3</v>
      </c>
      <c r="I228" s="18">
        <f t="shared" si="59"/>
        <v>0.22374758681799939</v>
      </c>
      <c r="J228" s="18">
        <f t="shared" si="60"/>
        <v>0.23575481463058828</v>
      </c>
      <c r="K228" s="18">
        <f t="shared" si="61"/>
        <v>0.2220408693993364</v>
      </c>
      <c r="L228" s="18">
        <f t="shared" si="62"/>
        <v>0.23746153204925127</v>
      </c>
      <c r="M228" s="18">
        <f t="shared" si="63"/>
        <v>0.22055997049117049</v>
      </c>
      <c r="N228" s="18">
        <f t="shared" si="64"/>
        <v>0.23894243095741718</v>
      </c>
      <c r="O228" s="18">
        <f t="shared" si="65"/>
        <v>0.21764961227697965</v>
      </c>
      <c r="P228" s="18">
        <f t="shared" si="66"/>
        <v>0.24185278917160802</v>
      </c>
      <c r="Q228" s="18">
        <f t="shared" si="78"/>
        <v>0.75186014708637094</v>
      </c>
      <c r="R228" s="18">
        <f t="shared" ref="R228:R291" si="80">IF(ISNA(B228),NA(),-LN(-LN(Q228)))</f>
        <v>1.2545472450562829</v>
      </c>
      <c r="S228" s="18">
        <f t="shared" ref="S228:S291" si="81">IF(ISNA(B228),NA(),$C$16*SQRT((1.109+0.514*R228+0.608*R228^2)/$C$9))</f>
        <v>6.3606580795318056E-3</v>
      </c>
      <c r="T228" s="18">
        <f t="shared" si="67"/>
        <v>0.21724273395491064</v>
      </c>
      <c r="U228" s="18">
        <f t="shared" si="68"/>
        <v>0.24225966749367703</v>
      </c>
      <c r="V228" s="40" t="str">
        <f t="shared" ref="V228:V291" si="82">IF(V227="","",IF(B228&lt;N,"Y",""))</f>
        <v>Y</v>
      </c>
      <c r="W228" s="18">
        <v>2.1208</v>
      </c>
      <c r="X228" s="18">
        <f t="shared" si="79"/>
        <v>0.22745712522122905</v>
      </c>
      <c r="Y228" s="18">
        <v>0.22745712522122905</v>
      </c>
      <c r="Z228" s="18">
        <v>0.66501994267845621</v>
      </c>
      <c r="AA228" s="18">
        <f t="shared" si="69"/>
        <v>-0.40793824978578397</v>
      </c>
      <c r="AB228" s="18">
        <f t="shared" si="70"/>
        <v>-0.25806777041863616</v>
      </c>
      <c r="AC228" s="18">
        <f t="shared" si="71"/>
        <v>-257.74432981911059</v>
      </c>
    </row>
    <row r="229" spans="1:29" x14ac:dyDescent="0.25">
      <c r="A229" s="13" t="str">
        <f t="shared" si="72"/>
        <v/>
      </c>
      <c r="B229" s="30">
        <f>IF(B228=$C$9,$C$6,IF(OR(ISNA(B228),B228=$C$6),NA(),Main!A196))</f>
        <v>195</v>
      </c>
      <c r="C229" s="29">
        <f>IF(ISNA(B229),NA(),IF(B229=$C$6,$C$19,Main!C196))</f>
        <v>0.28920000000000012</v>
      </c>
      <c r="D229" s="19">
        <f t="shared" si="73"/>
        <v>0.53133514986376018</v>
      </c>
      <c r="E229" s="18">
        <f t="shared" si="74"/>
        <v>0.45829280621098017</v>
      </c>
      <c r="F229" s="18">
        <f t="shared" si="75"/>
        <v>1.0651694035671371</v>
      </c>
      <c r="G229" s="18">
        <f t="shared" si="76"/>
        <v>0.23034968501734981</v>
      </c>
      <c r="H229" s="18">
        <f t="shared" si="77"/>
        <v>4.6875828253389222E-3</v>
      </c>
      <c r="I229" s="18">
        <f t="shared" ref="I229:I292" si="83">IF(ISNA(B229),NA(),G229-$C$10*H229)</f>
        <v>0.224328387411696</v>
      </c>
      <c r="J229" s="18">
        <f t="shared" ref="J229:J292" si="84">IF(ISNA(B229),NA(),G229+$C$10*H229)</f>
        <v>0.23637098262300363</v>
      </c>
      <c r="K229" s="18">
        <f t="shared" ref="K229:K292" si="85">IF(ISNA(B229),NA(),G229-$C$11*H229)</f>
        <v>0.22261664284135502</v>
      </c>
      <c r="L229" s="18">
        <f t="shared" ref="L229:L292" si="86">IF(ISNA(B229),NA(),G229+$C$11*H229)</f>
        <v>0.23808272719334461</v>
      </c>
      <c r="M229" s="18">
        <f t="shared" ref="M229:M292" si="87">IF(ISNA(B229),NA(),G229-$C$12*H229)</f>
        <v>0.22113138193198742</v>
      </c>
      <c r="N229" s="18">
        <f t="shared" ref="N229:N292" si="88">IF(ISNA(B229),NA(),G229+$C$12*H229)</f>
        <v>0.23956798810271221</v>
      </c>
      <c r="O229" s="18">
        <f t="shared" ref="O229:O292" si="89">IF(ISNA(B229),NA(),G229-$C$13*H229)</f>
        <v>0.21821245123120916</v>
      </c>
      <c r="P229" s="18">
        <f t="shared" ref="P229:P292" si="90">IF(ISNA(B229),NA(),G229+$C$13*H229)</f>
        <v>0.24248691880349046</v>
      </c>
      <c r="Q229" s="18">
        <f t="shared" si="78"/>
        <v>0.75186014708637094</v>
      </c>
      <c r="R229" s="18">
        <f t="shared" si="80"/>
        <v>1.2545472450562829</v>
      </c>
      <c r="S229" s="18">
        <f t="shared" si="81"/>
        <v>6.3606580795318056E-3</v>
      </c>
      <c r="T229" s="18">
        <f t="shared" ref="T229:T292" si="91">IF(ISNA(B229),NA(),G229-$C$12*S229)</f>
        <v>0.21784121824796662</v>
      </c>
      <c r="U229" s="18">
        <f t="shared" ref="U229:U292" si="92">IF(ISNA(B229),NA(),G229+$C$12*S229)</f>
        <v>0.24285815178673301</v>
      </c>
      <c r="V229" s="40" t="str">
        <f t="shared" si="82"/>
        <v>Y</v>
      </c>
      <c r="W229" s="18">
        <v>2.1208</v>
      </c>
      <c r="X229" s="18">
        <f t="shared" si="79"/>
        <v>0.22745712522122905</v>
      </c>
      <c r="Y229" s="18">
        <v>0.22745712522122905</v>
      </c>
      <c r="Z229" s="18">
        <v>0.66501994267845621</v>
      </c>
      <c r="AA229" s="18">
        <f t="shared" ref="AA229:AA292" si="93">IF(OR(NOT(ISNUMBER(W229)),ISNA(B229)),"",LN(Z229))</f>
        <v>-0.40793824978578397</v>
      </c>
      <c r="AB229" s="18">
        <f t="shared" ref="AB229:AB292" si="94">IF(OR(NOT(ISNUMBER(W229)),ISNA(B229)),"",LN(1-Y229))</f>
        <v>-0.25806777041863616</v>
      </c>
      <c r="AC229" s="18">
        <f t="shared" ref="AC229:AC292" si="95">IF(OR(NOT(ISNUMBER(W229)),ISNA(B229)),"",(2*B229-1)*(AA229+AB229))</f>
        <v>-259.0763418595194</v>
      </c>
    </row>
    <row r="230" spans="1:29" x14ac:dyDescent="0.25">
      <c r="A230" s="13" t="str">
        <f t="shared" si="72"/>
        <v/>
      </c>
      <c r="B230" s="30">
        <f>IF(B229=$C$9,$C$6,IF(OR(ISNA(B229),B229=$C$6),NA(),Main!A197))</f>
        <v>196</v>
      </c>
      <c r="C230" s="29">
        <f>IF(ISNA(B230),NA(),IF(B230=$C$6,$C$19,Main!C197))</f>
        <v>0.28920000000000012</v>
      </c>
      <c r="D230" s="19">
        <f t="shared" si="73"/>
        <v>0.5340599455040872</v>
      </c>
      <c r="E230" s="18">
        <f t="shared" si="74"/>
        <v>0.46641457549287352</v>
      </c>
      <c r="F230" s="18">
        <f t="shared" si="75"/>
        <v>1.0651694035671371</v>
      </c>
      <c r="G230" s="18">
        <f t="shared" si="76"/>
        <v>0.23094995630895976</v>
      </c>
      <c r="H230" s="18">
        <f t="shared" si="77"/>
        <v>4.7014773339626743E-3</v>
      </c>
      <c r="I230" s="18">
        <f t="shared" si="83"/>
        <v>0.22491081091807733</v>
      </c>
      <c r="J230" s="18">
        <f t="shared" si="84"/>
        <v>0.23698910169984219</v>
      </c>
      <c r="K230" s="18">
        <f t="shared" si="85"/>
        <v>0.22319399254945257</v>
      </c>
      <c r="L230" s="18">
        <f t="shared" si="86"/>
        <v>0.23870592006846694</v>
      </c>
      <c r="M230" s="18">
        <f t="shared" si="87"/>
        <v>0.22170432916416452</v>
      </c>
      <c r="N230" s="18">
        <f t="shared" si="88"/>
        <v>0.240195583453755</v>
      </c>
      <c r="O230" s="18">
        <f t="shared" si="89"/>
        <v>0.21877674643326642</v>
      </c>
      <c r="P230" s="18">
        <f t="shared" si="90"/>
        <v>0.2431231661846531</v>
      </c>
      <c r="Q230" s="18">
        <f t="shared" si="78"/>
        <v>0.75186014708637094</v>
      </c>
      <c r="R230" s="18">
        <f t="shared" si="80"/>
        <v>1.2545472450562829</v>
      </c>
      <c r="S230" s="18">
        <f t="shared" si="81"/>
        <v>6.3606580795318056E-3</v>
      </c>
      <c r="T230" s="18">
        <f t="shared" si="91"/>
        <v>0.21844148953957657</v>
      </c>
      <c r="U230" s="18">
        <f t="shared" si="92"/>
        <v>0.24345842307834295</v>
      </c>
      <c r="V230" s="40" t="str">
        <f t="shared" si="82"/>
        <v>Y</v>
      </c>
      <c r="W230" s="18">
        <v>2.1208</v>
      </c>
      <c r="X230" s="18">
        <f t="shared" si="79"/>
        <v>0.22745712522122905</v>
      </c>
      <c r="Y230" s="18">
        <v>0.22745712522122905</v>
      </c>
      <c r="Z230" s="18">
        <v>0.76687093743045087</v>
      </c>
      <c r="AA230" s="18">
        <f t="shared" si="93"/>
        <v>-0.26543676109519754</v>
      </c>
      <c r="AB230" s="18">
        <f t="shared" si="94"/>
        <v>-0.25806777041863616</v>
      </c>
      <c r="AC230" s="18">
        <f t="shared" si="95"/>
        <v>-204.69027182190896</v>
      </c>
    </row>
    <row r="231" spans="1:29" x14ac:dyDescent="0.25">
      <c r="A231" s="13" t="str">
        <f t="shared" si="72"/>
        <v/>
      </c>
      <c r="B231" s="30">
        <f>IF(B230=$C$9,$C$6,IF(OR(ISNA(B230),B230=$C$6),NA(),Main!A198))</f>
        <v>197</v>
      </c>
      <c r="C231" s="29">
        <f>IF(ISNA(B231),NA(),IF(B231=$C$6,$C$19,Main!C198))</f>
        <v>0.28920000000000012</v>
      </c>
      <c r="D231" s="19">
        <f t="shared" si="73"/>
        <v>0.53678474114441421</v>
      </c>
      <c r="E231" s="18">
        <f t="shared" si="74"/>
        <v>0.47456100742922314</v>
      </c>
      <c r="F231" s="18">
        <f t="shared" si="75"/>
        <v>1.0651694035671371</v>
      </c>
      <c r="G231" s="18">
        <f t="shared" si="76"/>
        <v>0.23155205039101492</v>
      </c>
      <c r="H231" s="18">
        <f t="shared" si="77"/>
        <v>4.7155004241595444E-3</v>
      </c>
      <c r="I231" s="18">
        <f t="shared" si="83"/>
        <v>0.2254948920491997</v>
      </c>
      <c r="J231" s="18">
        <f t="shared" si="84"/>
        <v>0.23760920873283015</v>
      </c>
      <c r="K231" s="18">
        <f t="shared" si="85"/>
        <v>0.22377295292870808</v>
      </c>
      <c r="L231" s="18">
        <f t="shared" si="86"/>
        <v>0.23933114785332177</v>
      </c>
      <c r="M231" s="18">
        <f t="shared" si="87"/>
        <v>0.22227884632642014</v>
      </c>
      <c r="N231" s="18">
        <f t="shared" si="88"/>
        <v>0.24082525445560971</v>
      </c>
      <c r="O231" s="18">
        <f t="shared" si="89"/>
        <v>0.21934253149840066</v>
      </c>
      <c r="P231" s="18">
        <f t="shared" si="90"/>
        <v>0.24376156928362919</v>
      </c>
      <c r="Q231" s="18">
        <f t="shared" si="78"/>
        <v>0.75186014708637094</v>
      </c>
      <c r="R231" s="18">
        <f t="shared" si="80"/>
        <v>1.2545472450562829</v>
      </c>
      <c r="S231" s="18">
        <f t="shared" si="81"/>
        <v>6.3606580795318056E-3</v>
      </c>
      <c r="T231" s="18">
        <f t="shared" si="91"/>
        <v>0.21904358362163173</v>
      </c>
      <c r="U231" s="18">
        <f t="shared" si="92"/>
        <v>0.24406051716039812</v>
      </c>
      <c r="V231" s="40" t="str">
        <f t="shared" si="82"/>
        <v>Y</v>
      </c>
      <c r="W231" s="18">
        <v>2.1208</v>
      </c>
      <c r="X231" s="18">
        <f t="shared" si="79"/>
        <v>0.22745712522122905</v>
      </c>
      <c r="Y231" s="18">
        <v>0.22745712522122905</v>
      </c>
      <c r="Z231" s="18">
        <v>0.76687093743045087</v>
      </c>
      <c r="AA231" s="18">
        <f t="shared" si="93"/>
        <v>-0.26543676109519754</v>
      </c>
      <c r="AB231" s="18">
        <f t="shared" si="94"/>
        <v>-0.25806777041863616</v>
      </c>
      <c r="AC231" s="18">
        <f t="shared" si="95"/>
        <v>-205.73728088493664</v>
      </c>
    </row>
    <row r="232" spans="1:29" x14ac:dyDescent="0.25">
      <c r="A232" s="13" t="str">
        <f t="shared" si="72"/>
        <v/>
      </c>
      <c r="B232" s="30">
        <f>IF(B231=$C$9,$C$6,IF(OR(ISNA(B231),B231=$C$6),NA(),Main!A199))</f>
        <v>198</v>
      </c>
      <c r="C232" s="29">
        <f>IF(ISNA(B232),NA(),IF(B232=$C$6,$C$19,Main!C199))</f>
        <v>0.28920000000000012</v>
      </c>
      <c r="D232" s="19">
        <f t="shared" si="73"/>
        <v>0.53950953678474112</v>
      </c>
      <c r="E232" s="18">
        <f t="shared" si="74"/>
        <v>0.48273259206984265</v>
      </c>
      <c r="F232" s="18">
        <f t="shared" si="75"/>
        <v>1.0651694035671371</v>
      </c>
      <c r="G232" s="18">
        <f t="shared" si="76"/>
        <v>0.23215600348257348</v>
      </c>
      <c r="H232" s="18">
        <f t="shared" si="77"/>
        <v>4.7296529599422862E-3</v>
      </c>
      <c r="I232" s="18">
        <f t="shared" si="83"/>
        <v>0.22608066591427889</v>
      </c>
      <c r="J232" s="18">
        <f t="shared" si="84"/>
        <v>0.23823134105086807</v>
      </c>
      <c r="K232" s="18">
        <f t="shared" si="85"/>
        <v>0.2243535587728295</v>
      </c>
      <c r="L232" s="18">
        <f t="shared" si="86"/>
        <v>0.23995844819231746</v>
      </c>
      <c r="M232" s="18">
        <f t="shared" si="87"/>
        <v>0.22285496793869974</v>
      </c>
      <c r="N232" s="18">
        <f t="shared" si="88"/>
        <v>0.24145703902644722</v>
      </c>
      <c r="O232" s="18">
        <f t="shared" si="89"/>
        <v>0.21990984040854158</v>
      </c>
      <c r="P232" s="18">
        <f t="shared" si="90"/>
        <v>0.24440216655660538</v>
      </c>
      <c r="Q232" s="18">
        <f t="shared" si="78"/>
        <v>0.75186014708637094</v>
      </c>
      <c r="R232" s="18">
        <f t="shared" si="80"/>
        <v>1.2545472450562829</v>
      </c>
      <c r="S232" s="18">
        <f t="shared" si="81"/>
        <v>6.3606580795318056E-3</v>
      </c>
      <c r="T232" s="18">
        <f t="shared" si="91"/>
        <v>0.21964753671319029</v>
      </c>
      <c r="U232" s="18">
        <f t="shared" si="92"/>
        <v>0.24466447025195667</v>
      </c>
      <c r="V232" s="40" t="str">
        <f t="shared" si="82"/>
        <v>Y</v>
      </c>
      <c r="W232" s="18">
        <v>2.1208</v>
      </c>
      <c r="X232" s="18">
        <f t="shared" si="79"/>
        <v>0.22745712522122905</v>
      </c>
      <c r="Y232" s="18">
        <v>0.22745712522122905</v>
      </c>
      <c r="Z232" s="18">
        <v>0.76687093743045087</v>
      </c>
      <c r="AA232" s="18">
        <f t="shared" si="93"/>
        <v>-0.26543676109519754</v>
      </c>
      <c r="AB232" s="18">
        <f t="shared" si="94"/>
        <v>-0.25806777041863616</v>
      </c>
      <c r="AC232" s="18">
        <f t="shared" si="95"/>
        <v>-206.78428994796431</v>
      </c>
    </row>
    <row r="233" spans="1:29" x14ac:dyDescent="0.25">
      <c r="A233" s="13" t="str">
        <f t="shared" si="72"/>
        <v/>
      </c>
      <c r="B233" s="30">
        <f>IF(B232=$C$9,$C$6,IF(OR(ISNA(B232),B232=$C$6),NA(),Main!A200))</f>
        <v>199</v>
      </c>
      <c r="C233" s="29">
        <f>IF(ISNA(B233),NA(),IF(B233=$C$6,$C$19,Main!C200))</f>
        <v>0.28920000000000012</v>
      </c>
      <c r="D233" s="19">
        <f t="shared" si="73"/>
        <v>0.54223433242506813</v>
      </c>
      <c r="E233" s="18">
        <f t="shared" si="74"/>
        <v>0.49092982543442254</v>
      </c>
      <c r="F233" s="18">
        <f t="shared" si="75"/>
        <v>1.0651694035671371</v>
      </c>
      <c r="G233" s="18">
        <f t="shared" si="76"/>
        <v>0.2327618522439209</v>
      </c>
      <c r="H233" s="18">
        <f t="shared" si="77"/>
        <v>4.7439358291204367E-3</v>
      </c>
      <c r="I233" s="18">
        <f t="shared" si="83"/>
        <v>0.22666816803319062</v>
      </c>
      <c r="J233" s="18">
        <f t="shared" si="84"/>
        <v>0.23885553645465118</v>
      </c>
      <c r="K233" s="18">
        <f t="shared" si="85"/>
        <v>0.22493584527749491</v>
      </c>
      <c r="L233" s="18">
        <f t="shared" si="86"/>
        <v>0.24058785921034689</v>
      </c>
      <c r="M233" s="18">
        <f t="shared" si="87"/>
        <v>0.22343272891537891</v>
      </c>
      <c r="N233" s="18">
        <f t="shared" si="88"/>
        <v>0.2420909755724629</v>
      </c>
      <c r="O233" s="18">
        <f t="shared" si="89"/>
        <v>0.22047870752523091</v>
      </c>
      <c r="P233" s="18">
        <f t="shared" si="90"/>
        <v>0.24504499696261089</v>
      </c>
      <c r="Q233" s="18">
        <f t="shared" si="78"/>
        <v>0.75186014708637094</v>
      </c>
      <c r="R233" s="18">
        <f t="shared" si="80"/>
        <v>1.2545472450562829</v>
      </c>
      <c r="S233" s="18">
        <f t="shared" si="81"/>
        <v>6.3606580795318056E-3</v>
      </c>
      <c r="T233" s="18">
        <f t="shared" si="91"/>
        <v>0.22025338547453771</v>
      </c>
      <c r="U233" s="18">
        <f t="shared" si="92"/>
        <v>0.24527031901330409</v>
      </c>
      <c r="V233" s="40" t="str">
        <f t="shared" si="82"/>
        <v>Y</v>
      </c>
      <c r="W233" s="18">
        <v>2.1208</v>
      </c>
      <c r="X233" s="18">
        <f t="shared" si="79"/>
        <v>0.22745712522122905</v>
      </c>
      <c r="Y233" s="18">
        <v>0.22745712522122905</v>
      </c>
      <c r="Z233" s="18">
        <v>0.76687093743045087</v>
      </c>
      <c r="AA233" s="18">
        <f t="shared" si="93"/>
        <v>-0.26543676109519754</v>
      </c>
      <c r="AB233" s="18">
        <f t="shared" si="94"/>
        <v>-0.25806777041863616</v>
      </c>
      <c r="AC233" s="18">
        <f t="shared" si="95"/>
        <v>-207.83129901099198</v>
      </c>
    </row>
    <row r="234" spans="1:29" x14ac:dyDescent="0.25">
      <c r="A234" s="13" t="str">
        <f t="shared" si="72"/>
        <v/>
      </c>
      <c r="B234" s="30">
        <f>IF(B233=$C$9,$C$6,IF(OR(ISNA(B233),B233=$C$6),NA(),Main!A201))</f>
        <v>200</v>
      </c>
      <c r="C234" s="29">
        <f>IF(ISNA(B234),NA(),IF(B234=$C$6,$C$19,Main!C201))</f>
        <v>0.28920000000000012</v>
      </c>
      <c r="D234" s="19">
        <f t="shared" si="73"/>
        <v>0.54495912806539515</v>
      </c>
      <c r="E234" s="18">
        <f t="shared" si="74"/>
        <v>0.4991532097071682</v>
      </c>
      <c r="F234" s="18">
        <f t="shared" si="75"/>
        <v>1.0651694035671371</v>
      </c>
      <c r="G234" s="18">
        <f t="shared" si="76"/>
        <v>0.23336963379095538</v>
      </c>
      <c r="H234" s="18">
        <f t="shared" si="77"/>
        <v>4.7583499437516847E-3</v>
      </c>
      <c r="I234" s="18">
        <f t="shared" si="83"/>
        <v>0.22725743435027596</v>
      </c>
      <c r="J234" s="18">
        <f t="shared" si="84"/>
        <v>0.2394818332316348</v>
      </c>
      <c r="K234" s="18">
        <f t="shared" si="85"/>
        <v>0.22551984805399322</v>
      </c>
      <c r="L234" s="18">
        <f t="shared" si="86"/>
        <v>0.24121941952791753</v>
      </c>
      <c r="M234" s="18">
        <f t="shared" si="87"/>
        <v>0.224012164578761</v>
      </c>
      <c r="N234" s="18">
        <f t="shared" si="88"/>
        <v>0.24272710300314976</v>
      </c>
      <c r="O234" s="18">
        <f t="shared" si="89"/>
        <v>0.22104916760283896</v>
      </c>
      <c r="P234" s="18">
        <f t="shared" si="90"/>
        <v>0.24569009997907179</v>
      </c>
      <c r="Q234" s="18">
        <f t="shared" si="78"/>
        <v>0.75186014708637094</v>
      </c>
      <c r="R234" s="18">
        <f t="shared" si="80"/>
        <v>1.2545472450562829</v>
      </c>
      <c r="S234" s="18">
        <f t="shared" si="81"/>
        <v>6.3606580795318056E-3</v>
      </c>
      <c r="T234" s="18">
        <f t="shared" si="91"/>
        <v>0.22086116702157219</v>
      </c>
      <c r="U234" s="18">
        <f t="shared" si="92"/>
        <v>0.24587810056033857</v>
      </c>
      <c r="V234" s="40" t="str">
        <f t="shared" si="82"/>
        <v>Y</v>
      </c>
      <c r="W234" s="18">
        <v>2.1208</v>
      </c>
      <c r="X234" s="18">
        <f t="shared" si="79"/>
        <v>0.22745712522122905</v>
      </c>
      <c r="Y234" s="18">
        <v>0.22745712522122905</v>
      </c>
      <c r="Z234" s="18">
        <v>0.76687093743045087</v>
      </c>
      <c r="AA234" s="18">
        <f t="shared" si="93"/>
        <v>-0.26543676109519754</v>
      </c>
      <c r="AB234" s="18">
        <f t="shared" si="94"/>
        <v>-0.25806777041863616</v>
      </c>
      <c r="AC234" s="18">
        <f t="shared" si="95"/>
        <v>-208.87830807401966</v>
      </c>
    </row>
    <row r="235" spans="1:29" x14ac:dyDescent="0.25">
      <c r="A235" s="13" t="str">
        <f t="shared" ref="A235:A245" si="96">IF(B235=$C$6,"EVA","")</f>
        <v/>
      </c>
      <c r="B235" s="30">
        <f>IF(B234=$C$9,$C$6,IF(OR(ISNA(B234),B234=$C$6),NA(),Main!A202))</f>
        <v>201</v>
      </c>
      <c r="C235" s="29">
        <f>IF(ISNA(B235),NA(),IF(B235=$C$6,$C$19,Main!C202))</f>
        <v>0.28920000000000012</v>
      </c>
      <c r="D235" s="19">
        <f t="shared" ref="D235:D245" si="97">IF(ISNA(B235),NA(),IF(B235=$C$6,(N-1)/N,B235/($C$9+1)))</f>
        <v>0.54768392370572205</v>
      </c>
      <c r="E235" s="18">
        <f t="shared" ref="E235:E245" si="98">IF(ISNA(B235),NA(),-LN(-LN(D235)))</f>
        <v>0.50740325343604376</v>
      </c>
      <c r="F235" s="18">
        <f t="shared" ref="F235:F245" si="99">IF(ISNA(B235),NA(),LN(1/$C$16) - (C235-$C$17)/$C$16 - EXP(-(C235-$C$17)/$C$16))</f>
        <v>1.0651694035671371</v>
      </c>
      <c r="G235" s="18">
        <f t="shared" ref="G235:G245" si="100">IF(ISNA(B235),NA(),$C$16*E235+$C$17)</f>
        <v>0.23397938570991364</v>
      </c>
      <c r="H235" s="18">
        <f t="shared" ref="H235:H245" si="101">IF(ISNA(B235),NA(),$C$16*SQRT((1.109+0.514*E235+0.608*E235^2)/$C$9))</f>
        <v>4.7728962406091147E-3</v>
      </c>
      <c r="I235" s="18">
        <f t="shared" si="83"/>
        <v>0.22784850124846717</v>
      </c>
      <c r="J235" s="18">
        <f t="shared" si="84"/>
        <v>0.24011027017136011</v>
      </c>
      <c r="K235" s="18">
        <f t="shared" si="85"/>
        <v>0.22610560314317921</v>
      </c>
      <c r="L235" s="18">
        <f t="shared" si="86"/>
        <v>0.24185316827664807</v>
      </c>
      <c r="M235" s="18">
        <f t="shared" si="87"/>
        <v>0.22459331067288421</v>
      </c>
      <c r="N235" s="18">
        <f t="shared" si="88"/>
        <v>0.24336546074694307</v>
      </c>
      <c r="O235" s="18">
        <f t="shared" si="89"/>
        <v>0.22162125580208078</v>
      </c>
      <c r="P235" s="18">
        <f t="shared" si="90"/>
        <v>0.2463375156177465</v>
      </c>
      <c r="Q235" s="18">
        <f t="shared" ref="Q235:Q245" si="102">IF(ISNA(B235),NA(),EXP(-EXP(-(C235-$C$17)/$C$16)))</f>
        <v>0.75186014708637094</v>
      </c>
      <c r="R235" s="18">
        <f t="shared" si="80"/>
        <v>1.2545472450562829</v>
      </c>
      <c r="S235" s="18">
        <f t="shared" si="81"/>
        <v>6.3606580795318056E-3</v>
      </c>
      <c r="T235" s="18">
        <f t="shared" si="91"/>
        <v>0.22147091894053045</v>
      </c>
      <c r="U235" s="18">
        <f t="shared" si="92"/>
        <v>0.24648785247929683</v>
      </c>
      <c r="V235" s="40" t="str">
        <f t="shared" si="82"/>
        <v>Y</v>
      </c>
      <c r="W235" s="18">
        <v>2.1208</v>
      </c>
      <c r="X235" s="18">
        <f t="shared" si="79"/>
        <v>0.22745712522122905</v>
      </c>
      <c r="Y235" s="18">
        <v>0.22745712522122905</v>
      </c>
      <c r="Z235" s="18">
        <v>0.76687093743045087</v>
      </c>
      <c r="AA235" s="18">
        <f t="shared" si="93"/>
        <v>-0.26543676109519754</v>
      </c>
      <c r="AB235" s="18">
        <f t="shared" si="94"/>
        <v>-0.25806777041863616</v>
      </c>
      <c r="AC235" s="18">
        <f t="shared" si="95"/>
        <v>-209.9253171370473</v>
      </c>
    </row>
    <row r="236" spans="1:29" x14ac:dyDescent="0.25">
      <c r="A236" s="13" t="str">
        <f t="shared" si="96"/>
        <v/>
      </c>
      <c r="B236" s="30">
        <f>IF(B235=$C$9,$C$6,IF(OR(ISNA(B235),B235=$C$6),NA(),Main!A203))</f>
        <v>202</v>
      </c>
      <c r="C236" s="29">
        <f>IF(ISNA(B236),NA(),IF(B236=$C$6,$C$19,Main!C203))</f>
        <v>0.28920000000000012</v>
      </c>
      <c r="D236" s="19">
        <f t="shared" si="97"/>
        <v>0.55040871934604907</v>
      </c>
      <c r="E236" s="18">
        <f t="shared" si="98"/>
        <v>0.51568047173681986</v>
      </c>
      <c r="F236" s="18">
        <f t="shared" si="99"/>
        <v>1.0651694035671371</v>
      </c>
      <c r="G236" s="18">
        <f t="shared" si="100"/>
        <v>0.23459114607245207</v>
      </c>
      <c r="H236" s="18">
        <f t="shared" si="101"/>
        <v>4.7875756816648336E-3</v>
      </c>
      <c r="I236" s="18">
        <f t="shared" si="83"/>
        <v>0.22844140556374742</v>
      </c>
      <c r="J236" s="18">
        <f t="shared" si="84"/>
        <v>0.24074088658115672</v>
      </c>
      <c r="K236" s="18">
        <f t="shared" si="85"/>
        <v>0.22669314702975688</v>
      </c>
      <c r="L236" s="18">
        <f t="shared" si="86"/>
        <v>0.24248914511514727</v>
      </c>
      <c r="M236" s="18">
        <f t="shared" si="87"/>
        <v>0.2251762033776516</v>
      </c>
      <c r="N236" s="18">
        <f t="shared" si="88"/>
        <v>0.24400608876725255</v>
      </c>
      <c r="O236" s="18">
        <f t="shared" si="89"/>
        <v>0.22219500770384493</v>
      </c>
      <c r="P236" s="18">
        <f t="shared" si="90"/>
        <v>0.24698728444105922</v>
      </c>
      <c r="Q236" s="18">
        <f t="shared" si="102"/>
        <v>0.75186014708637094</v>
      </c>
      <c r="R236" s="18">
        <f t="shared" si="80"/>
        <v>1.2545472450562829</v>
      </c>
      <c r="S236" s="18">
        <f t="shared" si="81"/>
        <v>6.3606580795318056E-3</v>
      </c>
      <c r="T236" s="18">
        <f t="shared" si="91"/>
        <v>0.22208267930306888</v>
      </c>
      <c r="U236" s="18">
        <f t="shared" si="92"/>
        <v>0.24709961284183526</v>
      </c>
      <c r="V236" s="40" t="str">
        <f t="shared" si="82"/>
        <v>Y</v>
      </c>
      <c r="W236" s="18">
        <v>2.1208</v>
      </c>
      <c r="X236" s="18">
        <f t="shared" si="79"/>
        <v>0.22745712522122905</v>
      </c>
      <c r="Y236" s="18">
        <v>0.22745712522122905</v>
      </c>
      <c r="Z236" s="18">
        <v>0.76687093743045087</v>
      </c>
      <c r="AA236" s="18">
        <f t="shared" si="93"/>
        <v>-0.26543676109519754</v>
      </c>
      <c r="AB236" s="18">
        <f t="shared" si="94"/>
        <v>-0.25806777041863616</v>
      </c>
      <c r="AC236" s="18">
        <f t="shared" si="95"/>
        <v>-210.97232620007497</v>
      </c>
    </row>
    <row r="237" spans="1:29" x14ac:dyDescent="0.25">
      <c r="A237" s="13" t="str">
        <f t="shared" si="96"/>
        <v/>
      </c>
      <c r="B237" s="30">
        <f>IF(B236=$C$9,$C$6,IF(OR(ISNA(B236),B236=$C$6),NA(),Main!A204))</f>
        <v>203</v>
      </c>
      <c r="C237" s="29">
        <f>IF(ISNA(B237),NA(),IF(B237=$C$6,$C$19,Main!C204))</f>
        <v>0.28920000000000012</v>
      </c>
      <c r="D237" s="19">
        <f t="shared" si="97"/>
        <v>0.55313351498637597</v>
      </c>
      <c r="E237" s="18">
        <f t="shared" si="98"/>
        <v>0.52398538650213056</v>
      </c>
      <c r="F237" s="18">
        <f t="shared" si="99"/>
        <v>1.0651694035671371</v>
      </c>
      <c r="G237" s="18">
        <f t="shared" si="100"/>
        <v>0.23520495345109771</v>
      </c>
      <c r="H237" s="18">
        <f t="shared" si="101"/>
        <v>4.8023892545904657E-3</v>
      </c>
      <c r="I237" s="18">
        <f t="shared" si="83"/>
        <v>0.22903618459995906</v>
      </c>
      <c r="J237" s="18">
        <f t="shared" si="84"/>
        <v>0.24137372230223636</v>
      </c>
      <c r="K237" s="18">
        <f t="shared" si="85"/>
        <v>0.22728251665690469</v>
      </c>
      <c r="L237" s="18">
        <f t="shared" si="86"/>
        <v>0.24312739024529073</v>
      </c>
      <c r="M237" s="18">
        <f t="shared" si="87"/>
        <v>0.2257608793232978</v>
      </c>
      <c r="N237" s="18">
        <f t="shared" si="88"/>
        <v>0.24464902757889762</v>
      </c>
      <c r="O237" s="18">
        <f t="shared" si="89"/>
        <v>0.22277045932334866</v>
      </c>
      <c r="P237" s="18">
        <f t="shared" si="90"/>
        <v>0.24763944757884676</v>
      </c>
      <c r="Q237" s="18">
        <f t="shared" si="102"/>
        <v>0.75186014708637094</v>
      </c>
      <c r="R237" s="18">
        <f t="shared" si="80"/>
        <v>1.2545472450562829</v>
      </c>
      <c r="S237" s="18">
        <f t="shared" si="81"/>
        <v>6.3606580795318056E-3</v>
      </c>
      <c r="T237" s="18">
        <f t="shared" si="91"/>
        <v>0.22269648668171452</v>
      </c>
      <c r="U237" s="18">
        <f t="shared" si="92"/>
        <v>0.2477134202204809</v>
      </c>
      <c r="V237" s="40" t="str">
        <f t="shared" si="82"/>
        <v>Y</v>
      </c>
      <c r="W237" s="18">
        <v>2.1208</v>
      </c>
      <c r="X237" s="18">
        <f t="shared" si="79"/>
        <v>0.22745712522122905</v>
      </c>
      <c r="Y237" s="18">
        <v>0.22745712522122905</v>
      </c>
      <c r="Z237" s="18">
        <v>0.76687093743045087</v>
      </c>
      <c r="AA237" s="18">
        <f t="shared" si="93"/>
        <v>-0.26543676109519754</v>
      </c>
      <c r="AB237" s="18">
        <f t="shared" si="94"/>
        <v>-0.25806777041863616</v>
      </c>
      <c r="AC237" s="18">
        <f t="shared" si="95"/>
        <v>-212.01933526310265</v>
      </c>
    </row>
    <row r="238" spans="1:29" x14ac:dyDescent="0.25">
      <c r="A238" s="13" t="str">
        <f t="shared" si="96"/>
        <v/>
      </c>
      <c r="B238" s="30">
        <f>IF(B237=$C$9,$C$6,IF(OR(ISNA(B237),B237=$C$6),NA(),Main!A205))</f>
        <v>204</v>
      </c>
      <c r="C238" s="29">
        <f>IF(ISNA(B238),NA(),IF(B238=$C$6,$C$19,Main!C205))</f>
        <v>0.28920000000000012</v>
      </c>
      <c r="D238" s="19">
        <f t="shared" si="97"/>
        <v>0.55585831062670299</v>
      </c>
      <c r="E238" s="18">
        <f t="shared" si="98"/>
        <v>0.53231852661577062</v>
      </c>
      <c r="F238" s="18">
        <f t="shared" si="99"/>
        <v>1.0651694035671371</v>
      </c>
      <c r="G238" s="18">
        <f t="shared" si="100"/>
        <v>0.23582084693508687</v>
      </c>
      <c r="H238" s="18">
        <f t="shared" si="101"/>
        <v>4.817337973275158E-3</v>
      </c>
      <c r="I238" s="18">
        <f t="shared" si="83"/>
        <v>0.22963287614397671</v>
      </c>
      <c r="J238" s="18">
        <f t="shared" si="84"/>
        <v>0.24200881772619703</v>
      </c>
      <c r="K238" s="18">
        <f t="shared" si="85"/>
        <v>0.22787374944125974</v>
      </c>
      <c r="L238" s="18">
        <f t="shared" si="86"/>
        <v>0.243767944428914</v>
      </c>
      <c r="M238" s="18">
        <f t="shared" si="87"/>
        <v>0.22634737560520909</v>
      </c>
      <c r="N238" s="18">
        <f t="shared" si="88"/>
        <v>0.24529431826496464</v>
      </c>
      <c r="O238" s="18">
        <f t="shared" si="89"/>
        <v>0.22334764712463528</v>
      </c>
      <c r="P238" s="18">
        <f t="shared" si="90"/>
        <v>0.24829404674553845</v>
      </c>
      <c r="Q238" s="18">
        <f t="shared" si="102"/>
        <v>0.75186014708637094</v>
      </c>
      <c r="R238" s="18">
        <f t="shared" si="80"/>
        <v>1.2545472450562829</v>
      </c>
      <c r="S238" s="18">
        <f t="shared" si="81"/>
        <v>6.3606580795318056E-3</v>
      </c>
      <c r="T238" s="18">
        <f t="shared" si="91"/>
        <v>0.22331238016570368</v>
      </c>
      <c r="U238" s="18">
        <f t="shared" si="92"/>
        <v>0.24832931370447006</v>
      </c>
      <c r="V238" s="40" t="str">
        <f t="shared" si="82"/>
        <v>Y</v>
      </c>
      <c r="W238" s="18">
        <v>2.1208</v>
      </c>
      <c r="X238" s="18">
        <f t="shared" si="79"/>
        <v>0.22745712522122905</v>
      </c>
      <c r="Y238" s="18">
        <v>0.22745712522122905</v>
      </c>
      <c r="Z238" s="18">
        <v>0.76687093743045087</v>
      </c>
      <c r="AA238" s="18">
        <f t="shared" si="93"/>
        <v>-0.26543676109519754</v>
      </c>
      <c r="AB238" s="18">
        <f t="shared" si="94"/>
        <v>-0.25806777041863616</v>
      </c>
      <c r="AC238" s="18">
        <f t="shared" si="95"/>
        <v>-213.06634432613032</v>
      </c>
    </row>
    <row r="239" spans="1:29" x14ac:dyDescent="0.25">
      <c r="A239" s="13" t="str">
        <f t="shared" si="96"/>
        <v/>
      </c>
      <c r="B239" s="30">
        <f>IF(B238=$C$9,$C$6,IF(OR(ISNA(B238),B238=$C$6),NA(),Main!A206))</f>
        <v>205</v>
      </c>
      <c r="C239" s="29">
        <f>IF(ISNA(B239),NA(),IF(B239=$C$6,$C$19,Main!C206))</f>
        <v>0.28920000000000012</v>
      </c>
      <c r="D239" s="19">
        <f t="shared" si="97"/>
        <v>0.55858310626703001</v>
      </c>
      <c r="E239" s="18">
        <f t="shared" si="98"/>
        <v>0.54068042817244211</v>
      </c>
      <c r="F239" s="18">
        <f t="shared" si="99"/>
        <v>1.0651694035671371</v>
      </c>
      <c r="G239" s="18">
        <f t="shared" si="100"/>
        <v>0.23643886614660634</v>
      </c>
      <c r="H239" s="18">
        <f t="shared" si="101"/>
        <v>4.8324228783616198E-3</v>
      </c>
      <c r="I239" s="18">
        <f t="shared" si="83"/>
        <v>0.23023151848125992</v>
      </c>
      <c r="J239" s="18">
        <f t="shared" si="84"/>
        <v>0.24264621381195275</v>
      </c>
      <c r="K239" s="18">
        <f t="shared" si="85"/>
        <v>0.2284668832882745</v>
      </c>
      <c r="L239" s="18">
        <f t="shared" si="86"/>
        <v>0.24441084900493817</v>
      </c>
      <c r="M239" s="18">
        <f t="shared" si="87"/>
        <v>0.22693572979911025</v>
      </c>
      <c r="N239" s="18">
        <f t="shared" si="88"/>
        <v>0.24594200249410242</v>
      </c>
      <c r="O239" s="18">
        <f t="shared" si="89"/>
        <v>0.22392660803542747</v>
      </c>
      <c r="P239" s="18">
        <f t="shared" si="90"/>
        <v>0.24895112425778521</v>
      </c>
      <c r="Q239" s="18">
        <f t="shared" si="102"/>
        <v>0.75186014708637094</v>
      </c>
      <c r="R239" s="18">
        <f t="shared" si="80"/>
        <v>1.2545472450562829</v>
      </c>
      <c r="S239" s="18">
        <f t="shared" si="81"/>
        <v>6.3606580795318056E-3</v>
      </c>
      <c r="T239" s="18">
        <f t="shared" si="91"/>
        <v>0.22393039937722314</v>
      </c>
      <c r="U239" s="18">
        <f t="shared" si="92"/>
        <v>0.24894733291598953</v>
      </c>
      <c r="V239" s="40" t="str">
        <f t="shared" si="82"/>
        <v>Y</v>
      </c>
      <c r="W239" s="18">
        <v>2.1208</v>
      </c>
      <c r="X239" s="18">
        <f t="shared" si="79"/>
        <v>0.22745712522122905</v>
      </c>
      <c r="Y239" s="18">
        <v>0.22745712522122905</v>
      </c>
      <c r="Z239" s="18">
        <v>0.76687093743045087</v>
      </c>
      <c r="AA239" s="18">
        <f t="shared" si="93"/>
        <v>-0.26543676109519754</v>
      </c>
      <c r="AB239" s="18">
        <f t="shared" si="94"/>
        <v>-0.25806777041863616</v>
      </c>
      <c r="AC239" s="18">
        <f t="shared" si="95"/>
        <v>-214.11335338915799</v>
      </c>
    </row>
    <row r="240" spans="1:29" x14ac:dyDescent="0.25">
      <c r="A240" s="13" t="str">
        <f t="shared" si="96"/>
        <v/>
      </c>
      <c r="B240" s="30">
        <f>IF(B239=$C$9,$C$6,IF(OR(ISNA(B239),B239=$C$6),NA(),Main!A207))</f>
        <v>206</v>
      </c>
      <c r="C240" s="29">
        <f>IF(ISNA(B240),NA(),IF(B240=$C$6,$C$19,Main!C207))</f>
        <v>0.28920000000000012</v>
      </c>
      <c r="D240" s="19">
        <f t="shared" si="97"/>
        <v>0.56130790190735691</v>
      </c>
      <c r="E240" s="18">
        <f t="shared" si="98"/>
        <v>0.54907163470320153</v>
      </c>
      <c r="F240" s="18">
        <f t="shared" si="99"/>
        <v>1.0651694035671371</v>
      </c>
      <c r="G240" s="18">
        <f t="shared" si="100"/>
        <v>0.2370590512574558</v>
      </c>
      <c r="H240" s="18">
        <f t="shared" si="101"/>
        <v>4.8476450378008443E-3</v>
      </c>
      <c r="I240" s="18">
        <f t="shared" si="83"/>
        <v>0.23083215041180313</v>
      </c>
      <c r="J240" s="18">
        <f t="shared" si="84"/>
        <v>0.24328595210310847</v>
      </c>
      <c r="K240" s="18">
        <f t="shared" si="85"/>
        <v>0.22906195660796436</v>
      </c>
      <c r="L240" s="18">
        <f t="shared" si="86"/>
        <v>0.24505614590694724</v>
      </c>
      <c r="M240" s="18">
        <f t="shared" si="87"/>
        <v>0.22752597997663632</v>
      </c>
      <c r="N240" s="18">
        <f t="shared" si="88"/>
        <v>0.24659212253827528</v>
      </c>
      <c r="O240" s="18">
        <f t="shared" si="89"/>
        <v>0.2245073794623533</v>
      </c>
      <c r="P240" s="18">
        <f t="shared" si="90"/>
        <v>0.2496107230525583</v>
      </c>
      <c r="Q240" s="18">
        <f t="shared" si="102"/>
        <v>0.75186014708637094</v>
      </c>
      <c r="R240" s="18">
        <f t="shared" si="80"/>
        <v>1.2545472450562829</v>
      </c>
      <c r="S240" s="18">
        <f t="shared" si="81"/>
        <v>6.3606580795318056E-3</v>
      </c>
      <c r="T240" s="18">
        <f t="shared" si="91"/>
        <v>0.22455058448807261</v>
      </c>
      <c r="U240" s="18">
        <f t="shared" si="92"/>
        <v>0.24956751802683899</v>
      </c>
      <c r="V240" s="40" t="str">
        <f t="shared" si="82"/>
        <v>Y</v>
      </c>
      <c r="W240" s="18">
        <v>2.1208</v>
      </c>
      <c r="X240" s="18">
        <f t="shared" si="79"/>
        <v>0.22745712522122905</v>
      </c>
      <c r="Y240" s="18">
        <v>0.22745712522122905</v>
      </c>
      <c r="Z240" s="18">
        <v>0.76687093743045087</v>
      </c>
      <c r="AA240" s="18">
        <f t="shared" si="93"/>
        <v>-0.26543676109519754</v>
      </c>
      <c r="AB240" s="18">
        <f t="shared" si="94"/>
        <v>-0.25806777041863616</v>
      </c>
      <c r="AC240" s="18">
        <f t="shared" si="95"/>
        <v>-215.16036245218564</v>
      </c>
    </row>
    <row r="241" spans="1:29" x14ac:dyDescent="0.25">
      <c r="A241" s="13" t="str">
        <f t="shared" si="96"/>
        <v/>
      </c>
      <c r="B241" s="30">
        <f>IF(B240=$C$9,$C$6,IF(OR(ISNA(B240),B240=$C$6),NA(),Main!A208))</f>
        <v>207</v>
      </c>
      <c r="C241" s="29">
        <f>IF(ISNA(B241),NA(),IF(B241=$C$6,$C$19,Main!C208))</f>
        <v>0.28920000000000012</v>
      </c>
      <c r="D241" s="19">
        <f t="shared" si="97"/>
        <v>0.56403269754768393</v>
      </c>
      <c r="E241" s="18">
        <f t="shared" si="98"/>
        <v>0.55749269740684027</v>
      </c>
      <c r="F241" s="18">
        <f t="shared" si="99"/>
        <v>1.0651694035671371</v>
      </c>
      <c r="G241" s="18">
        <f t="shared" si="100"/>
        <v>0.23768144300614918</v>
      </c>
      <c r="H241" s="18">
        <f t="shared" si="101"/>
        <v>4.8630055474261453E-3</v>
      </c>
      <c r="I241" s="18">
        <f t="shared" si="83"/>
        <v>0.23143481126649962</v>
      </c>
      <c r="J241" s="18">
        <f t="shared" si="84"/>
        <v>0.24392807474579875</v>
      </c>
      <c r="K241" s="18">
        <f t="shared" si="85"/>
        <v>0.22965900833106179</v>
      </c>
      <c r="L241" s="18">
        <f t="shared" si="86"/>
        <v>0.24570387768123658</v>
      </c>
      <c r="M241" s="18">
        <f t="shared" si="87"/>
        <v>0.22811816472130489</v>
      </c>
      <c r="N241" s="18">
        <f t="shared" si="88"/>
        <v>0.24724472129099348</v>
      </c>
      <c r="O241" s="18">
        <f t="shared" si="89"/>
        <v>0.22508999930656134</v>
      </c>
      <c r="P241" s="18">
        <f t="shared" si="90"/>
        <v>0.25027288670573705</v>
      </c>
      <c r="Q241" s="18">
        <f t="shared" si="102"/>
        <v>0.75186014708637094</v>
      </c>
      <c r="R241" s="18">
        <f t="shared" si="80"/>
        <v>1.2545472450562829</v>
      </c>
      <c r="S241" s="18">
        <f t="shared" si="81"/>
        <v>6.3606580795318056E-3</v>
      </c>
      <c r="T241" s="18">
        <f t="shared" si="91"/>
        <v>0.22517297623676599</v>
      </c>
      <c r="U241" s="18">
        <f t="shared" si="92"/>
        <v>0.25018990977553235</v>
      </c>
      <c r="V241" s="40" t="str">
        <f t="shared" si="82"/>
        <v>Y</v>
      </c>
      <c r="W241" s="18">
        <v>2.1208</v>
      </c>
      <c r="X241" s="18">
        <f t="shared" si="79"/>
        <v>0.22745712522122905</v>
      </c>
      <c r="Y241" s="18">
        <v>0.22745712522122905</v>
      </c>
      <c r="Z241" s="18">
        <v>0.76687093743045087</v>
      </c>
      <c r="AA241" s="18">
        <f t="shared" si="93"/>
        <v>-0.26543676109519754</v>
      </c>
      <c r="AB241" s="18">
        <f t="shared" si="94"/>
        <v>-0.25806777041863616</v>
      </c>
      <c r="AC241" s="18">
        <f t="shared" si="95"/>
        <v>-216.20737151521331</v>
      </c>
    </row>
    <row r="242" spans="1:29" x14ac:dyDescent="0.25">
      <c r="A242" s="13" t="str">
        <f t="shared" si="96"/>
        <v/>
      </c>
      <c r="B242" s="30">
        <f>IF(B241=$C$9,$C$6,IF(OR(ISNA(B241),B241=$C$6),NA(),Main!A209))</f>
        <v>208</v>
      </c>
      <c r="C242" s="29">
        <f>IF(ISNA(B242),NA(),IF(B242=$C$6,$C$19,Main!C209))</f>
        <v>0.28920000000000012</v>
      </c>
      <c r="D242" s="19">
        <f t="shared" si="97"/>
        <v>0.56675749318801094</v>
      </c>
      <c r="E242" s="18">
        <f t="shared" si="98"/>
        <v>0.56594417538745556</v>
      </c>
      <c r="F242" s="18">
        <f t="shared" si="99"/>
        <v>1.0651694035671371</v>
      </c>
      <c r="G242" s="18">
        <f t="shared" si="100"/>
        <v>0.23830608271547302</v>
      </c>
      <c r="H242" s="18">
        <f t="shared" si="101"/>
        <v>4.8785055315471908E-3</v>
      </c>
      <c r="I242" s="18">
        <f t="shared" si="83"/>
        <v>0.23203954092393675</v>
      </c>
      <c r="J242" s="18">
        <f t="shared" si="84"/>
        <v>0.24457262450700928</v>
      </c>
      <c r="K242" s="18">
        <f t="shared" si="85"/>
        <v>0.23025807792559483</v>
      </c>
      <c r="L242" s="18">
        <f t="shared" si="86"/>
        <v>0.2463540875053512</v>
      </c>
      <c r="M242" s="18">
        <f t="shared" si="87"/>
        <v>0.22871232314490642</v>
      </c>
      <c r="N242" s="18">
        <f t="shared" si="88"/>
        <v>0.24789984228603962</v>
      </c>
      <c r="O242" s="18">
        <f t="shared" si="89"/>
        <v>0.2256745059797409</v>
      </c>
      <c r="P242" s="18">
        <f t="shared" si="90"/>
        <v>0.25093765945120516</v>
      </c>
      <c r="Q242" s="18">
        <f t="shared" si="102"/>
        <v>0.75186014708637094</v>
      </c>
      <c r="R242" s="18">
        <f t="shared" si="80"/>
        <v>1.2545472450562829</v>
      </c>
      <c r="S242" s="18">
        <f t="shared" si="81"/>
        <v>6.3606580795318056E-3</v>
      </c>
      <c r="T242" s="18">
        <f t="shared" si="91"/>
        <v>0.22579761594608982</v>
      </c>
      <c r="U242" s="18">
        <f t="shared" si="92"/>
        <v>0.25081454948485621</v>
      </c>
      <c r="V242" s="40" t="str">
        <f t="shared" si="82"/>
        <v>Y</v>
      </c>
      <c r="W242" s="18">
        <v>2.1208</v>
      </c>
      <c r="X242" s="18">
        <f t="shared" si="79"/>
        <v>0.22745712522122905</v>
      </c>
      <c r="Y242" s="18">
        <v>0.22745712522122905</v>
      </c>
      <c r="Z242" s="18">
        <v>0.76687093743045087</v>
      </c>
      <c r="AA242" s="18">
        <f t="shared" si="93"/>
        <v>-0.26543676109519754</v>
      </c>
      <c r="AB242" s="18">
        <f t="shared" si="94"/>
        <v>-0.25806777041863616</v>
      </c>
      <c r="AC242" s="18">
        <f t="shared" si="95"/>
        <v>-217.25438057824098</v>
      </c>
    </row>
    <row r="243" spans="1:29" x14ac:dyDescent="0.25">
      <c r="A243" s="13" t="str">
        <f t="shared" si="96"/>
        <v/>
      </c>
      <c r="B243" s="30">
        <f>IF(B242=$C$9,$C$6,IF(OR(ISNA(B242),B242=$C$6),NA(),Main!A210))</f>
        <v>209</v>
      </c>
      <c r="C243" s="29">
        <f>IF(ISNA(B243),NA(),IF(B243=$C$6,$C$19,Main!C210))</f>
        <v>0.28920000000000012</v>
      </c>
      <c r="D243" s="19">
        <f t="shared" si="97"/>
        <v>0.56948228882833785</v>
      </c>
      <c r="E243" s="18">
        <f t="shared" si="98"/>
        <v>0.57442663589847798</v>
      </c>
      <c r="F243" s="18">
        <f t="shared" si="99"/>
        <v>1.0651694035671371</v>
      </c>
      <c r="G243" s="18">
        <f t="shared" si="100"/>
        <v>0.23893301231052239</v>
      </c>
      <c r="H243" s="18">
        <f t="shared" si="101"/>
        <v>4.8941461435647289E-3</v>
      </c>
      <c r="I243" s="18">
        <f t="shared" si="83"/>
        <v>0.23264637982764236</v>
      </c>
      <c r="J243" s="18">
        <f t="shared" si="84"/>
        <v>0.24521964479340241</v>
      </c>
      <c r="K243" s="18">
        <f t="shared" si="85"/>
        <v>0.23085920541390889</v>
      </c>
      <c r="L243" s="18">
        <f t="shared" si="86"/>
        <v>0.24700681920713588</v>
      </c>
      <c r="M243" s="18">
        <f t="shared" si="87"/>
        <v>0.22930849490433122</v>
      </c>
      <c r="N243" s="18">
        <f t="shared" si="88"/>
        <v>0.24855752971671355</v>
      </c>
      <c r="O243" s="18">
        <f t="shared" si="89"/>
        <v>0.22626093842056633</v>
      </c>
      <c r="P243" s="18">
        <f t="shared" si="90"/>
        <v>0.25160508620047844</v>
      </c>
      <c r="Q243" s="18">
        <f t="shared" si="102"/>
        <v>0.75186014708637094</v>
      </c>
      <c r="R243" s="18">
        <f t="shared" si="80"/>
        <v>1.2545472450562829</v>
      </c>
      <c r="S243" s="18">
        <f t="shared" si="81"/>
        <v>6.3606580795318056E-3</v>
      </c>
      <c r="T243" s="18">
        <f t="shared" si="91"/>
        <v>0.22642454554113919</v>
      </c>
      <c r="U243" s="18">
        <f t="shared" si="92"/>
        <v>0.25144147907990555</v>
      </c>
      <c r="V243" s="40" t="str">
        <f t="shared" si="82"/>
        <v>Y</v>
      </c>
      <c r="W243" s="18">
        <v>2.1208</v>
      </c>
      <c r="X243" s="18">
        <f t="shared" si="79"/>
        <v>0.22745712522122905</v>
      </c>
      <c r="Y243" s="18">
        <v>0.22745712522122905</v>
      </c>
      <c r="Z243" s="18">
        <v>0.76687093743045087</v>
      </c>
      <c r="AA243" s="18">
        <f t="shared" si="93"/>
        <v>-0.26543676109519754</v>
      </c>
      <c r="AB243" s="18">
        <f t="shared" si="94"/>
        <v>-0.25806777041863616</v>
      </c>
      <c r="AC243" s="18">
        <f t="shared" si="95"/>
        <v>-218.30138964126866</v>
      </c>
    </row>
    <row r="244" spans="1:29" x14ac:dyDescent="0.25">
      <c r="A244" s="13" t="str">
        <f t="shared" si="96"/>
        <v/>
      </c>
      <c r="B244" s="30">
        <f>IF(B243=$C$9,$C$6,IF(OR(ISNA(B243),B243=$C$6),NA(),Main!A211))</f>
        <v>210</v>
      </c>
      <c r="C244" s="29">
        <f>IF(ISNA(B244),NA(),IF(B244=$C$6,$C$19,Main!C211))</f>
        <v>0.28920000000000012</v>
      </c>
      <c r="D244" s="19">
        <f t="shared" si="97"/>
        <v>0.57220708446866486</v>
      </c>
      <c r="E244" s="18">
        <f t="shared" si="98"/>
        <v>0.5829406545934287</v>
      </c>
      <c r="F244" s="18">
        <f t="shared" si="99"/>
        <v>1.0651694035671371</v>
      </c>
      <c r="G244" s="18">
        <f t="shared" si="100"/>
        <v>0.23956227433723415</v>
      </c>
      <c r="H244" s="18">
        <f t="shared" si="101"/>
        <v>4.9099285666067772E-3</v>
      </c>
      <c r="I244" s="18">
        <f t="shared" si="83"/>
        <v>0.23325536900380078</v>
      </c>
      <c r="J244" s="18">
        <f t="shared" si="84"/>
        <v>0.24586917967066751</v>
      </c>
      <c r="K244" s="18">
        <f t="shared" si="85"/>
        <v>0.23146243139015049</v>
      </c>
      <c r="L244" s="18">
        <f t="shared" si="86"/>
        <v>0.24766211728431781</v>
      </c>
      <c r="M244" s="18">
        <f t="shared" si="87"/>
        <v>0.22990672021885167</v>
      </c>
      <c r="N244" s="18">
        <f t="shared" si="88"/>
        <v>0.24921782845561663</v>
      </c>
      <c r="O244" s="18">
        <f t="shared" si="89"/>
        <v>0.22684933611158303</v>
      </c>
      <c r="P244" s="18">
        <f t="shared" si="90"/>
        <v>0.25227521256288526</v>
      </c>
      <c r="Q244" s="18">
        <f t="shared" si="102"/>
        <v>0.75186014708637094</v>
      </c>
      <c r="R244" s="18">
        <f t="shared" si="80"/>
        <v>1.2545472450562829</v>
      </c>
      <c r="S244" s="18">
        <f t="shared" si="81"/>
        <v>6.3606580795318056E-3</v>
      </c>
      <c r="T244" s="18">
        <f t="shared" si="91"/>
        <v>0.22705380756785096</v>
      </c>
      <c r="U244" s="18">
        <f t="shared" si="92"/>
        <v>0.25207074110661731</v>
      </c>
      <c r="V244" s="40" t="str">
        <f t="shared" si="82"/>
        <v>Y</v>
      </c>
      <c r="W244" s="18">
        <v>2.1208</v>
      </c>
      <c r="X244" s="18">
        <f t="shared" si="79"/>
        <v>0.22745712522122905</v>
      </c>
      <c r="Y244" s="18">
        <v>0.22745712522122905</v>
      </c>
      <c r="Z244" s="18">
        <v>0.76687093743045087</v>
      </c>
      <c r="AA244" s="18">
        <f t="shared" si="93"/>
        <v>-0.26543676109519754</v>
      </c>
      <c r="AB244" s="18">
        <f t="shared" si="94"/>
        <v>-0.25806777041863616</v>
      </c>
      <c r="AC244" s="18">
        <f t="shared" si="95"/>
        <v>-219.34839870429633</v>
      </c>
    </row>
    <row r="245" spans="1:29" x14ac:dyDescent="0.25">
      <c r="A245" s="13" t="str">
        <f t="shared" si="96"/>
        <v/>
      </c>
      <c r="B245" s="30">
        <f>IF(B244=$C$9,$C$6,IF(OR(ISNA(B244),B244=$C$6),NA(),Main!A212))</f>
        <v>211</v>
      </c>
      <c r="C245" s="29">
        <f>IF(ISNA(B245),NA(),IF(B245=$C$6,$C$19,Main!C212))</f>
        <v>0.28920000000000012</v>
      </c>
      <c r="D245" s="19">
        <f t="shared" si="97"/>
        <v>0.57493188010899188</v>
      </c>
      <c r="E245" s="18">
        <f t="shared" si="98"/>
        <v>0.59148681578369056</v>
      </c>
      <c r="F245" s="18">
        <f t="shared" si="99"/>
        <v>1.0651694035671371</v>
      </c>
      <c r="G245" s="18">
        <f t="shared" si="100"/>
        <v>0.24019391198143838</v>
      </c>
      <c r="H245" s="18">
        <f t="shared" si="101"/>
        <v>4.9258540141869965E-3</v>
      </c>
      <c r="I245" s="18">
        <f t="shared" si="83"/>
        <v>0.23386655007945856</v>
      </c>
      <c r="J245" s="18">
        <f t="shared" si="84"/>
        <v>0.24652127388341821</v>
      </c>
      <c r="K245" s="18">
        <f t="shared" si="85"/>
        <v>0.2320677970382326</v>
      </c>
      <c r="L245" s="18">
        <f t="shared" si="86"/>
        <v>0.24832002692464417</v>
      </c>
      <c r="M245" s="18">
        <f t="shared" si="87"/>
        <v>0.23050703988787882</v>
      </c>
      <c r="N245" s="18">
        <f t="shared" si="88"/>
        <v>0.24988078407499795</v>
      </c>
      <c r="O245" s="18">
        <f t="shared" si="89"/>
        <v>0.2274397390965541</v>
      </c>
      <c r="P245" s="18">
        <f t="shared" si="90"/>
        <v>0.25294808486632264</v>
      </c>
      <c r="Q245" s="18">
        <f t="shared" si="102"/>
        <v>0.75186014708637094</v>
      </c>
      <c r="R245" s="18">
        <f t="shared" si="80"/>
        <v>1.2545472450562829</v>
      </c>
      <c r="S245" s="18">
        <f t="shared" si="81"/>
        <v>6.3606580795318056E-3</v>
      </c>
      <c r="T245" s="18">
        <f t="shared" si="91"/>
        <v>0.22768544521205519</v>
      </c>
      <c r="U245" s="18">
        <f t="shared" si="92"/>
        <v>0.25270237875082158</v>
      </c>
      <c r="V245" s="40" t="str">
        <f t="shared" si="82"/>
        <v>Y</v>
      </c>
      <c r="W245" s="18">
        <v>2.1208</v>
      </c>
      <c r="X245" s="18">
        <f t="shared" si="79"/>
        <v>0.22745712522122905</v>
      </c>
      <c r="Y245" s="18">
        <v>0.22745712522122905</v>
      </c>
      <c r="Z245" s="18">
        <v>0.76687093743045087</v>
      </c>
      <c r="AA245" s="18">
        <f t="shared" si="93"/>
        <v>-0.26543676109519754</v>
      </c>
      <c r="AB245" s="18">
        <f t="shared" si="94"/>
        <v>-0.25806777041863616</v>
      </c>
      <c r="AC245" s="18">
        <f t="shared" si="95"/>
        <v>-220.39540776732397</v>
      </c>
    </row>
    <row r="246" spans="1:29" x14ac:dyDescent="0.25">
      <c r="A246" s="13" t="str">
        <f t="shared" ref="A246:A309" si="103">IF(B246=$C$6,"EVA","")</f>
        <v/>
      </c>
      <c r="B246" s="30">
        <f>IF(B245=$C$9,$C$6,IF(OR(ISNA(B245),B245=$C$6),NA(),Main!A213))</f>
        <v>212</v>
      </c>
      <c r="C246" s="29">
        <f>IF(ISNA(B246),NA(),IF(B246=$C$6,$C$19,Main!C213))</f>
        <v>0.28920000000000012</v>
      </c>
      <c r="D246" s="19">
        <f t="shared" ref="D246:D309" si="104">IF(ISNA(B246),NA(),IF(B246=$C$6,(N-1)/N,B246/($C$9+1)))</f>
        <v>0.57765667574931878</v>
      </c>
      <c r="E246" s="18">
        <f t="shared" ref="E246:E309" si="105">IF(ISNA(B246),NA(),-LN(-LN(D246)))</f>
        <v>0.60006571270359232</v>
      </c>
      <c r="F246" s="18">
        <f t="shared" ref="F246:F309" si="106">IF(ISNA(B246),NA(),LN(1/$C$16) - (C246-$C$17)/$C$16 - EXP(-(C246-$C$17)/$C$16))</f>
        <v>1.0651694035671371</v>
      </c>
      <c r="G246" s="18">
        <f t="shared" ref="G246:G309" si="107">IF(ISNA(B246),NA(),$C$16*E246+$C$17)</f>
        <v>0.24082796908845061</v>
      </c>
      <c r="H246" s="18">
        <f t="shared" ref="H246:H309" si="108">IF(ISNA(B246),NA(),$C$16*SQRT((1.109+0.514*E246+0.608*E246^2)/$C$9))</f>
        <v>4.941923730886119E-3</v>
      </c>
      <c r="I246" s="18">
        <f t="shared" si="83"/>
        <v>0.23447996530124138</v>
      </c>
      <c r="J246" s="18">
        <f t="shared" si="84"/>
        <v>0.24717597287565984</v>
      </c>
      <c r="K246" s="18">
        <f t="shared" si="85"/>
        <v>0.23267534415030269</v>
      </c>
      <c r="L246" s="18">
        <f t="shared" si="86"/>
        <v>0.24898059402659853</v>
      </c>
      <c r="M246" s="18">
        <f t="shared" si="87"/>
        <v>0.23110949530921465</v>
      </c>
      <c r="N246" s="18">
        <f t="shared" si="88"/>
        <v>0.25054644286768657</v>
      </c>
      <c r="O246" s="18">
        <f t="shared" si="89"/>
        <v>0.22803218799828834</v>
      </c>
      <c r="P246" s="18">
        <f t="shared" si="90"/>
        <v>0.25362375017861288</v>
      </c>
      <c r="Q246" s="18">
        <f t="shared" ref="Q246:Q309" si="109">IF(ISNA(B246),NA(),EXP(-EXP(-(C246-$C$17)/$C$16)))</f>
        <v>0.75186014708637094</v>
      </c>
      <c r="R246" s="18">
        <f t="shared" si="80"/>
        <v>1.2545472450562829</v>
      </c>
      <c r="S246" s="18">
        <f t="shared" si="81"/>
        <v>6.3606580795318056E-3</v>
      </c>
      <c r="T246" s="18">
        <f t="shared" si="91"/>
        <v>0.22831950231906742</v>
      </c>
      <c r="U246" s="18">
        <f t="shared" si="92"/>
        <v>0.25333643585783377</v>
      </c>
      <c r="V246" s="40" t="str">
        <f t="shared" si="82"/>
        <v>Y</v>
      </c>
      <c r="W246" s="18">
        <v>2.1208</v>
      </c>
      <c r="X246" s="18">
        <f t="shared" si="79"/>
        <v>0.22745712522122905</v>
      </c>
      <c r="Y246" s="18">
        <v>0.22745712522122905</v>
      </c>
      <c r="Z246" s="18">
        <v>0.76687093743045087</v>
      </c>
      <c r="AA246" s="18">
        <f t="shared" si="93"/>
        <v>-0.26543676109519754</v>
      </c>
      <c r="AB246" s="18">
        <f t="shared" si="94"/>
        <v>-0.25806777041863616</v>
      </c>
      <c r="AC246" s="18">
        <f t="shared" si="95"/>
        <v>-221.44241683035165</v>
      </c>
    </row>
    <row r="247" spans="1:29" x14ac:dyDescent="0.25">
      <c r="A247" s="13" t="str">
        <f t="shared" si="103"/>
        <v/>
      </c>
      <c r="B247" s="30">
        <f>IF(B246=$C$9,$C$6,IF(OR(ISNA(B246),B246=$C$6),NA(),Main!A214))</f>
        <v>213</v>
      </c>
      <c r="C247" s="29">
        <f>IF(ISNA(B247),NA(),IF(B247=$C$6,$C$19,Main!C214))</f>
        <v>0.28920000000000012</v>
      </c>
      <c r="D247" s="19">
        <f t="shared" si="104"/>
        <v>0.5803814713896458</v>
      </c>
      <c r="E247" s="18">
        <f t="shared" si="105"/>
        <v>0.60867794778312156</v>
      </c>
      <c r="F247" s="18">
        <f t="shared" si="106"/>
        <v>1.0651694035671371</v>
      </c>
      <c r="G247" s="18">
        <f t="shared" si="107"/>
        <v>0.24146449018322771</v>
      </c>
      <c r="H247" s="18">
        <f t="shared" si="108"/>
        <v>4.9581389930572432E-3</v>
      </c>
      <c r="I247" s="18">
        <f t="shared" si="83"/>
        <v>0.23509565755460404</v>
      </c>
      <c r="J247" s="18">
        <f t="shared" si="84"/>
        <v>0.24783332281185139</v>
      </c>
      <c r="K247" s="18">
        <f t="shared" si="85"/>
        <v>0.23328511514573513</v>
      </c>
      <c r="L247" s="18">
        <f t="shared" si="86"/>
        <v>0.2496438652207203</v>
      </c>
      <c r="M247" s="18">
        <f t="shared" si="87"/>
        <v>0.231714128497821</v>
      </c>
      <c r="N247" s="18">
        <f t="shared" si="88"/>
        <v>0.2512148518686344</v>
      </c>
      <c r="O247" s="18">
        <f t="shared" si="89"/>
        <v>0.22862672403696987</v>
      </c>
      <c r="P247" s="18">
        <f t="shared" si="90"/>
        <v>0.25430225632948555</v>
      </c>
      <c r="Q247" s="18">
        <f t="shared" si="109"/>
        <v>0.75186014708637094</v>
      </c>
      <c r="R247" s="18">
        <f t="shared" si="80"/>
        <v>1.2545472450562829</v>
      </c>
      <c r="S247" s="18">
        <f t="shared" si="81"/>
        <v>6.3606580795318056E-3</v>
      </c>
      <c r="T247" s="18">
        <f t="shared" si="91"/>
        <v>0.22895602341384452</v>
      </c>
      <c r="U247" s="18">
        <f t="shared" si="92"/>
        <v>0.25397295695261091</v>
      </c>
      <c r="V247" s="40" t="str">
        <f t="shared" si="82"/>
        <v>Y</v>
      </c>
      <c r="W247" s="18">
        <v>2.1208</v>
      </c>
      <c r="X247" s="18">
        <f t="shared" si="79"/>
        <v>0.22745712522122905</v>
      </c>
      <c r="Y247" s="18">
        <v>0.22745712522122905</v>
      </c>
      <c r="Z247" s="18">
        <v>0.84137815836761054</v>
      </c>
      <c r="AA247" s="18">
        <f t="shared" si="93"/>
        <v>-0.17271406684150489</v>
      </c>
      <c r="AB247" s="18">
        <f t="shared" si="94"/>
        <v>-0.25806777041863616</v>
      </c>
      <c r="AC247" s="18">
        <f t="shared" si="95"/>
        <v>-183.08228083555997</v>
      </c>
    </row>
    <row r="248" spans="1:29" x14ac:dyDescent="0.25">
      <c r="A248" s="13" t="str">
        <f t="shared" si="103"/>
        <v/>
      </c>
      <c r="B248" s="30">
        <f>IF(B247=$C$9,$C$6,IF(OR(ISNA(B247),B247=$C$6),NA(),Main!A215))</f>
        <v>214</v>
      </c>
      <c r="C248" s="29">
        <f>IF(ISNA(B248),NA(),IF(B248=$C$6,$C$19,Main!C215))</f>
        <v>0.28920000000000012</v>
      </c>
      <c r="D248" s="19">
        <f t="shared" si="104"/>
        <v>0.5831062670299727</v>
      </c>
      <c r="E248" s="18">
        <f t="shared" si="105"/>
        <v>0.61732413292857857</v>
      </c>
      <c r="F248" s="18">
        <f t="shared" si="106"/>
        <v>1.0651694035671371</v>
      </c>
      <c r="G248" s="18">
        <f t="shared" si="107"/>
        <v>0.24210352049111064</v>
      </c>
      <c r="H248" s="18">
        <f t="shared" si="108"/>
        <v>4.9745011095558992E-3</v>
      </c>
      <c r="I248" s="18">
        <f t="shared" si="83"/>
        <v>0.23571367038363536</v>
      </c>
      <c r="J248" s="18">
        <f t="shared" si="84"/>
        <v>0.24849337059858592</v>
      </c>
      <c r="K248" s="18">
        <f t="shared" si="85"/>
        <v>0.23389715309066958</v>
      </c>
      <c r="L248" s="18">
        <f t="shared" si="86"/>
        <v>0.25030988789155167</v>
      </c>
      <c r="M248" s="18">
        <f t="shared" si="87"/>
        <v>0.23232098210512656</v>
      </c>
      <c r="N248" s="18">
        <f t="shared" si="88"/>
        <v>0.25188605887709475</v>
      </c>
      <c r="O248" s="18">
        <f t="shared" si="89"/>
        <v>0.2292233890490106</v>
      </c>
      <c r="P248" s="18">
        <f t="shared" si="90"/>
        <v>0.25498365193321065</v>
      </c>
      <c r="Q248" s="18">
        <f t="shared" si="109"/>
        <v>0.75186014708637094</v>
      </c>
      <c r="R248" s="18">
        <f t="shared" si="80"/>
        <v>1.2545472450562829</v>
      </c>
      <c r="S248" s="18">
        <f t="shared" si="81"/>
        <v>6.3606580795318056E-3</v>
      </c>
      <c r="T248" s="18">
        <f t="shared" si="91"/>
        <v>0.22959505372172745</v>
      </c>
      <c r="U248" s="18">
        <f t="shared" si="92"/>
        <v>0.25461198726049383</v>
      </c>
      <c r="V248" s="40" t="str">
        <f t="shared" si="82"/>
        <v>Y</v>
      </c>
      <c r="W248" s="18">
        <v>2.1208</v>
      </c>
      <c r="X248" s="18">
        <f t="shared" si="79"/>
        <v>0.22745712522122905</v>
      </c>
      <c r="Y248" s="18">
        <v>0.22745712522122905</v>
      </c>
      <c r="Z248" s="18">
        <v>0.84137815836761054</v>
      </c>
      <c r="AA248" s="18">
        <f t="shared" si="93"/>
        <v>-0.17271406684150489</v>
      </c>
      <c r="AB248" s="18">
        <f t="shared" si="94"/>
        <v>-0.25806777041863616</v>
      </c>
      <c r="AC248" s="18">
        <f t="shared" si="95"/>
        <v>-183.94384451008023</v>
      </c>
    </row>
    <row r="249" spans="1:29" x14ac:dyDescent="0.25">
      <c r="A249" s="13" t="str">
        <f t="shared" si="103"/>
        <v/>
      </c>
      <c r="B249" s="30">
        <f>IF(B248=$C$9,$C$6,IF(OR(ISNA(B248),B248=$C$6),NA(),Main!A216))</f>
        <v>215</v>
      </c>
      <c r="C249" s="29">
        <f>IF(ISNA(B249),NA(),IF(B249=$C$6,$C$19,Main!C216))</f>
        <v>0.28920000000000012</v>
      </c>
      <c r="D249" s="19">
        <f t="shared" si="104"/>
        <v>0.58583106267029972</v>
      </c>
      <c r="E249" s="18">
        <f t="shared" si="105"/>
        <v>0.62600488981152491</v>
      </c>
      <c r="F249" s="18">
        <f t="shared" si="106"/>
        <v>1.0651694035671371</v>
      </c>
      <c r="G249" s="18">
        <f t="shared" si="107"/>
        <v>0.24274510595918042</v>
      </c>
      <c r="H249" s="18">
        <f t="shared" si="108"/>
        <v>4.9910114224958214E-3</v>
      </c>
      <c r="I249" s="18">
        <f t="shared" si="83"/>
        <v>0.23633404801144334</v>
      </c>
      <c r="J249" s="18">
        <f t="shared" si="84"/>
        <v>0.2491561639069175</v>
      </c>
      <c r="K249" s="18">
        <f t="shared" si="85"/>
        <v>0.2345115017181201</v>
      </c>
      <c r="L249" s="18">
        <f t="shared" si="86"/>
        <v>0.25097871020024071</v>
      </c>
      <c r="M249" s="18">
        <f t="shared" si="87"/>
        <v>0.23293009943889656</v>
      </c>
      <c r="N249" s="18">
        <f t="shared" si="88"/>
        <v>0.2525601124794643</v>
      </c>
      <c r="O249" s="18">
        <f t="shared" si="89"/>
        <v>0.22982222550644937</v>
      </c>
      <c r="P249" s="18">
        <f t="shared" si="90"/>
        <v>0.25566798641191146</v>
      </c>
      <c r="Q249" s="18">
        <f t="shared" si="109"/>
        <v>0.75186014708637094</v>
      </c>
      <c r="R249" s="18">
        <f t="shared" si="80"/>
        <v>1.2545472450562829</v>
      </c>
      <c r="S249" s="18">
        <f t="shared" si="81"/>
        <v>6.3606580795318056E-3</v>
      </c>
      <c r="T249" s="18">
        <f t="shared" si="91"/>
        <v>0.23023663918979723</v>
      </c>
      <c r="U249" s="18">
        <f t="shared" si="92"/>
        <v>0.25525357272856358</v>
      </c>
      <c r="V249" s="40" t="str">
        <f t="shared" si="82"/>
        <v>Y</v>
      </c>
      <c r="W249" s="18">
        <v>2.1208</v>
      </c>
      <c r="X249" s="18">
        <f t="shared" si="79"/>
        <v>0.22745712522122905</v>
      </c>
      <c r="Y249" s="18">
        <v>0.22745712522122905</v>
      </c>
      <c r="Z249" s="18">
        <v>0.84137815836761054</v>
      </c>
      <c r="AA249" s="18">
        <f t="shared" si="93"/>
        <v>-0.17271406684150489</v>
      </c>
      <c r="AB249" s="18">
        <f t="shared" si="94"/>
        <v>-0.25806777041863616</v>
      </c>
      <c r="AC249" s="18">
        <f t="shared" si="95"/>
        <v>-184.80540818460051</v>
      </c>
    </row>
    <row r="250" spans="1:29" x14ac:dyDescent="0.25">
      <c r="A250" s="13" t="str">
        <f t="shared" si="103"/>
        <v/>
      </c>
      <c r="B250" s="30">
        <f>IF(B249=$C$9,$C$6,IF(OR(ISNA(B249),B249=$C$6),NA(),Main!A217))</f>
        <v>216</v>
      </c>
      <c r="C250" s="29">
        <f>IF(ISNA(B250),NA(),IF(B250=$C$6,$C$19,Main!C217))</f>
        <v>0.28920000000000012</v>
      </c>
      <c r="D250" s="19">
        <f t="shared" si="104"/>
        <v>0.58855585831062673</v>
      </c>
      <c r="E250" s="18">
        <f t="shared" si="105"/>
        <v>0.63472085016636326</v>
      </c>
      <c r="F250" s="18">
        <f t="shared" si="106"/>
        <v>1.0651694035671371</v>
      </c>
      <c r="G250" s="18">
        <f t="shared" si="107"/>
        <v>0.2433892932782519</v>
      </c>
      <c r="H250" s="18">
        <f t="shared" si="108"/>
        <v>5.0076713080313929E-3</v>
      </c>
      <c r="I250" s="18">
        <f t="shared" si="83"/>
        <v>0.23695683536114392</v>
      </c>
      <c r="J250" s="18">
        <f t="shared" si="84"/>
        <v>0.24982175119535988</v>
      </c>
      <c r="K250" s="18">
        <f t="shared" si="85"/>
        <v>0.23512820544867824</v>
      </c>
      <c r="L250" s="18">
        <f t="shared" si="86"/>
        <v>0.25165038110782556</v>
      </c>
      <c r="M250" s="18">
        <f t="shared" si="87"/>
        <v>0.23354152448368795</v>
      </c>
      <c r="N250" s="18">
        <f t="shared" si="88"/>
        <v>0.25323706207281582</v>
      </c>
      <c r="O250" s="18">
        <f t="shared" si="89"/>
        <v>0.23042327653691971</v>
      </c>
      <c r="P250" s="18">
        <f t="shared" si="90"/>
        <v>0.25635531001958412</v>
      </c>
      <c r="Q250" s="18">
        <f t="shared" si="109"/>
        <v>0.75186014708637094</v>
      </c>
      <c r="R250" s="18">
        <f t="shared" si="80"/>
        <v>1.2545472450562829</v>
      </c>
      <c r="S250" s="18">
        <f t="shared" si="81"/>
        <v>6.3606580795318056E-3</v>
      </c>
      <c r="T250" s="18">
        <f t="shared" si="91"/>
        <v>0.23088082650886871</v>
      </c>
      <c r="U250" s="18">
        <f t="shared" si="92"/>
        <v>0.25589776004763509</v>
      </c>
      <c r="V250" s="40" t="str">
        <f t="shared" si="82"/>
        <v>Y</v>
      </c>
      <c r="W250" s="18">
        <v>2.1208</v>
      </c>
      <c r="X250" s="18">
        <f t="shared" si="79"/>
        <v>0.22745712522122905</v>
      </c>
      <c r="Y250" s="18">
        <v>0.22745712522122905</v>
      </c>
      <c r="Z250" s="18">
        <v>0.84137815836761054</v>
      </c>
      <c r="AA250" s="18">
        <f t="shared" si="93"/>
        <v>-0.17271406684150489</v>
      </c>
      <c r="AB250" s="18">
        <f t="shared" si="94"/>
        <v>-0.25806777041863616</v>
      </c>
      <c r="AC250" s="18">
        <f t="shared" si="95"/>
        <v>-185.66697185912079</v>
      </c>
    </row>
    <row r="251" spans="1:29" x14ac:dyDescent="0.25">
      <c r="A251" s="13" t="str">
        <f t="shared" si="103"/>
        <v/>
      </c>
      <c r="B251" s="30">
        <f>IF(B250=$C$9,$C$6,IF(OR(ISNA(B250),B250=$C$6),NA(),Main!A218))</f>
        <v>217</v>
      </c>
      <c r="C251" s="29">
        <f>IF(ISNA(B251),NA(),IF(B251=$C$6,$C$19,Main!C218))</f>
        <v>0.28920000000000012</v>
      </c>
      <c r="D251" s="19">
        <f t="shared" si="104"/>
        <v>0.59128065395095364</v>
      </c>
      <c r="E251" s="18">
        <f t="shared" si="105"/>
        <v>0.64347265609692939</v>
      </c>
      <c r="F251" s="18">
        <f t="shared" si="106"/>
        <v>1.0651694035671371</v>
      </c>
      <c r="G251" s="18">
        <f t="shared" si="107"/>
        <v>0.24403612990553369</v>
      </c>
      <c r="H251" s="18">
        <f t="shared" si="108"/>
        <v>5.0244821771678006E-3</v>
      </c>
      <c r="I251" s="18">
        <f t="shared" si="83"/>
        <v>0.23758207807748022</v>
      </c>
      <c r="J251" s="18">
        <f t="shared" si="84"/>
        <v>0.25049018173358717</v>
      </c>
      <c r="K251" s="18">
        <f t="shared" si="85"/>
        <v>0.23574730941183639</v>
      </c>
      <c r="L251" s="18">
        <f t="shared" si="86"/>
        <v>0.25232495039923097</v>
      </c>
      <c r="M251" s="18">
        <f t="shared" si="87"/>
        <v>0.23415530192191605</v>
      </c>
      <c r="N251" s="18">
        <f t="shared" si="88"/>
        <v>0.25391695788915136</v>
      </c>
      <c r="O251" s="18">
        <f t="shared" si="89"/>
        <v>0.23102658594421216</v>
      </c>
      <c r="P251" s="18">
        <f t="shared" si="90"/>
        <v>0.25704567386685523</v>
      </c>
      <c r="Q251" s="18">
        <f t="shared" si="109"/>
        <v>0.75186014708637094</v>
      </c>
      <c r="R251" s="18">
        <f t="shared" si="80"/>
        <v>1.2545472450562829</v>
      </c>
      <c r="S251" s="18">
        <f t="shared" si="81"/>
        <v>6.3606580795318056E-3</v>
      </c>
      <c r="T251" s="18">
        <f t="shared" si="91"/>
        <v>0.2315276631361505</v>
      </c>
      <c r="U251" s="18">
        <f t="shared" si="92"/>
        <v>0.25654459667491686</v>
      </c>
      <c r="V251" s="40" t="str">
        <f t="shared" si="82"/>
        <v>Y</v>
      </c>
      <c r="W251" s="18">
        <v>2.1208</v>
      </c>
      <c r="X251" s="18">
        <f t="shared" si="79"/>
        <v>0.22745712522122905</v>
      </c>
      <c r="Y251" s="18">
        <v>0.22745712522122905</v>
      </c>
      <c r="Z251" s="18">
        <v>0.84137815836761054</v>
      </c>
      <c r="AA251" s="18">
        <f t="shared" si="93"/>
        <v>-0.17271406684150489</v>
      </c>
      <c r="AB251" s="18">
        <f t="shared" si="94"/>
        <v>-0.25806777041863616</v>
      </c>
      <c r="AC251" s="18">
        <f t="shared" si="95"/>
        <v>-186.52853553364108</v>
      </c>
    </row>
    <row r="252" spans="1:29" x14ac:dyDescent="0.25">
      <c r="A252" s="13" t="str">
        <f t="shared" si="103"/>
        <v/>
      </c>
      <c r="B252" s="30">
        <f>IF(B251=$C$9,$C$6,IF(OR(ISNA(B251),B251=$C$6),NA(),Main!A219))</f>
        <v>218</v>
      </c>
      <c r="C252" s="29">
        <f>IF(ISNA(B252),NA(),IF(B252=$C$6,$C$19,Main!C219))</f>
        <v>0.28920000000000012</v>
      </c>
      <c r="D252" s="19">
        <f t="shared" si="104"/>
        <v>0.59400544959128065</v>
      </c>
      <c r="E252" s="18">
        <f t="shared" si="105"/>
        <v>0.65226096039247727</v>
      </c>
      <c r="F252" s="18">
        <f t="shared" si="106"/>
        <v>1.0651694035671371</v>
      </c>
      <c r="G252" s="18">
        <f t="shared" si="107"/>
        <v>0.24468566408798217</v>
      </c>
      <c r="H252" s="18">
        <f t="shared" si="108"/>
        <v>5.0414454765999803E-3</v>
      </c>
      <c r="I252" s="18">
        <f t="shared" si="83"/>
        <v>0.23820982254909887</v>
      </c>
      <c r="J252" s="18">
        <f t="shared" si="84"/>
        <v>0.25116150562686546</v>
      </c>
      <c r="K252" s="18">
        <f t="shared" si="85"/>
        <v>0.23636885946795777</v>
      </c>
      <c r="L252" s="18">
        <f t="shared" si="86"/>
        <v>0.25300246870800658</v>
      </c>
      <c r="M252" s="18">
        <f t="shared" si="87"/>
        <v>0.23477147715555871</v>
      </c>
      <c r="N252" s="18">
        <f t="shared" si="88"/>
        <v>0.25459985102040567</v>
      </c>
      <c r="O252" s="18">
        <f t="shared" si="89"/>
        <v>0.23163219822945602</v>
      </c>
      <c r="P252" s="18">
        <f t="shared" si="90"/>
        <v>0.25773912994650833</v>
      </c>
      <c r="Q252" s="18">
        <f t="shared" si="109"/>
        <v>0.75186014708637094</v>
      </c>
      <c r="R252" s="18">
        <f t="shared" si="80"/>
        <v>1.2545472450562829</v>
      </c>
      <c r="S252" s="18">
        <f t="shared" si="81"/>
        <v>6.3606580795318056E-3</v>
      </c>
      <c r="T252" s="18">
        <f t="shared" si="91"/>
        <v>0.23217719731859898</v>
      </c>
      <c r="U252" s="18">
        <f t="shared" si="92"/>
        <v>0.25719413085736537</v>
      </c>
      <c r="V252" s="40" t="str">
        <f t="shared" si="82"/>
        <v>Y</v>
      </c>
      <c r="W252" s="18">
        <v>2.1208</v>
      </c>
      <c r="X252" s="18">
        <f t="shared" si="79"/>
        <v>0.22745712522122905</v>
      </c>
      <c r="Y252" s="18">
        <v>0.22745712522122905</v>
      </c>
      <c r="Z252" s="18">
        <v>0.84137815836761054</v>
      </c>
      <c r="AA252" s="18">
        <f t="shared" si="93"/>
        <v>-0.17271406684150489</v>
      </c>
      <c r="AB252" s="18">
        <f t="shared" si="94"/>
        <v>-0.25806777041863616</v>
      </c>
      <c r="AC252" s="18">
        <f t="shared" si="95"/>
        <v>-187.39009920816136</v>
      </c>
    </row>
    <row r="253" spans="1:29" x14ac:dyDescent="0.25">
      <c r="A253" s="13" t="str">
        <f t="shared" si="103"/>
        <v/>
      </c>
      <c r="B253" s="30">
        <f>IF(B252=$C$9,$C$6,IF(OR(ISNA(B252),B252=$C$6),NA(),Main!A220))</f>
        <v>219</v>
      </c>
      <c r="C253" s="29">
        <f>IF(ISNA(B253),NA(),IF(B253=$C$6,$C$19,Main!C220))</f>
        <v>0.28920000000000012</v>
      </c>
      <c r="D253" s="19">
        <f t="shared" si="104"/>
        <v>0.59673024523160767</v>
      </c>
      <c r="E253" s="18">
        <f t="shared" si="105"/>
        <v>0.66108642685345442</v>
      </c>
      <c r="F253" s="18">
        <f t="shared" si="106"/>
        <v>1.0651694035671371</v>
      </c>
      <c r="G253" s="18">
        <f t="shared" si="107"/>
        <v>0.24533794488637939</v>
      </c>
      <c r="H253" s="18">
        <f t="shared" si="108"/>
        <v>5.0585626895814388E-3</v>
      </c>
      <c r="I253" s="18">
        <f t="shared" si="83"/>
        <v>0.23884011593151197</v>
      </c>
      <c r="J253" s="18">
        <f t="shared" si="84"/>
        <v>0.25183577384124683</v>
      </c>
      <c r="K253" s="18">
        <f t="shared" si="85"/>
        <v>0.23699290223092109</v>
      </c>
      <c r="L253" s="18">
        <f t="shared" si="86"/>
        <v>0.25368298754183766</v>
      </c>
      <c r="M253" s="18">
        <f t="shared" si="87"/>
        <v>0.23539009632852567</v>
      </c>
      <c r="N253" s="18">
        <f t="shared" si="88"/>
        <v>0.25528579344423308</v>
      </c>
      <c r="O253" s="18">
        <f t="shared" si="89"/>
        <v>0.23224015861294769</v>
      </c>
      <c r="P253" s="18">
        <f t="shared" si="90"/>
        <v>0.25843573115981111</v>
      </c>
      <c r="Q253" s="18">
        <f t="shared" si="109"/>
        <v>0.75186014708637094</v>
      </c>
      <c r="R253" s="18">
        <f t="shared" si="80"/>
        <v>1.2545472450562829</v>
      </c>
      <c r="S253" s="18">
        <f t="shared" si="81"/>
        <v>6.3606580795318056E-3</v>
      </c>
      <c r="T253" s="18">
        <f t="shared" si="91"/>
        <v>0.2328294781169962</v>
      </c>
      <c r="U253" s="18">
        <f t="shared" si="92"/>
        <v>0.25784641165576255</v>
      </c>
      <c r="V253" s="40" t="str">
        <f t="shared" si="82"/>
        <v>Y</v>
      </c>
      <c r="W253" s="18">
        <v>2.1208</v>
      </c>
      <c r="X253" s="18">
        <f t="shared" si="79"/>
        <v>0.22745712522122905</v>
      </c>
      <c r="Y253" s="18">
        <v>0.22745712522122905</v>
      </c>
      <c r="Z253" s="18">
        <v>0.84137815836761054</v>
      </c>
      <c r="AA253" s="18">
        <f t="shared" si="93"/>
        <v>-0.17271406684150489</v>
      </c>
      <c r="AB253" s="18">
        <f t="shared" si="94"/>
        <v>-0.25806777041863616</v>
      </c>
      <c r="AC253" s="18">
        <f t="shared" si="95"/>
        <v>-188.25166288268164</v>
      </c>
    </row>
    <row r="254" spans="1:29" x14ac:dyDescent="0.25">
      <c r="A254" s="13" t="str">
        <f t="shared" si="103"/>
        <v/>
      </c>
      <c r="B254" s="30">
        <f>IF(B253=$C$9,$C$6,IF(OR(ISNA(B253),B253=$C$6),NA(),Main!A221))</f>
        <v>220</v>
      </c>
      <c r="C254" s="29">
        <f>IF(ISNA(B254),NA(),IF(B254=$C$6,$C$19,Main!C221))</f>
        <v>0.28920000000000012</v>
      </c>
      <c r="D254" s="19">
        <f t="shared" si="104"/>
        <v>0.59945504087193457</v>
      </c>
      <c r="E254" s="18">
        <f t="shared" si="105"/>
        <v>0.66994973062749807</v>
      </c>
      <c r="F254" s="18">
        <f t="shared" si="106"/>
        <v>1.0651694035671371</v>
      </c>
      <c r="G254" s="18">
        <f t="shared" si="107"/>
        <v>0.24599302220016589</v>
      </c>
      <c r="H254" s="18">
        <f t="shared" si="108"/>
        <v>5.0758353368241986E-3</v>
      </c>
      <c r="I254" s="18">
        <f t="shared" si="83"/>
        <v>0.23947300617077386</v>
      </c>
      <c r="J254" s="18">
        <f t="shared" si="84"/>
        <v>0.25251303822955795</v>
      </c>
      <c r="K254" s="18">
        <f t="shared" si="85"/>
        <v>0.23761948509146885</v>
      </c>
      <c r="L254" s="18">
        <f t="shared" si="86"/>
        <v>0.25436655930886293</v>
      </c>
      <c r="M254" s="18">
        <f t="shared" si="87"/>
        <v>0.23601120634972172</v>
      </c>
      <c r="N254" s="18">
        <f t="shared" si="88"/>
        <v>0.25597483805061005</v>
      </c>
      <c r="O254" s="18">
        <f t="shared" si="89"/>
        <v>0.23285051305665333</v>
      </c>
      <c r="P254" s="18">
        <f t="shared" si="90"/>
        <v>0.25913553134367845</v>
      </c>
      <c r="Q254" s="18">
        <f t="shared" si="109"/>
        <v>0.75186014708637094</v>
      </c>
      <c r="R254" s="18">
        <f t="shared" si="80"/>
        <v>1.2545472450562829</v>
      </c>
      <c r="S254" s="18">
        <f t="shared" si="81"/>
        <v>6.3606580795318056E-3</v>
      </c>
      <c r="T254" s="18">
        <f t="shared" si="91"/>
        <v>0.2334845554307827</v>
      </c>
      <c r="U254" s="18">
        <f t="shared" si="92"/>
        <v>0.25850148896954905</v>
      </c>
      <c r="V254" s="40" t="str">
        <f t="shared" si="82"/>
        <v>Y</v>
      </c>
      <c r="W254" s="18">
        <v>2.1208</v>
      </c>
      <c r="X254" s="18">
        <f t="shared" si="79"/>
        <v>0.22745712522122905</v>
      </c>
      <c r="Y254" s="18">
        <v>0.22745712522122905</v>
      </c>
      <c r="Z254" s="18">
        <v>0.84137815836761054</v>
      </c>
      <c r="AA254" s="18">
        <f t="shared" si="93"/>
        <v>-0.17271406684150489</v>
      </c>
      <c r="AB254" s="18">
        <f t="shared" si="94"/>
        <v>-0.25806777041863616</v>
      </c>
      <c r="AC254" s="18">
        <f t="shared" si="95"/>
        <v>-189.11322655720193</v>
      </c>
    </row>
    <row r="255" spans="1:29" x14ac:dyDescent="0.25">
      <c r="A255" s="13" t="str">
        <f t="shared" si="103"/>
        <v/>
      </c>
      <c r="B255" s="30">
        <f>IF(B254=$C$9,$C$6,IF(OR(ISNA(B254),B254=$C$6),NA(),Main!A222))</f>
        <v>221</v>
      </c>
      <c r="C255" s="29">
        <f>IF(ISNA(B255),NA(),IF(B255=$C$6,$C$19,Main!C222))</f>
        <v>0.28920000000000012</v>
      </c>
      <c r="D255" s="19">
        <f t="shared" si="104"/>
        <v>0.60217983651226159</v>
      </c>
      <c r="E255" s="18">
        <f t="shared" si="105"/>
        <v>0.67885155855608592</v>
      </c>
      <c r="F255" s="18">
        <f t="shared" si="106"/>
        <v>1.0651694035671371</v>
      </c>
      <c r="G255" s="18">
        <f t="shared" si="107"/>
        <v>0.24665094679306168</v>
      </c>
      <c r="H255" s="18">
        <f t="shared" si="108"/>
        <v>5.0932649774310468E-3</v>
      </c>
      <c r="I255" s="18">
        <f t="shared" si="83"/>
        <v>0.24010854202790458</v>
      </c>
      <c r="J255" s="18">
        <f t="shared" si="84"/>
        <v>0.25319335155821882</v>
      </c>
      <c r="K255" s="18">
        <f t="shared" si="85"/>
        <v>0.23824865624129021</v>
      </c>
      <c r="L255" s="18">
        <f t="shared" si="86"/>
        <v>0.25505323734483315</v>
      </c>
      <c r="M255" s="18">
        <f t="shared" si="87"/>
        <v>0.23663485491683417</v>
      </c>
      <c r="N255" s="18">
        <f t="shared" si="88"/>
        <v>0.25666703866928919</v>
      </c>
      <c r="O255" s="18">
        <f t="shared" si="89"/>
        <v>0.23346330828741599</v>
      </c>
      <c r="P255" s="18">
        <f t="shared" si="90"/>
        <v>0.25983858529870735</v>
      </c>
      <c r="Q255" s="18">
        <f t="shared" si="109"/>
        <v>0.75186014708637094</v>
      </c>
      <c r="R255" s="18">
        <f t="shared" si="80"/>
        <v>1.2545472450562829</v>
      </c>
      <c r="S255" s="18">
        <f t="shared" si="81"/>
        <v>6.3606580795318056E-3</v>
      </c>
      <c r="T255" s="18">
        <f t="shared" si="91"/>
        <v>0.23414248002367849</v>
      </c>
      <c r="U255" s="18">
        <f t="shared" si="92"/>
        <v>0.25915941356244487</v>
      </c>
      <c r="V255" s="40" t="str">
        <f t="shared" si="82"/>
        <v>Y</v>
      </c>
      <c r="W255" s="18">
        <v>2.1208</v>
      </c>
      <c r="X255" s="18">
        <f t="shared" si="79"/>
        <v>0.22745712522122905</v>
      </c>
      <c r="Y255" s="18">
        <v>0.22745712522122905</v>
      </c>
      <c r="Z255" s="18">
        <v>0.84137815836761054</v>
      </c>
      <c r="AA255" s="18">
        <f t="shared" si="93"/>
        <v>-0.17271406684150489</v>
      </c>
      <c r="AB255" s="18">
        <f t="shared" si="94"/>
        <v>-0.25806777041863616</v>
      </c>
      <c r="AC255" s="18">
        <f t="shared" si="95"/>
        <v>-189.97479023172221</v>
      </c>
    </row>
    <row r="256" spans="1:29" x14ac:dyDescent="0.25">
      <c r="A256" s="13" t="str">
        <f t="shared" si="103"/>
        <v/>
      </c>
      <c r="B256" s="30">
        <f>IF(B255=$C$9,$C$6,IF(OR(ISNA(B255),B255=$C$6),NA(),Main!A223))</f>
        <v>222</v>
      </c>
      <c r="C256" s="29">
        <f>IF(ISNA(B256),NA(),IF(B256=$C$6,$C$19,Main!C223))</f>
        <v>0.28920000000000012</v>
      </c>
      <c r="D256" s="19">
        <f t="shared" si="104"/>
        <v>0.60490463215258861</v>
      </c>
      <c r="E256" s="18">
        <f t="shared" si="105"/>
        <v>0.68779260953229981</v>
      </c>
      <c r="F256" s="18">
        <f t="shared" si="106"/>
        <v>1.0651694035671371</v>
      </c>
      <c r="G256" s="18">
        <f t="shared" si="107"/>
        <v>0.2473117703195078</v>
      </c>
      <c r="H256" s="18">
        <f t="shared" si="108"/>
        <v>5.1108532098614132E-3</v>
      </c>
      <c r="I256" s="18">
        <f t="shared" si="83"/>
        <v>0.24074677310409076</v>
      </c>
      <c r="J256" s="18">
        <f t="shared" si="84"/>
        <v>0.25387676753492483</v>
      </c>
      <c r="K256" s="18">
        <f t="shared" si="85"/>
        <v>0.23888046469786917</v>
      </c>
      <c r="L256" s="18">
        <f t="shared" si="86"/>
        <v>0.25574307594114642</v>
      </c>
      <c r="M256" s="18">
        <f t="shared" si="87"/>
        <v>0.23726109054087513</v>
      </c>
      <c r="N256" s="18">
        <f t="shared" si="88"/>
        <v>0.25736245009814046</v>
      </c>
      <c r="O256" s="18">
        <f t="shared" si="89"/>
        <v>0.23407859182089635</v>
      </c>
      <c r="P256" s="18">
        <f t="shared" si="90"/>
        <v>0.26054494881811924</v>
      </c>
      <c r="Q256" s="18">
        <f t="shared" si="109"/>
        <v>0.75186014708637094</v>
      </c>
      <c r="R256" s="18">
        <f t="shared" si="80"/>
        <v>1.2545472450562829</v>
      </c>
      <c r="S256" s="18">
        <f t="shared" si="81"/>
        <v>6.3606580795318056E-3</v>
      </c>
      <c r="T256" s="18">
        <f t="shared" si="91"/>
        <v>0.2348033035501246</v>
      </c>
      <c r="U256" s="18">
        <f t="shared" si="92"/>
        <v>0.25982023708889096</v>
      </c>
      <c r="V256" s="40" t="str">
        <f t="shared" si="82"/>
        <v>Y</v>
      </c>
      <c r="W256" s="18">
        <v>2.1208</v>
      </c>
      <c r="X256" s="18">
        <f t="shared" si="79"/>
        <v>0.22745712522122905</v>
      </c>
      <c r="Y256" s="18">
        <v>0.22745712522122905</v>
      </c>
      <c r="Z256" s="18">
        <v>0.84137815836761054</v>
      </c>
      <c r="AA256" s="18">
        <f t="shared" si="93"/>
        <v>-0.17271406684150489</v>
      </c>
      <c r="AB256" s="18">
        <f t="shared" si="94"/>
        <v>-0.25806777041863616</v>
      </c>
      <c r="AC256" s="18">
        <f t="shared" si="95"/>
        <v>-190.83635390624249</v>
      </c>
    </row>
    <row r="257" spans="1:29" x14ac:dyDescent="0.25">
      <c r="A257" s="13" t="str">
        <f t="shared" si="103"/>
        <v/>
      </c>
      <c r="B257" s="30">
        <f>IF(B256=$C$9,$C$6,IF(OR(ISNA(B256),B256=$C$6),NA(),Main!A224))</f>
        <v>223</v>
      </c>
      <c r="C257" s="29">
        <f>IF(ISNA(B257),NA(),IF(B257=$C$6,$C$19,Main!C224))</f>
        <v>0.28920000000000012</v>
      </c>
      <c r="D257" s="19">
        <f t="shared" si="104"/>
        <v>0.60762942779291551</v>
      </c>
      <c r="E257" s="18">
        <f t="shared" si="105"/>
        <v>0.69677359487019419</v>
      </c>
      <c r="F257" s="18">
        <f t="shared" si="106"/>
        <v>1.0651694035671371</v>
      </c>
      <c r="G257" s="18">
        <f t="shared" si="107"/>
        <v>0.24797554535196614</v>
      </c>
      <c r="H257" s="18">
        <f t="shared" si="108"/>
        <v>5.1286016729322481E-3</v>
      </c>
      <c r="I257" s="18">
        <f t="shared" si="83"/>
        <v>0.24138774986669995</v>
      </c>
      <c r="J257" s="18">
        <f t="shared" si="84"/>
        <v>0.25456334083723237</v>
      </c>
      <c r="K257" s="18">
        <f t="shared" si="85"/>
        <v>0.23951496033013348</v>
      </c>
      <c r="L257" s="18">
        <f t="shared" si="86"/>
        <v>0.25643613037379881</v>
      </c>
      <c r="M257" s="18">
        <f t="shared" si="87"/>
        <v>0.23788996257151301</v>
      </c>
      <c r="N257" s="18">
        <f t="shared" si="88"/>
        <v>0.25806112813241927</v>
      </c>
      <c r="O257" s="18">
        <f t="shared" si="89"/>
        <v>0.23469641198628099</v>
      </c>
      <c r="P257" s="18">
        <f t="shared" si="90"/>
        <v>0.26125467871765129</v>
      </c>
      <c r="Q257" s="18">
        <f t="shared" si="109"/>
        <v>0.75186014708637094</v>
      </c>
      <c r="R257" s="18">
        <f t="shared" si="80"/>
        <v>1.2545472450562829</v>
      </c>
      <c r="S257" s="18">
        <f t="shared" si="81"/>
        <v>6.3606580795318056E-3</v>
      </c>
      <c r="T257" s="18">
        <f t="shared" si="91"/>
        <v>0.23546707858258295</v>
      </c>
      <c r="U257" s="18">
        <f t="shared" si="92"/>
        <v>0.26048401212134931</v>
      </c>
      <c r="V257" s="40" t="str">
        <f t="shared" si="82"/>
        <v>Y</v>
      </c>
      <c r="W257" s="18">
        <v>2.1208</v>
      </c>
      <c r="X257" s="18">
        <f t="shared" si="79"/>
        <v>0.22745712522122905</v>
      </c>
      <c r="Y257" s="18">
        <v>0.22745712522122905</v>
      </c>
      <c r="Z257" s="18">
        <v>0.84137815836761054</v>
      </c>
      <c r="AA257" s="18">
        <f t="shared" si="93"/>
        <v>-0.17271406684150489</v>
      </c>
      <c r="AB257" s="18">
        <f t="shared" si="94"/>
        <v>-0.25806777041863616</v>
      </c>
      <c r="AC257" s="18">
        <f t="shared" si="95"/>
        <v>-191.69791758076278</v>
      </c>
    </row>
    <row r="258" spans="1:29" x14ac:dyDescent="0.25">
      <c r="A258" s="13" t="str">
        <f t="shared" si="103"/>
        <v/>
      </c>
      <c r="B258" s="30">
        <f>IF(B257=$C$9,$C$6,IF(OR(ISNA(B257),B257=$C$6),NA(),Main!A225))</f>
        <v>224</v>
      </c>
      <c r="C258" s="29">
        <f>IF(ISNA(B258),NA(),IF(B258=$C$6,$C$19,Main!C225))</f>
        <v>0.28920000000000012</v>
      </c>
      <c r="D258" s="19">
        <f t="shared" si="104"/>
        <v>0.61035422343324253</v>
      </c>
      <c r="E258" s="18">
        <f t="shared" si="105"/>
        <v>0.70579523868626504</v>
      </c>
      <c r="F258" s="18">
        <f t="shared" si="106"/>
        <v>1.0651694035671371</v>
      </c>
      <c r="G258" s="18">
        <f t="shared" si="107"/>
        <v>0.24864232540911341</v>
      </c>
      <c r="H258" s="18">
        <f t="shared" si="108"/>
        <v>5.1465120468553094E-3</v>
      </c>
      <c r="I258" s="18">
        <f t="shared" si="83"/>
        <v>0.24203152367614181</v>
      </c>
      <c r="J258" s="18">
        <f t="shared" si="84"/>
        <v>0.25525312714208498</v>
      </c>
      <c r="K258" s="18">
        <f t="shared" si="85"/>
        <v>0.24015219388493708</v>
      </c>
      <c r="L258" s="18">
        <f t="shared" si="86"/>
        <v>0.25713245693328973</v>
      </c>
      <c r="M258" s="18">
        <f t="shared" si="87"/>
        <v>0.23852152122322665</v>
      </c>
      <c r="N258" s="18">
        <f t="shared" si="88"/>
        <v>0.25876312959500014</v>
      </c>
      <c r="O258" s="18">
        <f t="shared" si="89"/>
        <v>0.2353168179517906</v>
      </c>
      <c r="P258" s="18">
        <f t="shared" si="90"/>
        <v>0.26196783286643621</v>
      </c>
      <c r="Q258" s="18">
        <f t="shared" si="109"/>
        <v>0.75186014708637094</v>
      </c>
      <c r="R258" s="18">
        <f t="shared" si="80"/>
        <v>1.2545472450562829</v>
      </c>
      <c r="S258" s="18">
        <f t="shared" si="81"/>
        <v>6.3606580795318056E-3</v>
      </c>
      <c r="T258" s="18">
        <f t="shared" si="91"/>
        <v>0.23613385863973022</v>
      </c>
      <c r="U258" s="18">
        <f t="shared" si="92"/>
        <v>0.26115079217849657</v>
      </c>
      <c r="V258" s="40" t="str">
        <f t="shared" si="82"/>
        <v>Y</v>
      </c>
      <c r="W258" s="18">
        <v>2.1208</v>
      </c>
      <c r="X258" s="18">
        <f t="shared" si="79"/>
        <v>0.22745712522122905</v>
      </c>
      <c r="Y258" s="18">
        <v>0.22745712522122905</v>
      </c>
      <c r="Z258" s="18">
        <v>0.84137815836761054</v>
      </c>
      <c r="AA258" s="18">
        <f t="shared" si="93"/>
        <v>-0.17271406684150489</v>
      </c>
      <c r="AB258" s="18">
        <f t="shared" si="94"/>
        <v>-0.25806777041863616</v>
      </c>
      <c r="AC258" s="18">
        <f t="shared" si="95"/>
        <v>-192.55948125528306</v>
      </c>
    </row>
    <row r="259" spans="1:29" x14ac:dyDescent="0.25">
      <c r="A259" s="13" t="str">
        <f t="shared" si="103"/>
        <v/>
      </c>
      <c r="B259" s="30">
        <f>IF(B258=$C$9,$C$6,IF(OR(ISNA(B258),B258=$C$6),NA(),Main!A226))</f>
        <v>225</v>
      </c>
      <c r="C259" s="29">
        <f>IF(ISNA(B259),NA(),IF(B259=$C$6,$C$19,Main!C226))</f>
        <v>0.28920000000000012</v>
      </c>
      <c r="D259" s="19">
        <f t="shared" si="104"/>
        <v>0.61307901907356943</v>
      </c>
      <c r="E259" s="18">
        <f t="shared" si="105"/>
        <v>0.71485827829355231</v>
      </c>
      <c r="F259" s="18">
        <f t="shared" si="106"/>
        <v>1.0651694035671371</v>
      </c>
      <c r="G259" s="18">
        <f t="shared" si="107"/>
        <v>0.24931216498496878</v>
      </c>
      <c r="H259" s="18">
        <f t="shared" si="108"/>
        <v>5.1645860543123893E-3</v>
      </c>
      <c r="I259" s="18">
        <f t="shared" si="83"/>
        <v>0.24267814681361499</v>
      </c>
      <c r="J259" s="18">
        <f t="shared" si="84"/>
        <v>0.25594618315632256</v>
      </c>
      <c r="K259" s="18">
        <f t="shared" si="85"/>
        <v>0.24079221701441431</v>
      </c>
      <c r="L259" s="18">
        <f t="shared" si="86"/>
        <v>0.25783211295552322</v>
      </c>
      <c r="M259" s="18">
        <f t="shared" si="87"/>
        <v>0.23915581760231847</v>
      </c>
      <c r="N259" s="18">
        <f t="shared" si="88"/>
        <v>0.25946851236761909</v>
      </c>
      <c r="O259" s="18">
        <f t="shared" si="89"/>
        <v>0.23593985975102361</v>
      </c>
      <c r="P259" s="18">
        <f t="shared" si="90"/>
        <v>0.26268447021891395</v>
      </c>
      <c r="Q259" s="18">
        <f t="shared" si="109"/>
        <v>0.75186014708637094</v>
      </c>
      <c r="R259" s="18">
        <f t="shared" si="80"/>
        <v>1.2545472450562829</v>
      </c>
      <c r="S259" s="18">
        <f t="shared" si="81"/>
        <v>6.3606580795318056E-3</v>
      </c>
      <c r="T259" s="18">
        <f t="shared" si="91"/>
        <v>0.23680369821558558</v>
      </c>
      <c r="U259" s="18">
        <f t="shared" si="92"/>
        <v>0.26182063175435194</v>
      </c>
      <c r="V259" s="40" t="str">
        <f t="shared" si="82"/>
        <v>Y</v>
      </c>
      <c r="W259" s="18">
        <v>2.1208</v>
      </c>
      <c r="X259" s="18">
        <f t="shared" si="79"/>
        <v>0.22745712522122905</v>
      </c>
      <c r="Y259" s="18">
        <v>0.22745712522122905</v>
      </c>
      <c r="Z259" s="18">
        <v>0.84137815836761054</v>
      </c>
      <c r="AA259" s="18">
        <f t="shared" si="93"/>
        <v>-0.17271406684150489</v>
      </c>
      <c r="AB259" s="18">
        <f t="shared" si="94"/>
        <v>-0.25806777041863616</v>
      </c>
      <c r="AC259" s="18">
        <f t="shared" si="95"/>
        <v>-193.42104492980334</v>
      </c>
    </row>
    <row r="260" spans="1:29" x14ac:dyDescent="0.25">
      <c r="A260" s="13" t="str">
        <f t="shared" si="103"/>
        <v/>
      </c>
      <c r="B260" s="30">
        <f>IF(B259=$C$9,$C$6,IF(OR(ISNA(B259),B259=$C$6),NA(),Main!A227))</f>
        <v>226</v>
      </c>
      <c r="C260" s="29">
        <f>IF(ISNA(B260),NA(),IF(B260=$C$6,$C$19,Main!C227))</f>
        <v>0.28920000000000012</v>
      </c>
      <c r="D260" s="19">
        <f t="shared" si="104"/>
        <v>0.61580381471389645</v>
      </c>
      <c r="E260" s="18">
        <f t="shared" si="105"/>
        <v>0.7239634646089349</v>
      </c>
      <c r="F260" s="18">
        <f t="shared" si="106"/>
        <v>1.0651694035671371</v>
      </c>
      <c r="G260" s="18">
        <f t="shared" si="107"/>
        <v>0.24998511957899661</v>
      </c>
      <c r="H260" s="18">
        <f t="shared" si="108"/>
        <v>5.1828254615700377E-3</v>
      </c>
      <c r="I260" s="18">
        <f t="shared" si="83"/>
        <v>0.24332767250977774</v>
      </c>
      <c r="J260" s="18">
        <f t="shared" si="84"/>
        <v>0.2566425666482155</v>
      </c>
      <c r="K260" s="18">
        <f t="shared" si="85"/>
        <v>0.24143508230424338</v>
      </c>
      <c r="L260" s="18">
        <f t="shared" si="86"/>
        <v>0.25853515685374984</v>
      </c>
      <c r="M260" s="18">
        <f t="shared" si="87"/>
        <v>0.23979290373482506</v>
      </c>
      <c r="N260" s="18">
        <f t="shared" si="88"/>
        <v>0.26017733542316818</v>
      </c>
      <c r="O260" s="18">
        <f t="shared" si="89"/>
        <v>0.23656558831017266</v>
      </c>
      <c r="P260" s="18">
        <f t="shared" si="90"/>
        <v>0.26340465084782055</v>
      </c>
      <c r="Q260" s="18">
        <f t="shared" si="109"/>
        <v>0.75186014708637094</v>
      </c>
      <c r="R260" s="18">
        <f t="shared" si="80"/>
        <v>1.2545472450562829</v>
      </c>
      <c r="S260" s="18">
        <f t="shared" si="81"/>
        <v>6.3606580795318056E-3</v>
      </c>
      <c r="T260" s="18">
        <f t="shared" si="91"/>
        <v>0.23747665280961341</v>
      </c>
      <c r="U260" s="18">
        <f t="shared" si="92"/>
        <v>0.26249358634837977</v>
      </c>
      <c r="V260" s="40" t="str">
        <f t="shared" si="82"/>
        <v>Y</v>
      </c>
      <c r="W260" s="18">
        <v>2.1208</v>
      </c>
      <c r="X260" s="18">
        <f t="shared" si="79"/>
        <v>0.22745712522122905</v>
      </c>
      <c r="Y260" s="18">
        <v>0.22745712522122905</v>
      </c>
      <c r="Z260" s="18">
        <v>0.84137815836761054</v>
      </c>
      <c r="AA260" s="18">
        <f t="shared" si="93"/>
        <v>-0.17271406684150489</v>
      </c>
      <c r="AB260" s="18">
        <f t="shared" si="94"/>
        <v>-0.25806777041863616</v>
      </c>
      <c r="AC260" s="18">
        <f t="shared" si="95"/>
        <v>-194.28260860432363</v>
      </c>
    </row>
    <row r="261" spans="1:29" x14ac:dyDescent="0.25">
      <c r="A261" s="13" t="str">
        <f t="shared" si="103"/>
        <v/>
      </c>
      <c r="B261" s="30">
        <f>IF(B260=$C$9,$C$6,IF(OR(ISNA(B260),B260=$C$6),NA(),Main!A228))</f>
        <v>227</v>
      </c>
      <c r="C261" s="29">
        <f>IF(ISNA(B261),NA(),IF(B261=$C$6,$C$19,Main!C228))</f>
        <v>0.28920000000000012</v>
      </c>
      <c r="D261" s="19">
        <f t="shared" si="104"/>
        <v>0.61852861035422346</v>
      </c>
      <c r="E261" s="18">
        <f t="shared" si="105"/>
        <v>0.73311156257419141</v>
      </c>
      <c r="F261" s="18">
        <f t="shared" si="106"/>
        <v>1.0651694035671371</v>
      </c>
      <c r="G261" s="18">
        <f t="shared" si="107"/>
        <v>0.25066124572722659</v>
      </c>
      <c r="H261" s="18">
        <f t="shared" si="108"/>
        <v>5.2012320796354537E-3</v>
      </c>
      <c r="I261" s="18">
        <f t="shared" si="83"/>
        <v>0.24398015497438333</v>
      </c>
      <c r="J261" s="18">
        <f t="shared" si="84"/>
        <v>0.25734233648006988</v>
      </c>
      <c r="K261" s="18">
        <f t="shared" si="85"/>
        <v>0.24208084330285981</v>
      </c>
      <c r="L261" s="18">
        <f t="shared" si="86"/>
        <v>0.25924164815159334</v>
      </c>
      <c r="M261" s="18">
        <f t="shared" si="87"/>
        <v>0.24043283259536419</v>
      </c>
      <c r="N261" s="18">
        <f t="shared" si="88"/>
        <v>0.26088965885908899</v>
      </c>
      <c r="O261" s="18">
        <f t="shared" si="89"/>
        <v>0.2371940554761518</v>
      </c>
      <c r="P261" s="18">
        <f t="shared" si="90"/>
        <v>0.26412843597830138</v>
      </c>
      <c r="Q261" s="18">
        <f t="shared" si="109"/>
        <v>0.75186014708637094</v>
      </c>
      <c r="R261" s="18">
        <f t="shared" si="80"/>
        <v>1.2545472450562829</v>
      </c>
      <c r="S261" s="18">
        <f t="shared" si="81"/>
        <v>6.3606580795318056E-3</v>
      </c>
      <c r="T261" s="18">
        <f t="shared" si="91"/>
        <v>0.2381527789578434</v>
      </c>
      <c r="U261" s="18">
        <f t="shared" si="92"/>
        <v>0.26316971249660975</v>
      </c>
      <c r="V261" s="40" t="str">
        <f t="shared" si="82"/>
        <v>Y</v>
      </c>
      <c r="W261" s="18">
        <v>2.1208</v>
      </c>
      <c r="X261" s="18">
        <f t="shared" si="79"/>
        <v>0.22745712522122905</v>
      </c>
      <c r="Y261" s="18">
        <v>0.22745712522122905</v>
      </c>
      <c r="Z261" s="18">
        <v>0.84137815836761054</v>
      </c>
      <c r="AA261" s="18">
        <f t="shared" si="93"/>
        <v>-0.17271406684150489</v>
      </c>
      <c r="AB261" s="18">
        <f t="shared" si="94"/>
        <v>-0.25806777041863616</v>
      </c>
      <c r="AC261" s="18">
        <f t="shared" si="95"/>
        <v>-195.14417227884391</v>
      </c>
    </row>
    <row r="262" spans="1:29" x14ac:dyDescent="0.25">
      <c r="A262" s="13" t="str">
        <f t="shared" si="103"/>
        <v/>
      </c>
      <c r="B262" s="30">
        <f>IF(B261=$C$9,$C$6,IF(OR(ISNA(B261),B261=$C$6),NA(),Main!A229))</f>
        <v>228</v>
      </c>
      <c r="C262" s="29">
        <f>IF(ISNA(B262),NA(),IF(B262=$C$6,$C$19,Main!C229))</f>
        <v>0.28920000000000012</v>
      </c>
      <c r="D262" s="19">
        <f t="shared" si="104"/>
        <v>0.62125340599455037</v>
      </c>
      <c r="E262" s="18">
        <f t="shared" si="105"/>
        <v>0.74230335159144567</v>
      </c>
      <c r="F262" s="18">
        <f t="shared" si="106"/>
        <v>1.0651694035671371</v>
      </c>
      <c r="G262" s="18">
        <f t="shared" si="107"/>
        <v>0.25134060103443706</v>
      </c>
      <c r="H262" s="18">
        <f t="shared" si="108"/>
        <v>5.2198077654552763E-3</v>
      </c>
      <c r="I262" s="18">
        <f t="shared" si="83"/>
        <v>0.24463564942692351</v>
      </c>
      <c r="J262" s="18">
        <f t="shared" si="84"/>
        <v>0.25804555264195062</v>
      </c>
      <c r="K262" s="18">
        <f t="shared" si="85"/>
        <v>0.24272955455166215</v>
      </c>
      <c r="L262" s="18">
        <f t="shared" si="86"/>
        <v>0.259951647517212</v>
      </c>
      <c r="M262" s="18">
        <f t="shared" si="87"/>
        <v>0.24107565813696069</v>
      </c>
      <c r="N262" s="18">
        <f t="shared" si="88"/>
        <v>0.26160554393191343</v>
      </c>
      <c r="O262" s="18">
        <f t="shared" si="89"/>
        <v>0.23782531404567597</v>
      </c>
      <c r="P262" s="18">
        <f t="shared" si="90"/>
        <v>0.26485588802319815</v>
      </c>
      <c r="Q262" s="18">
        <f t="shared" si="109"/>
        <v>0.75186014708637094</v>
      </c>
      <c r="R262" s="18">
        <f t="shared" si="80"/>
        <v>1.2545472450562829</v>
      </c>
      <c r="S262" s="18">
        <f t="shared" si="81"/>
        <v>6.3606580795318056E-3</v>
      </c>
      <c r="T262" s="18">
        <f t="shared" si="91"/>
        <v>0.23883213426505387</v>
      </c>
      <c r="U262" s="18">
        <f t="shared" si="92"/>
        <v>0.26384906780382023</v>
      </c>
      <c r="V262" s="40" t="str">
        <f t="shared" si="82"/>
        <v>Y</v>
      </c>
      <c r="W262" s="18">
        <v>2.1208</v>
      </c>
      <c r="X262" s="18">
        <f t="shared" si="79"/>
        <v>0.22745712522122905</v>
      </c>
      <c r="Y262" s="18">
        <v>0.22745712522122905</v>
      </c>
      <c r="Z262" s="18">
        <v>0.84137815836761054</v>
      </c>
      <c r="AA262" s="18">
        <f t="shared" si="93"/>
        <v>-0.17271406684150489</v>
      </c>
      <c r="AB262" s="18">
        <f t="shared" si="94"/>
        <v>-0.25806777041863616</v>
      </c>
      <c r="AC262" s="18">
        <f t="shared" si="95"/>
        <v>-196.00573595336419</v>
      </c>
    </row>
    <row r="263" spans="1:29" x14ac:dyDescent="0.25">
      <c r="A263" s="13" t="str">
        <f t="shared" si="103"/>
        <v/>
      </c>
      <c r="B263" s="30">
        <f>IF(B262=$C$9,$C$6,IF(OR(ISNA(B262),B262=$C$6),NA(),Main!A230))</f>
        <v>229</v>
      </c>
      <c r="C263" s="29">
        <f>IF(ISNA(B263),NA(),IF(B263=$C$6,$C$19,Main!C230))</f>
        <v>0.28920000000000012</v>
      </c>
      <c r="D263" s="19">
        <f t="shared" si="104"/>
        <v>0.62397820163487738</v>
      </c>
      <c r="E263" s="18">
        <f t="shared" si="105"/>
        <v>0.75153962597363688</v>
      </c>
      <c r="F263" s="18">
        <f t="shared" si="106"/>
        <v>1.0651694035671371</v>
      </c>
      <c r="G263" s="18">
        <f t="shared" si="107"/>
        <v>0.25202324420744893</v>
      </c>
      <c r="H263" s="18">
        <f t="shared" si="108"/>
        <v>5.2385544231591374E-3</v>
      </c>
      <c r="I263" s="18">
        <f t="shared" si="83"/>
        <v>0.24529421212832514</v>
      </c>
      <c r="J263" s="18">
        <f t="shared" si="84"/>
        <v>0.25875227628657271</v>
      </c>
      <c r="K263" s="18">
        <f t="shared" si="85"/>
        <v>0.24338127161625428</v>
      </c>
      <c r="L263" s="18">
        <f t="shared" si="86"/>
        <v>0.26066521679864357</v>
      </c>
      <c r="M263" s="18">
        <f t="shared" si="87"/>
        <v>0.24172143532189497</v>
      </c>
      <c r="N263" s="18">
        <f t="shared" si="88"/>
        <v>0.26232505309300291</v>
      </c>
      <c r="O263" s="18">
        <f t="shared" si="89"/>
        <v>0.23845941779533503</v>
      </c>
      <c r="P263" s="18">
        <f t="shared" si="90"/>
        <v>0.26558707061956283</v>
      </c>
      <c r="Q263" s="18">
        <f t="shared" si="109"/>
        <v>0.75186014708637094</v>
      </c>
      <c r="R263" s="18">
        <f t="shared" si="80"/>
        <v>1.2545472450562829</v>
      </c>
      <c r="S263" s="18">
        <f t="shared" si="81"/>
        <v>6.3606580795318056E-3</v>
      </c>
      <c r="T263" s="18">
        <f t="shared" si="91"/>
        <v>0.23951477743806573</v>
      </c>
      <c r="U263" s="18">
        <f t="shared" si="92"/>
        <v>0.26453171097683209</v>
      </c>
      <c r="V263" s="40" t="str">
        <f t="shared" si="82"/>
        <v>Y</v>
      </c>
      <c r="W263" s="18">
        <v>2.1208</v>
      </c>
      <c r="X263" s="18">
        <f t="shared" si="79"/>
        <v>0.22745712522122905</v>
      </c>
      <c r="Y263" s="18">
        <v>0.22745712522122905</v>
      </c>
      <c r="Z263" s="18">
        <v>0.84137815836761054</v>
      </c>
      <c r="AA263" s="18">
        <f t="shared" si="93"/>
        <v>-0.17271406684150489</v>
      </c>
      <c r="AB263" s="18">
        <f t="shared" si="94"/>
        <v>-0.25806777041863616</v>
      </c>
      <c r="AC263" s="18">
        <f t="shared" si="95"/>
        <v>-196.86729962788448</v>
      </c>
    </row>
    <row r="264" spans="1:29" x14ac:dyDescent="0.25">
      <c r="A264" s="13" t="str">
        <f t="shared" si="103"/>
        <v/>
      </c>
      <c r="B264" s="30">
        <f>IF(B263=$C$9,$C$6,IF(OR(ISNA(B263),B263=$C$6),NA(),Main!A231))</f>
        <v>230</v>
      </c>
      <c r="C264" s="29">
        <f>IF(ISNA(B264),NA(),IF(B264=$C$6,$C$19,Main!C231))</f>
        <v>0.28920000000000012</v>
      </c>
      <c r="D264" s="19">
        <f t="shared" si="104"/>
        <v>0.6267029972752044</v>
      </c>
      <c r="E264" s="18">
        <f t="shared" si="105"/>
        <v>0.76082119541068005</v>
      </c>
      <c r="F264" s="18">
        <f t="shared" si="106"/>
        <v>1.0651694035671371</v>
      </c>
      <c r="G264" s="18">
        <f t="shared" si="107"/>
        <v>0.25270923508957882</v>
      </c>
      <c r="H264" s="18">
        <f t="shared" si="108"/>
        <v>5.2574740053498497E-3</v>
      </c>
      <c r="I264" s="18">
        <f t="shared" si="83"/>
        <v>0.24595590041374588</v>
      </c>
      <c r="J264" s="18">
        <f t="shared" si="84"/>
        <v>0.25946256976541177</v>
      </c>
      <c r="K264" s="18">
        <f t="shared" si="85"/>
        <v>0.24403605111877033</v>
      </c>
      <c r="L264" s="18">
        <f t="shared" si="86"/>
        <v>0.26138241906038728</v>
      </c>
      <c r="M264" s="18">
        <f t="shared" si="87"/>
        <v>0.24237022015361875</v>
      </c>
      <c r="N264" s="18">
        <f t="shared" si="88"/>
        <v>0.26304825002553889</v>
      </c>
      <c r="O264" s="18">
        <f t="shared" si="89"/>
        <v>0.23909642151270624</v>
      </c>
      <c r="P264" s="18">
        <f t="shared" si="90"/>
        <v>0.26632204866645137</v>
      </c>
      <c r="Q264" s="18">
        <f t="shared" si="109"/>
        <v>0.75186014708637094</v>
      </c>
      <c r="R264" s="18">
        <f t="shared" si="80"/>
        <v>1.2545472450562829</v>
      </c>
      <c r="S264" s="18">
        <f t="shared" si="81"/>
        <v>6.3606580795318056E-3</v>
      </c>
      <c r="T264" s="18">
        <f t="shared" si="91"/>
        <v>0.24020076832019563</v>
      </c>
      <c r="U264" s="18">
        <f t="shared" si="92"/>
        <v>0.26521770185896199</v>
      </c>
      <c r="V264" s="40" t="str">
        <f t="shared" si="82"/>
        <v>Y</v>
      </c>
      <c r="W264" s="18">
        <v>2.1208</v>
      </c>
      <c r="X264" s="18">
        <f t="shared" si="79"/>
        <v>0.22745712522122905</v>
      </c>
      <c r="Y264" s="18">
        <v>0.22745712522122905</v>
      </c>
      <c r="Z264" s="18">
        <v>0.89370335403291856</v>
      </c>
      <c r="AA264" s="18">
        <f t="shared" si="93"/>
        <v>-0.11238137762777188</v>
      </c>
      <c r="AB264" s="18">
        <f t="shared" si="94"/>
        <v>-0.25806777041863616</v>
      </c>
      <c r="AC264" s="18">
        <f t="shared" si="95"/>
        <v>-170.03615895330128</v>
      </c>
    </row>
    <row r="265" spans="1:29" x14ac:dyDescent="0.25">
      <c r="A265" s="13" t="str">
        <f t="shared" si="103"/>
        <v/>
      </c>
      <c r="B265" s="30">
        <f>IF(B264=$C$9,$C$6,IF(OR(ISNA(B264),B264=$C$6),NA(),Main!A232))</f>
        <v>231</v>
      </c>
      <c r="C265" s="29">
        <f>IF(ISNA(B265),NA(),IF(B265=$C$6,$C$19,Main!C232))</f>
        <v>0.28920000000000012</v>
      </c>
      <c r="D265" s="19">
        <f t="shared" si="104"/>
        <v>0.6294277929155313</v>
      </c>
      <c r="E265" s="18">
        <f t="shared" si="105"/>
        <v>0.77014888545203508</v>
      </c>
      <c r="F265" s="18">
        <f t="shared" si="106"/>
        <v>1.0651694035671371</v>
      </c>
      <c r="G265" s="18">
        <f t="shared" si="107"/>
        <v>0.25339863469630541</v>
      </c>
      <c r="H265" s="18">
        <f t="shared" si="108"/>
        <v>5.2765685144423157E-3</v>
      </c>
      <c r="I265" s="18">
        <f t="shared" si="83"/>
        <v>0.24662077272652086</v>
      </c>
      <c r="J265" s="18">
        <f t="shared" si="84"/>
        <v>0.26017649666608994</v>
      </c>
      <c r="K265" s="18">
        <f t="shared" si="85"/>
        <v>0.2446939507713321</v>
      </c>
      <c r="L265" s="18">
        <f t="shared" si="86"/>
        <v>0.26210331862127872</v>
      </c>
      <c r="M265" s="18">
        <f t="shared" si="87"/>
        <v>0.24302206970978857</v>
      </c>
      <c r="N265" s="18">
        <f t="shared" si="88"/>
        <v>0.26377519968282226</v>
      </c>
      <c r="O265" s="18">
        <f t="shared" si="89"/>
        <v>0.23973638102855399</v>
      </c>
      <c r="P265" s="18">
        <f t="shared" si="90"/>
        <v>0.26706088836405684</v>
      </c>
      <c r="Q265" s="18">
        <f t="shared" si="109"/>
        <v>0.75186014708637094</v>
      </c>
      <c r="R265" s="18">
        <f t="shared" si="80"/>
        <v>1.2545472450562829</v>
      </c>
      <c r="S265" s="18">
        <f t="shared" si="81"/>
        <v>6.3606580795318056E-3</v>
      </c>
      <c r="T265" s="18">
        <f t="shared" si="91"/>
        <v>0.24089016792692222</v>
      </c>
      <c r="U265" s="18">
        <f t="shared" si="92"/>
        <v>0.26590710146568858</v>
      </c>
      <c r="V265" s="40" t="str">
        <f t="shared" si="82"/>
        <v>Y</v>
      </c>
      <c r="W265" s="18">
        <v>2.1208</v>
      </c>
      <c r="X265" s="18">
        <f t="shared" si="79"/>
        <v>0.22745712522122905</v>
      </c>
      <c r="Y265" s="18">
        <v>0.22745712522122905</v>
      </c>
      <c r="Z265" s="18">
        <v>0.89370335403291856</v>
      </c>
      <c r="AA265" s="18">
        <f t="shared" si="93"/>
        <v>-0.11238137762777188</v>
      </c>
      <c r="AB265" s="18">
        <f t="shared" si="94"/>
        <v>-0.25806777041863616</v>
      </c>
      <c r="AC265" s="18">
        <f t="shared" si="95"/>
        <v>-170.77705724939412</v>
      </c>
    </row>
    <row r="266" spans="1:29" x14ac:dyDescent="0.25">
      <c r="A266" s="13" t="str">
        <f t="shared" si="103"/>
        <v/>
      </c>
      <c r="B266" s="30">
        <f>IF(B265=$C$9,$C$6,IF(OR(ISNA(B265),B265=$C$6),NA(),Main!A233))</f>
        <v>232</v>
      </c>
      <c r="C266" s="29">
        <f>IF(ISNA(B266),NA(),IF(B266=$C$6,$C$19,Main!C233))</f>
        <v>0.28920000000000012</v>
      </c>
      <c r="D266" s="19">
        <f t="shared" si="104"/>
        <v>0.63215258855585832</v>
      </c>
      <c r="E266" s="18">
        <f t="shared" si="105"/>
        <v>0.77952353800642071</v>
      </c>
      <c r="F266" s="18">
        <f t="shared" si="106"/>
        <v>1.0651694035671371</v>
      </c>
      <c r="G266" s="18">
        <f t="shared" si="107"/>
        <v>0.25409150525220281</v>
      </c>
      <c r="H266" s="18">
        <f t="shared" si="108"/>
        <v>5.2958400040532521E-3</v>
      </c>
      <c r="I266" s="18">
        <f t="shared" si="83"/>
        <v>0.24728888865331081</v>
      </c>
      <c r="J266" s="18">
        <f t="shared" si="84"/>
        <v>0.26089412185109478</v>
      </c>
      <c r="K266" s="18">
        <f t="shared" si="85"/>
        <v>0.2453550294106899</v>
      </c>
      <c r="L266" s="18">
        <f t="shared" si="86"/>
        <v>0.26282798109371569</v>
      </c>
      <c r="M266" s="18">
        <f t="shared" si="87"/>
        <v>0.24367704217646613</v>
      </c>
      <c r="N266" s="18">
        <f t="shared" si="88"/>
        <v>0.26450596832793949</v>
      </c>
      <c r="O266" s="18">
        <f t="shared" si="89"/>
        <v>0.24037935325016474</v>
      </c>
      <c r="P266" s="18">
        <f t="shared" si="90"/>
        <v>0.26780365725424088</v>
      </c>
      <c r="Q266" s="18">
        <f t="shared" si="109"/>
        <v>0.75186014708637094</v>
      </c>
      <c r="R266" s="18">
        <f t="shared" si="80"/>
        <v>1.2545472450562829</v>
      </c>
      <c r="S266" s="18">
        <f t="shared" si="81"/>
        <v>6.3606580795318056E-3</v>
      </c>
      <c r="T266" s="18">
        <f t="shared" si="91"/>
        <v>0.24158303848281962</v>
      </c>
      <c r="U266" s="18">
        <f t="shared" si="92"/>
        <v>0.26659997202158597</v>
      </c>
      <c r="V266" s="40" t="str">
        <f t="shared" si="82"/>
        <v>Y</v>
      </c>
      <c r="W266" s="18">
        <v>2.1208</v>
      </c>
      <c r="X266" s="18">
        <f t="shared" si="79"/>
        <v>0.22745712522122905</v>
      </c>
      <c r="Y266" s="18">
        <v>0.22745712522122905</v>
      </c>
      <c r="Z266" s="18">
        <v>0.89370335403291856</v>
      </c>
      <c r="AA266" s="18">
        <f t="shared" si="93"/>
        <v>-0.11238137762777188</v>
      </c>
      <c r="AB266" s="18">
        <f t="shared" si="94"/>
        <v>-0.25806777041863616</v>
      </c>
      <c r="AC266" s="18">
        <f t="shared" si="95"/>
        <v>-171.51795554548693</v>
      </c>
    </row>
    <row r="267" spans="1:29" x14ac:dyDescent="0.25">
      <c r="A267" s="13" t="str">
        <f t="shared" si="103"/>
        <v/>
      </c>
      <c r="B267" s="30">
        <f>IF(B266=$C$9,$C$6,IF(OR(ISNA(B266),B266=$C$6),NA(),Main!A234))</f>
        <v>233</v>
      </c>
      <c r="C267" s="29">
        <f>IF(ISNA(B267),NA(),IF(B267=$C$6,$C$19,Main!C234))</f>
        <v>0.28920000000000012</v>
      </c>
      <c r="D267" s="19">
        <f t="shared" si="104"/>
        <v>0.63487738419618533</v>
      </c>
      <c r="E267" s="18">
        <f t="shared" si="105"/>
        <v>0.78894601185945457</v>
      </c>
      <c r="F267" s="18">
        <f t="shared" si="106"/>
        <v>1.0651694035671371</v>
      </c>
      <c r="G267" s="18">
        <f t="shared" si="107"/>
        <v>0.25478791022919856</v>
      </c>
      <c r="H267" s="18">
        <f t="shared" si="108"/>
        <v>5.3152905804439831E-3</v>
      </c>
      <c r="I267" s="18">
        <f t="shared" si="83"/>
        <v>0.2479603089605068</v>
      </c>
      <c r="J267" s="18">
        <f t="shared" si="84"/>
        <v>0.26161551149789031</v>
      </c>
      <c r="K267" s="18">
        <f t="shared" si="85"/>
        <v>0.24601934703410039</v>
      </c>
      <c r="L267" s="18">
        <f t="shared" si="86"/>
        <v>0.26355647342429672</v>
      </c>
      <c r="M267" s="18">
        <f t="shared" si="87"/>
        <v>0.24433519688353905</v>
      </c>
      <c r="N267" s="18">
        <f t="shared" si="88"/>
        <v>0.26524062357485806</v>
      </c>
      <c r="O267" s="18">
        <f t="shared" si="89"/>
        <v>0.24102539619586935</v>
      </c>
      <c r="P267" s="18">
        <f t="shared" si="90"/>
        <v>0.26855042426252773</v>
      </c>
      <c r="Q267" s="18">
        <f t="shared" si="109"/>
        <v>0.75186014708637094</v>
      </c>
      <c r="R267" s="18">
        <f t="shared" si="80"/>
        <v>1.2545472450562829</v>
      </c>
      <c r="S267" s="18">
        <f t="shared" si="81"/>
        <v>6.3606580795318056E-3</v>
      </c>
      <c r="T267" s="18">
        <f t="shared" si="91"/>
        <v>0.24227944345981536</v>
      </c>
      <c r="U267" s="18">
        <f t="shared" si="92"/>
        <v>0.26729637699858172</v>
      </c>
      <c r="V267" s="40" t="str">
        <f t="shared" si="82"/>
        <v>Y</v>
      </c>
      <c r="W267" s="18">
        <v>2.1208</v>
      </c>
      <c r="X267" s="18">
        <f t="shared" si="79"/>
        <v>0.22745712522122905</v>
      </c>
      <c r="Y267" s="18">
        <v>0.22745712522122905</v>
      </c>
      <c r="Z267" s="18">
        <v>0.89370335403291856</v>
      </c>
      <c r="AA267" s="18">
        <f t="shared" si="93"/>
        <v>-0.11238137762777188</v>
      </c>
      <c r="AB267" s="18">
        <f t="shared" si="94"/>
        <v>-0.25806777041863616</v>
      </c>
      <c r="AC267" s="18">
        <f t="shared" si="95"/>
        <v>-172.25885384157974</v>
      </c>
    </row>
    <row r="268" spans="1:29" x14ac:dyDescent="0.25">
      <c r="A268" s="13" t="str">
        <f t="shared" si="103"/>
        <v/>
      </c>
      <c r="B268" s="30">
        <f>IF(B267=$C$9,$C$6,IF(OR(ISNA(B267),B267=$C$6),NA(),Main!A235))</f>
        <v>234</v>
      </c>
      <c r="C268" s="29">
        <f>IF(ISNA(B268),NA(),IF(B268=$C$6,$C$19,Main!C235))</f>
        <v>0.28920000000000012</v>
      </c>
      <c r="D268" s="19">
        <f t="shared" si="104"/>
        <v>0.63760217983651224</v>
      </c>
      <c r="E268" s="18">
        <f t="shared" si="105"/>
        <v>0.7984171832100444</v>
      </c>
      <c r="F268" s="18">
        <f t="shared" si="106"/>
        <v>1.0651694035671371</v>
      </c>
      <c r="G268" s="18">
        <f t="shared" si="107"/>
        <v>0.25548791438621798</v>
      </c>
      <c r="H268" s="18">
        <f t="shared" si="108"/>
        <v>5.3349224040186716E-3</v>
      </c>
      <c r="I268" s="18">
        <f t="shared" si="83"/>
        <v>0.2486350956319501</v>
      </c>
      <c r="J268" s="18">
        <f t="shared" si="84"/>
        <v>0.26234073314048584</v>
      </c>
      <c r="K268" s="18">
        <f t="shared" si="85"/>
        <v>0.24668696483649924</v>
      </c>
      <c r="L268" s="18">
        <f t="shared" si="86"/>
        <v>0.26428886393593676</v>
      </c>
      <c r="M268" s="18">
        <f t="shared" si="87"/>
        <v>0.24499659434141888</v>
      </c>
      <c r="N268" s="18">
        <f t="shared" si="88"/>
        <v>0.26597923443101706</v>
      </c>
      <c r="O268" s="18">
        <f t="shared" si="89"/>
        <v>0.2416745690308082</v>
      </c>
      <c r="P268" s="18">
        <f t="shared" si="90"/>
        <v>0.26930125974162777</v>
      </c>
      <c r="Q268" s="18">
        <f t="shared" si="109"/>
        <v>0.75186014708637094</v>
      </c>
      <c r="R268" s="18">
        <f t="shared" si="80"/>
        <v>1.2545472450562829</v>
      </c>
      <c r="S268" s="18">
        <f t="shared" si="81"/>
        <v>6.3606580795318056E-3</v>
      </c>
      <c r="T268" s="18">
        <f t="shared" si="91"/>
        <v>0.24297944761683479</v>
      </c>
      <c r="U268" s="18">
        <f t="shared" si="92"/>
        <v>0.26799638115560115</v>
      </c>
      <c r="V268" s="40" t="str">
        <f t="shared" si="82"/>
        <v>Y</v>
      </c>
      <c r="W268" s="18">
        <v>2.1208</v>
      </c>
      <c r="X268" s="18">
        <f t="shared" si="79"/>
        <v>0.22745712522122905</v>
      </c>
      <c r="Y268" s="18">
        <v>0.22745712522122905</v>
      </c>
      <c r="Z268" s="18">
        <v>0.89370335403291856</v>
      </c>
      <c r="AA268" s="18">
        <f t="shared" si="93"/>
        <v>-0.11238137762777188</v>
      </c>
      <c r="AB268" s="18">
        <f t="shared" si="94"/>
        <v>-0.25806777041863616</v>
      </c>
      <c r="AC268" s="18">
        <f t="shared" si="95"/>
        <v>-172.99975213767257</v>
      </c>
    </row>
    <row r="269" spans="1:29" x14ac:dyDescent="0.25">
      <c r="A269" s="13" t="str">
        <f t="shared" si="103"/>
        <v/>
      </c>
      <c r="B269" s="30">
        <f>IF(B268=$C$9,$C$6,IF(OR(ISNA(B268),B268=$C$6),NA(),Main!A236))</f>
        <v>235</v>
      </c>
      <c r="C269" s="29">
        <f>IF(ISNA(B269),NA(),IF(B269=$C$6,$C$19,Main!C236))</f>
        <v>0.28920000000000012</v>
      </c>
      <c r="D269" s="19">
        <f t="shared" si="104"/>
        <v>0.64032697547683926</v>
      </c>
      <c r="E269" s="18">
        <f t="shared" si="105"/>
        <v>0.80793794622639659</v>
      </c>
      <c r="F269" s="18">
        <f t="shared" si="106"/>
        <v>1.0651694035671371</v>
      </c>
      <c r="G269" s="18">
        <f t="shared" si="107"/>
        <v>0.25619158381027796</v>
      </c>
      <c r="H269" s="18">
        <f t="shared" si="108"/>
        <v>5.354737690880477E-3</v>
      </c>
      <c r="I269" s="18">
        <f t="shared" si="83"/>
        <v>0.249313311908027</v>
      </c>
      <c r="J269" s="18">
        <f t="shared" si="84"/>
        <v>0.26306985571252894</v>
      </c>
      <c r="K269" s="18">
        <f t="shared" si="85"/>
        <v>0.24735794524902782</v>
      </c>
      <c r="L269" s="18">
        <f t="shared" si="86"/>
        <v>0.26502522237152809</v>
      </c>
      <c r="M269" s="18">
        <f t="shared" si="87"/>
        <v>0.24566129627907454</v>
      </c>
      <c r="N269" s="18">
        <f t="shared" si="88"/>
        <v>0.2667218713414814</v>
      </c>
      <c r="O269" s="18">
        <f t="shared" si="89"/>
        <v>0.24232693210399558</v>
      </c>
      <c r="P269" s="18">
        <f t="shared" si="90"/>
        <v>0.27005623551656033</v>
      </c>
      <c r="Q269" s="18">
        <f t="shared" si="109"/>
        <v>0.75186014708637094</v>
      </c>
      <c r="R269" s="18">
        <f t="shared" si="80"/>
        <v>1.2545472450562829</v>
      </c>
      <c r="S269" s="18">
        <f t="shared" si="81"/>
        <v>6.3606580795318056E-3</v>
      </c>
      <c r="T269" s="18">
        <f t="shared" si="91"/>
        <v>0.24368311704089476</v>
      </c>
      <c r="U269" s="18">
        <f t="shared" si="92"/>
        <v>0.26870005057966112</v>
      </c>
      <c r="V269" s="40" t="str">
        <f t="shared" si="82"/>
        <v>Y</v>
      </c>
      <c r="W269" s="18">
        <v>2.1208</v>
      </c>
      <c r="X269" s="18">
        <f t="shared" si="79"/>
        <v>0.22745712522122905</v>
      </c>
      <c r="Y269" s="18">
        <v>0.22745712522122905</v>
      </c>
      <c r="Z269" s="18">
        <v>0.89370335403291856</v>
      </c>
      <c r="AA269" s="18">
        <f t="shared" si="93"/>
        <v>-0.11238137762777188</v>
      </c>
      <c r="AB269" s="18">
        <f t="shared" si="94"/>
        <v>-0.25806777041863616</v>
      </c>
      <c r="AC269" s="18">
        <f t="shared" si="95"/>
        <v>-173.74065043376538</v>
      </c>
    </row>
    <row r="270" spans="1:29" x14ac:dyDescent="0.25">
      <c r="A270" s="13" t="str">
        <f t="shared" si="103"/>
        <v/>
      </c>
      <c r="B270" s="30">
        <f>IF(B269=$C$9,$C$6,IF(OR(ISNA(B269),B269=$C$6),NA(),Main!A237))</f>
        <v>236</v>
      </c>
      <c r="C270" s="29">
        <f>IF(ISNA(B270),NA(),IF(B270=$C$6,$C$19,Main!C237))</f>
        <v>0.28920000000000012</v>
      </c>
      <c r="D270" s="19">
        <f t="shared" si="104"/>
        <v>0.64305177111716616</v>
      </c>
      <c r="E270" s="18">
        <f t="shared" si="105"/>
        <v>0.81750921362254325</v>
      </c>
      <c r="F270" s="18">
        <f t="shared" si="106"/>
        <v>1.0651694035671371</v>
      </c>
      <c r="G270" s="18">
        <f t="shared" si="107"/>
        <v>0.25689898595909771</v>
      </c>
      <c r="H270" s="18">
        <f t="shared" si="108"/>
        <v>5.3747387144482519E-3</v>
      </c>
      <c r="I270" s="18">
        <f t="shared" si="83"/>
        <v>0.24999502232620291</v>
      </c>
      <c r="J270" s="18">
        <f t="shared" si="84"/>
        <v>0.26380294959199252</v>
      </c>
      <c r="K270" s="18">
        <f t="shared" si="85"/>
        <v>0.24803235197897699</v>
      </c>
      <c r="L270" s="18">
        <f t="shared" si="86"/>
        <v>0.26576561993921843</v>
      </c>
      <c r="M270" s="18">
        <f t="shared" si="87"/>
        <v>0.24632936568346392</v>
      </c>
      <c r="N270" s="18">
        <f t="shared" si="88"/>
        <v>0.26746860623473151</v>
      </c>
      <c r="O270" s="18">
        <f t="shared" si="89"/>
        <v>0.24298254698674465</v>
      </c>
      <c r="P270" s="18">
        <f t="shared" si="90"/>
        <v>0.27081542493145078</v>
      </c>
      <c r="Q270" s="18">
        <f t="shared" si="109"/>
        <v>0.75186014708637094</v>
      </c>
      <c r="R270" s="18">
        <f t="shared" si="80"/>
        <v>1.2545472450562829</v>
      </c>
      <c r="S270" s="18">
        <f t="shared" si="81"/>
        <v>6.3606580795318056E-3</v>
      </c>
      <c r="T270" s="18">
        <f t="shared" si="91"/>
        <v>0.24439051918971452</v>
      </c>
      <c r="U270" s="18">
        <f t="shared" si="92"/>
        <v>0.26940745272848088</v>
      </c>
      <c r="V270" s="40" t="str">
        <f t="shared" si="82"/>
        <v>Y</v>
      </c>
      <c r="W270" s="18">
        <v>2.1208</v>
      </c>
      <c r="X270" s="18">
        <f t="shared" si="79"/>
        <v>0.22745712522122905</v>
      </c>
      <c r="Y270" s="18">
        <v>0.22745712522122905</v>
      </c>
      <c r="Z270" s="18">
        <v>0.89370335403291856</v>
      </c>
      <c r="AA270" s="18">
        <f t="shared" si="93"/>
        <v>-0.11238137762777188</v>
      </c>
      <c r="AB270" s="18">
        <f t="shared" si="94"/>
        <v>-0.25806777041863616</v>
      </c>
      <c r="AC270" s="18">
        <f t="shared" si="95"/>
        <v>-174.48154872985819</v>
      </c>
    </row>
    <row r="271" spans="1:29" x14ac:dyDescent="0.25">
      <c r="A271" s="13" t="str">
        <f t="shared" si="103"/>
        <v/>
      </c>
      <c r="B271" s="30">
        <f>IF(B270=$C$9,$C$6,IF(OR(ISNA(B270),B270=$C$6),NA(),Main!A238))</f>
        <v>237</v>
      </c>
      <c r="C271" s="29">
        <f>IF(ISNA(B271),NA(),IF(B271=$C$6,$C$19,Main!C238))</f>
        <v>0.28920000000000012</v>
      </c>
      <c r="D271" s="19">
        <f t="shared" si="104"/>
        <v>0.64577656675749318</v>
      </c>
      <c r="E271" s="18">
        <f t="shared" si="105"/>
        <v>0.82713191725636115</v>
      </c>
      <c r="F271" s="18">
        <f t="shared" si="106"/>
        <v>1.0651694035671371</v>
      </c>
      <c r="G271" s="18">
        <f t="shared" si="107"/>
        <v>0.25761018970529737</v>
      </c>
      <c r="H271" s="18">
        <f t="shared" si="108"/>
        <v>5.3949278071365554E-3</v>
      </c>
      <c r="I271" s="18">
        <f t="shared" si="83"/>
        <v>0.25068029276306297</v>
      </c>
      <c r="J271" s="18">
        <f t="shared" si="84"/>
        <v>0.26454008664753176</v>
      </c>
      <c r="K271" s="18">
        <f t="shared" si="85"/>
        <v>0.24871025005121397</v>
      </c>
      <c r="L271" s="18">
        <f t="shared" si="86"/>
        <v>0.26651012935938073</v>
      </c>
      <c r="M271" s="18">
        <f t="shared" si="87"/>
        <v>0.24700086684042863</v>
      </c>
      <c r="N271" s="18">
        <f t="shared" si="88"/>
        <v>0.26821951257016613</v>
      </c>
      <c r="O271" s="18">
        <f t="shared" si="89"/>
        <v>0.24364147651251594</v>
      </c>
      <c r="P271" s="18">
        <f t="shared" si="90"/>
        <v>0.27157890289807879</v>
      </c>
      <c r="Q271" s="18">
        <f t="shared" si="109"/>
        <v>0.75186014708637094</v>
      </c>
      <c r="R271" s="18">
        <f t="shared" si="80"/>
        <v>1.2545472450562829</v>
      </c>
      <c r="S271" s="18">
        <f t="shared" si="81"/>
        <v>6.3606580795318056E-3</v>
      </c>
      <c r="T271" s="18">
        <f t="shared" si="91"/>
        <v>0.24510172293591417</v>
      </c>
      <c r="U271" s="18">
        <f t="shared" si="92"/>
        <v>0.27011865647468053</v>
      </c>
      <c r="V271" s="40" t="str">
        <f t="shared" si="82"/>
        <v>Y</v>
      </c>
      <c r="W271" s="18">
        <v>2.1208</v>
      </c>
      <c r="X271" s="18">
        <f t="shared" si="79"/>
        <v>0.22745712522122905</v>
      </c>
      <c r="Y271" s="18">
        <v>0.22745712522122905</v>
      </c>
      <c r="Z271" s="18">
        <v>0.89370335403291856</v>
      </c>
      <c r="AA271" s="18">
        <f t="shared" si="93"/>
        <v>-0.11238137762777188</v>
      </c>
      <c r="AB271" s="18">
        <f t="shared" si="94"/>
        <v>-0.25806777041863616</v>
      </c>
      <c r="AC271" s="18">
        <f t="shared" si="95"/>
        <v>-175.222447025951</v>
      </c>
    </row>
    <row r="272" spans="1:29" x14ac:dyDescent="0.25">
      <c r="A272" s="13" t="str">
        <f t="shared" si="103"/>
        <v/>
      </c>
      <c r="B272" s="30">
        <f>IF(B271=$C$9,$C$6,IF(OR(ISNA(B271),B271=$C$6),NA(),Main!A239))</f>
        <v>238</v>
      </c>
      <c r="C272" s="29">
        <f>IF(ISNA(B272),NA(),IF(B272=$C$6,$C$19,Main!C239))</f>
        <v>0.28920000000000012</v>
      </c>
      <c r="D272" s="19">
        <f t="shared" si="104"/>
        <v>0.64850136239782019</v>
      </c>
      <c r="E272" s="18">
        <f t="shared" si="105"/>
        <v>0.83680700875007819</v>
      </c>
      <c r="F272" s="18">
        <f t="shared" si="106"/>
        <v>1.0651694035671371</v>
      </c>
      <c r="G272" s="18">
        <f t="shared" si="107"/>
        <v>0.25832526538225919</v>
      </c>
      <c r="H272" s="18">
        <f t="shared" si="108"/>
        <v>5.4153073621018852E-3</v>
      </c>
      <c r="I272" s="18">
        <f t="shared" si="83"/>
        <v>0.25136919047793022</v>
      </c>
      <c r="J272" s="18">
        <f t="shared" si="84"/>
        <v>0.26528134028658817</v>
      </c>
      <c r="K272" s="18">
        <f t="shared" si="85"/>
        <v>0.24939170585116308</v>
      </c>
      <c r="L272" s="18">
        <f t="shared" si="86"/>
        <v>0.26725882491335534</v>
      </c>
      <c r="M272" s="18">
        <f t="shared" si="87"/>
        <v>0.24767586537712111</v>
      </c>
      <c r="N272" s="18">
        <f t="shared" si="88"/>
        <v>0.26897466538739728</v>
      </c>
      <c r="O272" s="18">
        <f t="shared" si="89"/>
        <v>0.24430378481825721</v>
      </c>
      <c r="P272" s="18">
        <f t="shared" si="90"/>
        <v>0.27234674594626118</v>
      </c>
      <c r="Q272" s="18">
        <f t="shared" si="109"/>
        <v>0.75186014708637094</v>
      </c>
      <c r="R272" s="18">
        <f t="shared" si="80"/>
        <v>1.2545472450562829</v>
      </c>
      <c r="S272" s="18">
        <f t="shared" si="81"/>
        <v>6.3606580795318056E-3</v>
      </c>
      <c r="T272" s="18">
        <f t="shared" si="91"/>
        <v>0.245816798612876</v>
      </c>
      <c r="U272" s="18">
        <f t="shared" si="92"/>
        <v>0.27083373215164236</v>
      </c>
      <c r="V272" s="40" t="str">
        <f t="shared" si="82"/>
        <v>Y</v>
      </c>
      <c r="W272" s="18">
        <v>2.1208</v>
      </c>
      <c r="X272" s="18">
        <f t="shared" si="79"/>
        <v>0.22745712522122905</v>
      </c>
      <c r="Y272" s="18">
        <v>0.22745712522122905</v>
      </c>
      <c r="Z272" s="18">
        <v>0.89370335403291856</v>
      </c>
      <c r="AA272" s="18">
        <f t="shared" si="93"/>
        <v>-0.11238137762777188</v>
      </c>
      <c r="AB272" s="18">
        <f t="shared" si="94"/>
        <v>-0.25806777041863616</v>
      </c>
      <c r="AC272" s="18">
        <f t="shared" si="95"/>
        <v>-175.96334532204384</v>
      </c>
    </row>
    <row r="273" spans="1:29" x14ac:dyDescent="0.25">
      <c r="A273" s="13" t="str">
        <f t="shared" si="103"/>
        <v/>
      </c>
      <c r="B273" s="30">
        <f>IF(B272=$C$9,$C$6,IF(OR(ISNA(B272),B272=$C$6),NA(),Main!A240))</f>
        <v>239</v>
      </c>
      <c r="C273" s="29">
        <f>IF(ISNA(B273),NA(),IF(B273=$C$6,$C$19,Main!C240))</f>
        <v>0.28920000000000012</v>
      </c>
      <c r="D273" s="19">
        <f t="shared" si="104"/>
        <v>0.6512261580381471</v>
      </c>
      <c r="E273" s="18">
        <f t="shared" si="105"/>
        <v>0.84653546013434255</v>
      </c>
      <c r="F273" s="18">
        <f t="shared" si="106"/>
        <v>1.0651694035671371</v>
      </c>
      <c r="G273" s="18">
        <f t="shared" si="107"/>
        <v>0.2590442848317302</v>
      </c>
      <c r="H273" s="18">
        <f t="shared" si="108"/>
        <v>5.435879835058219E-3</v>
      </c>
      <c r="I273" s="18">
        <f t="shared" si="83"/>
        <v>0.2520617841581359</v>
      </c>
      <c r="J273" s="18">
        <f t="shared" si="84"/>
        <v>0.26602678550532449</v>
      </c>
      <c r="K273" s="18">
        <f t="shared" si="85"/>
        <v>0.25007678716941306</v>
      </c>
      <c r="L273" s="18">
        <f t="shared" si="86"/>
        <v>0.26801178249404733</v>
      </c>
      <c r="M273" s="18">
        <f t="shared" si="87"/>
        <v>0.24835442830603705</v>
      </c>
      <c r="N273" s="18">
        <f t="shared" si="88"/>
        <v>0.26973414135742335</v>
      </c>
      <c r="O273" s="18">
        <f t="shared" si="89"/>
        <v>0.24496953738730526</v>
      </c>
      <c r="P273" s="18">
        <f t="shared" si="90"/>
        <v>0.27311903227615514</v>
      </c>
      <c r="Q273" s="18">
        <f t="shared" si="109"/>
        <v>0.75186014708637094</v>
      </c>
      <c r="R273" s="18">
        <f t="shared" si="80"/>
        <v>1.2545472450562829</v>
      </c>
      <c r="S273" s="18">
        <f t="shared" si="81"/>
        <v>6.3606580795318056E-3</v>
      </c>
      <c r="T273" s="18">
        <f t="shared" si="91"/>
        <v>0.24653581806234701</v>
      </c>
      <c r="U273" s="18">
        <f t="shared" si="92"/>
        <v>0.27155275160111336</v>
      </c>
      <c r="V273" s="40" t="str">
        <f t="shared" si="82"/>
        <v>Y</v>
      </c>
      <c r="W273" s="18">
        <v>2.1208</v>
      </c>
      <c r="X273" s="18">
        <f t="shared" si="79"/>
        <v>0.22745712522122905</v>
      </c>
      <c r="Y273" s="18">
        <v>0.22745712522122905</v>
      </c>
      <c r="Z273" s="18">
        <v>0.89370335403291856</v>
      </c>
      <c r="AA273" s="18">
        <f t="shared" si="93"/>
        <v>-0.11238137762777188</v>
      </c>
      <c r="AB273" s="18">
        <f t="shared" si="94"/>
        <v>-0.25806777041863616</v>
      </c>
      <c r="AC273" s="18">
        <f t="shared" si="95"/>
        <v>-176.70424361813664</v>
      </c>
    </row>
    <row r="274" spans="1:29" x14ac:dyDescent="0.25">
      <c r="A274" s="13" t="str">
        <f t="shared" si="103"/>
        <v/>
      </c>
      <c r="B274" s="30">
        <f>IF(B273=$C$9,$C$6,IF(OR(ISNA(B273),B273=$C$6),NA(),Main!A241))</f>
        <v>240</v>
      </c>
      <c r="C274" s="29">
        <f>IF(ISNA(B274),NA(),IF(B274=$C$6,$C$19,Main!C241))</f>
        <v>0.28920000000000012</v>
      </c>
      <c r="D274" s="19">
        <f t="shared" si="104"/>
        <v>0.65395095367847411</v>
      </c>
      <c r="E274" s="18">
        <f t="shared" si="105"/>
        <v>0.8563182645169749</v>
      </c>
      <c r="F274" s="18">
        <f t="shared" si="106"/>
        <v>1.0651694035671371</v>
      </c>
      <c r="G274" s="18">
        <f t="shared" si="107"/>
        <v>0.25976732145324838</v>
      </c>
      <c r="H274" s="18">
        <f t="shared" si="108"/>
        <v>5.4566477461650918E-3</v>
      </c>
      <c r="I274" s="18">
        <f t="shared" si="83"/>
        <v>0.25275814396602081</v>
      </c>
      <c r="J274" s="18">
        <f t="shared" si="84"/>
        <v>0.26677649894047595</v>
      </c>
      <c r="K274" s="18">
        <f t="shared" si="85"/>
        <v>0.25076556324802868</v>
      </c>
      <c r="L274" s="18">
        <f t="shared" si="86"/>
        <v>0.26876907965846808</v>
      </c>
      <c r="M274" s="18">
        <f t="shared" si="87"/>
        <v>0.24903662407072852</v>
      </c>
      <c r="N274" s="18">
        <f t="shared" si="88"/>
        <v>0.27049801883576824</v>
      </c>
      <c r="O274" s="18">
        <f t="shared" si="89"/>
        <v>0.24563880109392339</v>
      </c>
      <c r="P274" s="18">
        <f t="shared" si="90"/>
        <v>0.27389584181257337</v>
      </c>
      <c r="Q274" s="18">
        <f t="shared" si="109"/>
        <v>0.75186014708637094</v>
      </c>
      <c r="R274" s="18">
        <f t="shared" si="80"/>
        <v>1.2545472450562829</v>
      </c>
      <c r="S274" s="18">
        <f t="shared" si="81"/>
        <v>6.3606580795318056E-3</v>
      </c>
      <c r="T274" s="18">
        <f t="shared" si="91"/>
        <v>0.24725885468386519</v>
      </c>
      <c r="U274" s="18">
        <f t="shared" si="92"/>
        <v>0.27227578822263154</v>
      </c>
      <c r="V274" s="40" t="str">
        <f t="shared" si="82"/>
        <v>Y</v>
      </c>
      <c r="W274" s="18">
        <v>2.1208</v>
      </c>
      <c r="X274" s="18">
        <f t="shared" si="79"/>
        <v>0.22745712522122905</v>
      </c>
      <c r="Y274" s="18">
        <v>0.22745712522122905</v>
      </c>
      <c r="Z274" s="18">
        <v>0.89370335403291856</v>
      </c>
      <c r="AA274" s="18">
        <f t="shared" si="93"/>
        <v>-0.11238137762777188</v>
      </c>
      <c r="AB274" s="18">
        <f t="shared" si="94"/>
        <v>-0.25806777041863616</v>
      </c>
      <c r="AC274" s="18">
        <f t="shared" si="95"/>
        <v>-177.44514191422945</v>
      </c>
    </row>
    <row r="275" spans="1:29" x14ac:dyDescent="0.25">
      <c r="A275" s="13" t="str">
        <f t="shared" si="103"/>
        <v/>
      </c>
      <c r="B275" s="30">
        <f>IF(B274=$C$9,$C$6,IF(OR(ISNA(B274),B274=$C$6),NA(),Main!A242))</f>
        <v>241</v>
      </c>
      <c r="C275" s="29">
        <f>IF(ISNA(B275),NA(),IF(B275=$C$6,$C$19,Main!C242))</f>
        <v>0.31329999999999991</v>
      </c>
      <c r="D275" s="19">
        <f t="shared" si="104"/>
        <v>0.65667574931880113</v>
      </c>
      <c r="E275" s="18">
        <f t="shared" si="105"/>
        <v>0.86615643677758269</v>
      </c>
      <c r="F275" s="18">
        <f t="shared" si="106"/>
        <v>0.81845082057256957</v>
      </c>
      <c r="G275" s="18">
        <f t="shared" si="107"/>
        <v>0.26049445025548146</v>
      </c>
      <c r="H275" s="18">
        <f t="shared" si="108"/>
        <v>5.4776136819916421E-3</v>
      </c>
      <c r="I275" s="18">
        <f t="shared" si="83"/>
        <v>0.25345834158775071</v>
      </c>
      <c r="J275" s="18">
        <f t="shared" si="84"/>
        <v>0.2675305589232122</v>
      </c>
      <c r="K275" s="18">
        <f t="shared" si="85"/>
        <v>0.25145810482864944</v>
      </c>
      <c r="L275" s="18">
        <f t="shared" si="86"/>
        <v>0.26953079568231347</v>
      </c>
      <c r="M275" s="18">
        <f t="shared" si="87"/>
        <v>0.24972252259328043</v>
      </c>
      <c r="N275" s="18">
        <f t="shared" si="88"/>
        <v>0.27126637791768249</v>
      </c>
      <c r="O275" s="18">
        <f t="shared" si="89"/>
        <v>0.24631164424955487</v>
      </c>
      <c r="P275" s="18">
        <f t="shared" si="90"/>
        <v>0.27467725626140804</v>
      </c>
      <c r="Q275" s="18">
        <f t="shared" si="109"/>
        <v>0.81395795469227883</v>
      </c>
      <c r="R275" s="18">
        <f t="shared" si="80"/>
        <v>1.580624207971927</v>
      </c>
      <c r="S275" s="18">
        <f t="shared" si="81"/>
        <v>7.1657904882608085E-3</v>
      </c>
      <c r="T275" s="18">
        <f t="shared" si="91"/>
        <v>0.24640266115472695</v>
      </c>
      <c r="U275" s="18">
        <f t="shared" si="92"/>
        <v>0.27458623935623599</v>
      </c>
      <c r="V275" s="40" t="str">
        <f t="shared" si="82"/>
        <v>Y</v>
      </c>
      <c r="W275" s="18">
        <v>2.0967000000000002</v>
      </c>
      <c r="X275" s="18">
        <f t="shared" si="79"/>
        <v>0.10271805670624974</v>
      </c>
      <c r="Y275" s="18">
        <v>0.10271805670624974</v>
      </c>
      <c r="Z275" s="18">
        <v>0.89370335403291856</v>
      </c>
      <c r="AA275" s="18">
        <f t="shared" si="93"/>
        <v>-0.11238137762777188</v>
      </c>
      <c r="AB275" s="18">
        <f t="shared" si="94"/>
        <v>-0.10838514825767832</v>
      </c>
      <c r="AC275" s="18">
        <f t="shared" si="95"/>
        <v>-106.18869895090155</v>
      </c>
    </row>
    <row r="276" spans="1:29" x14ac:dyDescent="0.25">
      <c r="A276" s="13" t="str">
        <f t="shared" si="103"/>
        <v/>
      </c>
      <c r="B276" s="30">
        <f>IF(B275=$C$9,$C$6,IF(OR(ISNA(B275),B275=$C$6),NA(),Main!A243))</f>
        <v>242</v>
      </c>
      <c r="C276" s="29">
        <f>IF(ISNA(B276),NA(),IF(B276=$C$6,$C$19,Main!C243))</f>
        <v>0.31329999999999991</v>
      </c>
      <c r="D276" s="19">
        <f t="shared" si="104"/>
        <v>0.65940054495912803</v>
      </c>
      <c r="E276" s="18">
        <f t="shared" si="105"/>
        <v>0.87605101428929488</v>
      </c>
      <c r="F276" s="18">
        <f t="shared" si="106"/>
        <v>0.81845082057256957</v>
      </c>
      <c r="G276" s="18">
        <f t="shared" si="107"/>
        <v>0.26122574790956915</v>
      </c>
      <c r="H276" s="18">
        <f t="shared" si="108"/>
        <v>5.4987802975602473E-3</v>
      </c>
      <c r="I276" s="18">
        <f t="shared" si="83"/>
        <v>0.25416245028403395</v>
      </c>
      <c r="J276" s="18">
        <f t="shared" si="84"/>
        <v>0.26828904553510435</v>
      </c>
      <c r="K276" s="18">
        <f t="shared" si="85"/>
        <v>0.25215448420246056</v>
      </c>
      <c r="L276" s="18">
        <f t="shared" si="86"/>
        <v>0.27029701161667774</v>
      </c>
      <c r="M276" s="18">
        <f t="shared" si="87"/>
        <v>0.25041219532363385</v>
      </c>
      <c r="N276" s="18">
        <f t="shared" si="88"/>
        <v>0.27203930049550445</v>
      </c>
      <c r="O276" s="18">
        <f t="shared" si="89"/>
        <v>0.24698813665087374</v>
      </c>
      <c r="P276" s="18">
        <f t="shared" si="90"/>
        <v>0.27546335916826459</v>
      </c>
      <c r="Q276" s="18">
        <f t="shared" si="109"/>
        <v>0.81395795469227883</v>
      </c>
      <c r="R276" s="18">
        <f t="shared" si="80"/>
        <v>1.580624207971927</v>
      </c>
      <c r="S276" s="18">
        <f t="shared" si="81"/>
        <v>7.1657904882608085E-3</v>
      </c>
      <c r="T276" s="18">
        <f t="shared" si="91"/>
        <v>0.24713395880881464</v>
      </c>
      <c r="U276" s="18">
        <f t="shared" si="92"/>
        <v>0.27531753701032369</v>
      </c>
      <c r="V276" s="40" t="str">
        <f t="shared" si="82"/>
        <v>Y</v>
      </c>
      <c r="W276" s="18">
        <v>2.0967000000000002</v>
      </c>
      <c r="X276" s="18">
        <f t="shared" si="79"/>
        <v>0.10271805670624974</v>
      </c>
      <c r="Y276" s="18">
        <v>0.10271805670624974</v>
      </c>
      <c r="Z276" s="18">
        <v>0.89370335403291856</v>
      </c>
      <c r="AA276" s="18">
        <f t="shared" si="93"/>
        <v>-0.11238137762777188</v>
      </c>
      <c r="AB276" s="18">
        <f t="shared" si="94"/>
        <v>-0.10838514825767832</v>
      </c>
      <c r="AC276" s="18">
        <f t="shared" si="95"/>
        <v>-106.63023200267244</v>
      </c>
    </row>
    <row r="277" spans="1:29" x14ac:dyDescent="0.25">
      <c r="A277" s="13" t="str">
        <f t="shared" si="103"/>
        <v/>
      </c>
      <c r="B277" s="30">
        <f>IF(B276=$C$9,$C$6,IF(OR(ISNA(B276),B276=$C$6),NA(),Main!A244))</f>
        <v>243</v>
      </c>
      <c r="C277" s="29">
        <f>IF(ISNA(B277),NA(),IF(B277=$C$6,$C$19,Main!C244))</f>
        <v>0.31329999999999991</v>
      </c>
      <c r="D277" s="19">
        <f t="shared" si="104"/>
        <v>0.66212534059945505</v>
      </c>
      <c r="E277" s="18">
        <f t="shared" si="105"/>
        <v>0.8860030576689355</v>
      </c>
      <c r="F277" s="18">
        <f t="shared" si="106"/>
        <v>0.81845082057256957</v>
      </c>
      <c r="G277" s="18">
        <f t="shared" si="107"/>
        <v>0.26196129280456804</v>
      </c>
      <c r="H277" s="18">
        <f t="shared" si="108"/>
        <v>5.5201503184735649E-3</v>
      </c>
      <c r="I277" s="18">
        <f t="shared" si="83"/>
        <v>0.25487054494283379</v>
      </c>
      <c r="J277" s="18">
        <f t="shared" si="84"/>
        <v>0.26905204066630228</v>
      </c>
      <c r="K277" s="18">
        <f t="shared" si="85"/>
        <v>0.25285477526212852</v>
      </c>
      <c r="L277" s="18">
        <f t="shared" si="86"/>
        <v>0.27106781034700755</v>
      </c>
      <c r="M277" s="18">
        <f t="shared" si="87"/>
        <v>0.25110571529084807</v>
      </c>
      <c r="N277" s="18">
        <f t="shared" si="88"/>
        <v>0.272816870318288</v>
      </c>
      <c r="O277" s="18">
        <f t="shared" si="89"/>
        <v>0.24766834962972223</v>
      </c>
      <c r="P277" s="18">
        <f t="shared" si="90"/>
        <v>0.27625423597941384</v>
      </c>
      <c r="Q277" s="18">
        <f t="shared" si="109"/>
        <v>0.81395795469227883</v>
      </c>
      <c r="R277" s="18">
        <f t="shared" si="80"/>
        <v>1.580624207971927</v>
      </c>
      <c r="S277" s="18">
        <f t="shared" si="81"/>
        <v>7.1657904882608085E-3</v>
      </c>
      <c r="T277" s="18">
        <f t="shared" si="91"/>
        <v>0.24786950370381353</v>
      </c>
      <c r="U277" s="18">
        <f t="shared" si="92"/>
        <v>0.27605308190532257</v>
      </c>
      <c r="V277" s="40" t="str">
        <f t="shared" si="82"/>
        <v>Y</v>
      </c>
      <c r="W277" s="18">
        <v>2.0967000000000002</v>
      </c>
      <c r="X277" s="18">
        <f t="shared" si="79"/>
        <v>0.10271805670624974</v>
      </c>
      <c r="Y277" s="18">
        <v>0.10271805670624974</v>
      </c>
      <c r="Z277" s="18">
        <v>0.89370335403291856</v>
      </c>
      <c r="AA277" s="18">
        <f t="shared" si="93"/>
        <v>-0.11238137762777188</v>
      </c>
      <c r="AB277" s="18">
        <f t="shared" si="94"/>
        <v>-0.10838514825767832</v>
      </c>
      <c r="AC277" s="18">
        <f t="shared" si="95"/>
        <v>-107.07176505444335</v>
      </c>
    </row>
    <row r="278" spans="1:29" x14ac:dyDescent="0.25">
      <c r="A278" s="13" t="str">
        <f t="shared" si="103"/>
        <v/>
      </c>
      <c r="B278" s="30">
        <f>IF(B277=$C$9,$C$6,IF(OR(ISNA(B277),B277=$C$6),NA(),Main!A245))</f>
        <v>244</v>
      </c>
      <c r="C278" s="29">
        <f>IF(ISNA(B278),NA(),IF(B278=$C$6,$C$19,Main!C245))</f>
        <v>0.31329999999999991</v>
      </c>
      <c r="D278" s="19">
        <f t="shared" si="104"/>
        <v>0.66485013623978206</v>
      </c>
      <c r="E278" s="18">
        <f t="shared" si="105"/>
        <v>0.89601365155702328</v>
      </c>
      <c r="F278" s="18">
        <f t="shared" si="106"/>
        <v>0.81845082057256957</v>
      </c>
      <c r="G278" s="18">
        <f t="shared" si="107"/>
        <v>0.26270116510510011</v>
      </c>
      <c r="H278" s="18">
        <f t="shared" si="108"/>
        <v>5.5417265431290117E-3</v>
      </c>
      <c r="I278" s="18">
        <f t="shared" si="83"/>
        <v>0.25558270213417256</v>
      </c>
      <c r="J278" s="18">
        <f t="shared" si="84"/>
        <v>0.26981962807602766</v>
      </c>
      <c r="K278" s="18">
        <f t="shared" si="85"/>
        <v>0.25355905355579689</v>
      </c>
      <c r="L278" s="18">
        <f t="shared" si="86"/>
        <v>0.27184327665440333</v>
      </c>
      <c r="M278" s="18">
        <f t="shared" si="87"/>
        <v>0.25180315715639423</v>
      </c>
      <c r="N278" s="18">
        <f t="shared" si="88"/>
        <v>0.27359917305380599</v>
      </c>
      <c r="O278" s="18">
        <f t="shared" si="89"/>
        <v>0.2483523561050256</v>
      </c>
      <c r="P278" s="18">
        <f t="shared" si="90"/>
        <v>0.27704997410517462</v>
      </c>
      <c r="Q278" s="18">
        <f t="shared" si="109"/>
        <v>0.81395795469227883</v>
      </c>
      <c r="R278" s="18">
        <f t="shared" si="80"/>
        <v>1.580624207971927</v>
      </c>
      <c r="S278" s="18">
        <f t="shared" si="81"/>
        <v>7.1657904882608085E-3</v>
      </c>
      <c r="T278" s="18">
        <f t="shared" si="91"/>
        <v>0.2486093760043456</v>
      </c>
      <c r="U278" s="18">
        <f t="shared" si="92"/>
        <v>0.27679295420585465</v>
      </c>
      <c r="V278" s="40" t="str">
        <f t="shared" si="82"/>
        <v>Y</v>
      </c>
      <c r="W278" s="18">
        <v>2.0967000000000002</v>
      </c>
      <c r="X278" s="18">
        <f t="shared" si="79"/>
        <v>0.10271805670624974</v>
      </c>
      <c r="Y278" s="18">
        <v>0.10271805670624974</v>
      </c>
      <c r="Z278" s="18">
        <v>0.89370335403291856</v>
      </c>
      <c r="AA278" s="18">
        <f t="shared" si="93"/>
        <v>-0.11238137762777188</v>
      </c>
      <c r="AB278" s="18">
        <f t="shared" si="94"/>
        <v>-0.10838514825767832</v>
      </c>
      <c r="AC278" s="18">
        <f t="shared" si="95"/>
        <v>-107.51329810621425</v>
      </c>
    </row>
    <row r="279" spans="1:29" x14ac:dyDescent="0.25">
      <c r="A279" s="13" t="str">
        <f t="shared" si="103"/>
        <v/>
      </c>
      <c r="B279" s="30">
        <f>IF(B278=$C$9,$C$6,IF(OR(ISNA(B278),B278=$C$6),NA(),Main!A246))</f>
        <v>245</v>
      </c>
      <c r="C279" s="29">
        <f>IF(ISNA(B279),NA(),IF(B279=$C$6,$C$19,Main!C246))</f>
        <v>0.31329999999999991</v>
      </c>
      <c r="D279" s="19">
        <f t="shared" si="104"/>
        <v>0.66757493188010897</v>
      </c>
      <c r="E279" s="18">
        <f t="shared" si="105"/>
        <v>0.90608390542908268</v>
      </c>
      <c r="F279" s="18">
        <f t="shared" si="106"/>
        <v>0.81845082057256957</v>
      </c>
      <c r="G279" s="18">
        <f t="shared" si="107"/>
        <v>0.26344544681131626</v>
      </c>
      <c r="H279" s="18">
        <f t="shared" si="108"/>
        <v>5.5635118450249694E-3</v>
      </c>
      <c r="I279" s="18">
        <f t="shared" si="83"/>
        <v>0.25629900016713275</v>
      </c>
      <c r="J279" s="18">
        <f t="shared" si="84"/>
        <v>0.27059189345549978</v>
      </c>
      <c r="K279" s="18">
        <f t="shared" si="85"/>
        <v>0.25426739634324497</v>
      </c>
      <c r="L279" s="18">
        <f t="shared" si="86"/>
        <v>0.27262349727938756</v>
      </c>
      <c r="M279" s="18">
        <f t="shared" si="87"/>
        <v>0.25250459726958346</v>
      </c>
      <c r="N279" s="18">
        <f t="shared" si="88"/>
        <v>0.27438629635304906</v>
      </c>
      <c r="O279" s="18">
        <f t="shared" si="89"/>
        <v>0.24904023063678424</v>
      </c>
      <c r="P279" s="18">
        <f t="shared" si="90"/>
        <v>0.27785066298584826</v>
      </c>
      <c r="Q279" s="18">
        <f t="shared" si="109"/>
        <v>0.81395795469227883</v>
      </c>
      <c r="R279" s="18">
        <f t="shared" si="80"/>
        <v>1.580624207971927</v>
      </c>
      <c r="S279" s="18">
        <f t="shared" si="81"/>
        <v>7.1657904882608085E-3</v>
      </c>
      <c r="T279" s="18">
        <f t="shared" si="91"/>
        <v>0.24935365771056175</v>
      </c>
      <c r="U279" s="18">
        <f t="shared" si="92"/>
        <v>0.2775372359120708</v>
      </c>
      <c r="V279" s="40" t="str">
        <f t="shared" si="82"/>
        <v>Y</v>
      </c>
      <c r="W279" s="18">
        <v>2.0967000000000002</v>
      </c>
      <c r="X279" s="18">
        <f t="shared" si="79"/>
        <v>0.10271805670624974</v>
      </c>
      <c r="Y279" s="18">
        <v>0.10271805670624974</v>
      </c>
      <c r="Z279" s="18">
        <v>0.89370335403291856</v>
      </c>
      <c r="AA279" s="18">
        <f t="shared" si="93"/>
        <v>-0.11238137762777188</v>
      </c>
      <c r="AB279" s="18">
        <f t="shared" si="94"/>
        <v>-0.10838514825767832</v>
      </c>
      <c r="AC279" s="18">
        <f t="shared" si="95"/>
        <v>-107.95483115798515</v>
      </c>
    </row>
    <row r="280" spans="1:29" x14ac:dyDescent="0.25">
      <c r="A280" s="13" t="str">
        <f t="shared" si="103"/>
        <v/>
      </c>
      <c r="B280" s="30">
        <f>IF(B279=$C$9,$C$6,IF(OR(ISNA(B279),B279=$C$6),NA(),Main!A247))</f>
        <v>246</v>
      </c>
      <c r="C280" s="29">
        <f>IF(ISNA(B280),NA(),IF(B280=$C$6,$C$19,Main!C247))</f>
        <v>0.31329999999999991</v>
      </c>
      <c r="D280" s="19">
        <f t="shared" si="104"/>
        <v>0.67029972752043598</v>
      </c>
      <c r="E280" s="18">
        <f t="shared" si="105"/>
        <v>0.91621495443981871</v>
      </c>
      <c r="F280" s="18">
        <f t="shared" si="106"/>
        <v>0.81845082057256957</v>
      </c>
      <c r="G280" s="18">
        <f t="shared" si="107"/>
        <v>0.26419422182128804</v>
      </c>
      <c r="H280" s="18">
        <f t="shared" si="108"/>
        <v>5.585509175163211E-3</v>
      </c>
      <c r="I280" s="18">
        <f t="shared" si="83"/>
        <v>0.25701951914916277</v>
      </c>
      <c r="J280" s="18">
        <f t="shared" si="84"/>
        <v>0.27136892449341332</v>
      </c>
      <c r="K280" s="18">
        <f t="shared" si="85"/>
        <v>0.25497988265431659</v>
      </c>
      <c r="L280" s="18">
        <f t="shared" si="86"/>
        <v>0.2734085609882595</v>
      </c>
      <c r="M280" s="18">
        <f t="shared" si="87"/>
        <v>0.25321011372523444</v>
      </c>
      <c r="N280" s="18">
        <f t="shared" si="88"/>
        <v>0.27517832991734165</v>
      </c>
      <c r="O280" s="18">
        <f t="shared" si="89"/>
        <v>0.24973204948224506</v>
      </c>
      <c r="P280" s="18">
        <f t="shared" si="90"/>
        <v>0.278656394160331</v>
      </c>
      <c r="Q280" s="18">
        <f t="shared" si="109"/>
        <v>0.81395795469227883</v>
      </c>
      <c r="R280" s="18">
        <f t="shared" si="80"/>
        <v>1.580624207971927</v>
      </c>
      <c r="S280" s="18">
        <f t="shared" si="81"/>
        <v>7.1657904882608085E-3</v>
      </c>
      <c r="T280" s="18">
        <f t="shared" si="91"/>
        <v>0.25010243272053351</v>
      </c>
      <c r="U280" s="18">
        <f t="shared" si="92"/>
        <v>0.27828601092204258</v>
      </c>
      <c r="V280" s="40" t="str">
        <f t="shared" si="82"/>
        <v>Y</v>
      </c>
      <c r="W280" s="18">
        <v>2.0967000000000002</v>
      </c>
      <c r="X280" s="18">
        <f t="shared" si="79"/>
        <v>0.10271805670624974</v>
      </c>
      <c r="Y280" s="18">
        <v>0.10271805670624974</v>
      </c>
      <c r="Z280" s="18">
        <v>0.89370335403291856</v>
      </c>
      <c r="AA280" s="18">
        <f t="shared" si="93"/>
        <v>-0.11238137762777188</v>
      </c>
      <c r="AB280" s="18">
        <f t="shared" si="94"/>
        <v>-0.10838514825767832</v>
      </c>
      <c r="AC280" s="18">
        <f t="shared" si="95"/>
        <v>-108.39636420975604</v>
      </c>
    </row>
    <row r="281" spans="1:29" x14ac:dyDescent="0.25">
      <c r="A281" s="13" t="str">
        <f t="shared" si="103"/>
        <v/>
      </c>
      <c r="B281" s="30">
        <f>IF(B280=$C$9,$C$6,IF(OR(ISNA(B280),B280=$C$6),NA(),Main!A248))</f>
        <v>247</v>
      </c>
      <c r="C281" s="29">
        <f>IF(ISNA(B281),NA(),IF(B281=$C$6,$C$19,Main!C248))</f>
        <v>0.31329999999999991</v>
      </c>
      <c r="D281" s="19">
        <f t="shared" si="104"/>
        <v>0.67302452316076289</v>
      </c>
      <c r="E281" s="18">
        <f t="shared" si="105"/>
        <v>0.92640796030180084</v>
      </c>
      <c r="F281" s="18">
        <f t="shared" si="106"/>
        <v>0.81845082057256957</v>
      </c>
      <c r="G281" s="18">
        <f t="shared" si="107"/>
        <v>0.26494757599595053</v>
      </c>
      <c r="H281" s="18">
        <f t="shared" si="108"/>
        <v>5.6077215645523463E-3</v>
      </c>
      <c r="I281" s="18">
        <f t="shared" si="83"/>
        <v>0.25774434104780408</v>
      </c>
      <c r="J281" s="18">
        <f t="shared" si="84"/>
        <v>0.27215081094409699</v>
      </c>
      <c r="K281" s="18">
        <f t="shared" si="85"/>
        <v>0.25569659334973277</v>
      </c>
      <c r="L281" s="18">
        <f t="shared" si="86"/>
        <v>0.2741985586421683</v>
      </c>
      <c r="M281" s="18">
        <f t="shared" si="87"/>
        <v>0.25391978642369301</v>
      </c>
      <c r="N281" s="18">
        <f t="shared" si="88"/>
        <v>0.27597536556820806</v>
      </c>
      <c r="O281" s="18">
        <f t="shared" si="89"/>
        <v>0.25042789065436233</v>
      </c>
      <c r="P281" s="18">
        <f t="shared" si="90"/>
        <v>0.27946726133753874</v>
      </c>
      <c r="Q281" s="18">
        <f t="shared" si="109"/>
        <v>0.81395795469227883</v>
      </c>
      <c r="R281" s="18">
        <f t="shared" si="80"/>
        <v>1.580624207971927</v>
      </c>
      <c r="S281" s="18">
        <f t="shared" si="81"/>
        <v>7.1657904882608085E-3</v>
      </c>
      <c r="T281" s="18">
        <f t="shared" si="91"/>
        <v>0.250855786895196</v>
      </c>
      <c r="U281" s="18">
        <f t="shared" si="92"/>
        <v>0.27903936509670507</v>
      </c>
      <c r="V281" s="40" t="str">
        <f t="shared" si="82"/>
        <v>Y</v>
      </c>
      <c r="W281" s="18">
        <v>2.0967000000000002</v>
      </c>
      <c r="X281" s="18">
        <f t="shared" si="79"/>
        <v>0.10271805670624974</v>
      </c>
      <c r="Y281" s="18">
        <v>0.10271805670624974</v>
      </c>
      <c r="Z281" s="18">
        <v>0.89370335403291856</v>
      </c>
      <c r="AA281" s="18">
        <f t="shared" si="93"/>
        <v>-0.11238137762777188</v>
      </c>
      <c r="AB281" s="18">
        <f t="shared" si="94"/>
        <v>-0.10838514825767832</v>
      </c>
      <c r="AC281" s="18">
        <f t="shared" si="95"/>
        <v>-108.83789726152695</v>
      </c>
    </row>
    <row r="282" spans="1:29" x14ac:dyDescent="0.25">
      <c r="A282" s="13" t="str">
        <f t="shared" si="103"/>
        <v/>
      </c>
      <c r="B282" s="30">
        <f>IF(B281=$C$9,$C$6,IF(OR(ISNA(B281),B281=$C$6),NA(),Main!A249))</f>
        <v>248</v>
      </c>
      <c r="C282" s="29">
        <f>IF(ISNA(B282),NA(),IF(B282=$C$6,$C$19,Main!C249))</f>
        <v>0.31329999999999991</v>
      </c>
      <c r="D282" s="19">
        <f t="shared" si="104"/>
        <v>0.6757493188010899</v>
      </c>
      <c r="E282" s="18">
        <f t="shared" si="105"/>
        <v>0.93666411220041212</v>
      </c>
      <c r="F282" s="18">
        <f t="shared" si="106"/>
        <v>0.81845082057256957</v>
      </c>
      <c r="G282" s="18">
        <f t="shared" si="107"/>
        <v>0.26570559722672504</v>
      </c>
      <c r="H282" s="18">
        <f t="shared" si="108"/>
        <v>5.6301521268173407E-3</v>
      </c>
      <c r="I282" s="18">
        <f t="shared" si="83"/>
        <v>0.25847354975496206</v>
      </c>
      <c r="J282" s="18">
        <f t="shared" si="84"/>
        <v>0.27293764469848802</v>
      </c>
      <c r="K282" s="18">
        <f t="shared" si="85"/>
        <v>0.25641761118440964</v>
      </c>
      <c r="L282" s="18">
        <f t="shared" si="86"/>
        <v>0.27499358326904044</v>
      </c>
      <c r="M282" s="18">
        <f t="shared" si="87"/>
        <v>0.25463369713332296</v>
      </c>
      <c r="N282" s="18">
        <f t="shared" si="88"/>
        <v>0.27677749732012713</v>
      </c>
      <c r="O282" s="18">
        <f t="shared" si="89"/>
        <v>0.2511278339826637</v>
      </c>
      <c r="P282" s="18">
        <f t="shared" si="90"/>
        <v>0.28028336047078639</v>
      </c>
      <c r="Q282" s="18">
        <f t="shared" si="109"/>
        <v>0.81395795469227883</v>
      </c>
      <c r="R282" s="18">
        <f t="shared" si="80"/>
        <v>1.580624207971927</v>
      </c>
      <c r="S282" s="18">
        <f t="shared" si="81"/>
        <v>7.1657904882608085E-3</v>
      </c>
      <c r="T282" s="18">
        <f t="shared" si="91"/>
        <v>0.25161380812597051</v>
      </c>
      <c r="U282" s="18">
        <f t="shared" si="92"/>
        <v>0.27979738632747958</v>
      </c>
      <c r="V282" s="40" t="str">
        <f t="shared" si="82"/>
        <v>Y</v>
      </c>
      <c r="W282" s="18">
        <v>2.0967000000000002</v>
      </c>
      <c r="X282" s="18">
        <f t="shared" si="79"/>
        <v>0.10271805670624974</v>
      </c>
      <c r="Y282" s="18">
        <v>0.10271805670624974</v>
      </c>
      <c r="Z282" s="18">
        <v>0.89370335403291856</v>
      </c>
      <c r="AA282" s="18">
        <f t="shared" si="93"/>
        <v>-0.11238137762777188</v>
      </c>
      <c r="AB282" s="18">
        <f t="shared" si="94"/>
        <v>-0.10838514825767832</v>
      </c>
      <c r="AC282" s="18">
        <f t="shared" si="95"/>
        <v>-109.27943031329785</v>
      </c>
    </row>
    <row r="283" spans="1:29" x14ac:dyDescent="0.25">
      <c r="A283" s="13" t="str">
        <f t="shared" si="103"/>
        <v/>
      </c>
      <c r="B283" s="30">
        <f>IF(B282=$C$9,$C$6,IF(OR(ISNA(B282),B282=$C$6),NA(),Main!A250))</f>
        <v>249</v>
      </c>
      <c r="C283" s="29">
        <f>IF(ISNA(B283),NA(),IF(B283=$C$6,$C$19,Main!C250))</f>
        <v>0.31329999999999991</v>
      </c>
      <c r="D283" s="19">
        <f t="shared" si="104"/>
        <v>0.67847411444141692</v>
      </c>
      <c r="E283" s="18">
        <f t="shared" si="105"/>
        <v>0.94698462774689862</v>
      </c>
      <c r="F283" s="18">
        <f t="shared" si="106"/>
        <v>0.81845082057256957</v>
      </c>
      <c r="G283" s="18">
        <f t="shared" si="107"/>
        <v>0.26646837550595803</v>
      </c>
      <c r="H283" s="18">
        <f t="shared" si="108"/>
        <v>5.6528040609204674E-3</v>
      </c>
      <c r="I283" s="18">
        <f t="shared" si="83"/>
        <v>0.25920723115384953</v>
      </c>
      <c r="J283" s="18">
        <f t="shared" si="84"/>
        <v>0.27372951985806654</v>
      </c>
      <c r="K283" s="18">
        <f t="shared" si="85"/>
        <v>0.25714302087340879</v>
      </c>
      <c r="L283" s="18">
        <f t="shared" si="86"/>
        <v>0.27579373013850728</v>
      </c>
      <c r="M283" s="18">
        <f t="shared" si="87"/>
        <v>0.25535192955559455</v>
      </c>
      <c r="N283" s="18">
        <f t="shared" si="88"/>
        <v>0.27758482145632152</v>
      </c>
      <c r="O283" s="18">
        <f t="shared" si="89"/>
        <v>0.25183196117664403</v>
      </c>
      <c r="P283" s="18">
        <f t="shared" si="90"/>
        <v>0.28110478983527204</v>
      </c>
      <c r="Q283" s="18">
        <f t="shared" si="109"/>
        <v>0.81395795469227883</v>
      </c>
      <c r="R283" s="18">
        <f t="shared" si="80"/>
        <v>1.580624207971927</v>
      </c>
      <c r="S283" s="18">
        <f t="shared" si="81"/>
        <v>7.1657904882608085E-3</v>
      </c>
      <c r="T283" s="18">
        <f t="shared" si="91"/>
        <v>0.2523765864052035</v>
      </c>
      <c r="U283" s="18">
        <f t="shared" si="92"/>
        <v>0.28056016460671257</v>
      </c>
      <c r="V283" s="40" t="str">
        <f t="shared" si="82"/>
        <v>Y</v>
      </c>
      <c r="W283" s="18">
        <v>2.0967000000000002</v>
      </c>
      <c r="X283" s="18">
        <f t="shared" si="79"/>
        <v>0.10271805670624974</v>
      </c>
      <c r="Y283" s="18">
        <v>0.10271805670624974</v>
      </c>
      <c r="Z283" s="18">
        <v>0.89370335403291856</v>
      </c>
      <c r="AA283" s="18">
        <f t="shared" si="93"/>
        <v>-0.11238137762777188</v>
      </c>
      <c r="AB283" s="18">
        <f t="shared" si="94"/>
        <v>-0.10838514825767832</v>
      </c>
      <c r="AC283" s="18">
        <f t="shared" si="95"/>
        <v>-109.72096336506876</v>
      </c>
    </row>
    <row r="284" spans="1:29" x14ac:dyDescent="0.25">
      <c r="A284" s="13" t="str">
        <f t="shared" si="103"/>
        <v/>
      </c>
      <c r="B284" s="30">
        <f>IF(B283=$C$9,$C$6,IF(OR(ISNA(B283),B283=$C$6),NA(),Main!A251))</f>
        <v>250</v>
      </c>
      <c r="C284" s="29">
        <f>IF(ISNA(B284),NA(),IF(B284=$C$6,$C$19,Main!C251))</f>
        <v>0.31329999999999991</v>
      </c>
      <c r="D284" s="19">
        <f t="shared" si="104"/>
        <v>0.68119891008174382</v>
      </c>
      <c r="E284" s="18">
        <f t="shared" si="105"/>
        <v>0.95737075397148563</v>
      </c>
      <c r="F284" s="18">
        <f t="shared" si="106"/>
        <v>0.81845082057256957</v>
      </c>
      <c r="G284" s="18">
        <f t="shared" si="107"/>
        <v>0.26723600300032141</v>
      </c>
      <c r="H284" s="18">
        <f t="shared" si="108"/>
        <v>5.6756806539993822E-3</v>
      </c>
      <c r="I284" s="18">
        <f t="shared" si="83"/>
        <v>0.25994547318874173</v>
      </c>
      <c r="J284" s="18">
        <f t="shared" si="84"/>
        <v>0.27452653281190109</v>
      </c>
      <c r="K284" s="18">
        <f t="shared" si="85"/>
        <v>0.25787290916065542</v>
      </c>
      <c r="L284" s="18">
        <f t="shared" si="86"/>
        <v>0.2765990968399874</v>
      </c>
      <c r="M284" s="18">
        <f t="shared" si="87"/>
        <v>0.25607456939290324</v>
      </c>
      <c r="N284" s="18">
        <f t="shared" si="88"/>
        <v>0.27839743660773958</v>
      </c>
      <c r="O284" s="18">
        <f t="shared" si="89"/>
        <v>0.25254035589181717</v>
      </c>
      <c r="P284" s="18">
        <f t="shared" si="90"/>
        <v>0.28193165010882565</v>
      </c>
      <c r="Q284" s="18">
        <f t="shared" si="109"/>
        <v>0.81395795469227883</v>
      </c>
      <c r="R284" s="18">
        <f t="shared" si="80"/>
        <v>1.580624207971927</v>
      </c>
      <c r="S284" s="18">
        <f t="shared" si="81"/>
        <v>7.1657904882608085E-3</v>
      </c>
      <c r="T284" s="18">
        <f t="shared" si="91"/>
        <v>0.25314421389956687</v>
      </c>
      <c r="U284" s="18">
        <f t="shared" si="92"/>
        <v>0.28132779210107595</v>
      </c>
      <c r="V284" s="40" t="str">
        <f t="shared" si="82"/>
        <v>Y</v>
      </c>
      <c r="W284" s="18">
        <v>2.0967000000000002</v>
      </c>
      <c r="X284" s="18">
        <f t="shared" si="79"/>
        <v>0.10271805670624974</v>
      </c>
      <c r="Y284" s="18">
        <v>0.10271805670624974</v>
      </c>
      <c r="Z284" s="18">
        <v>0.89370335403291856</v>
      </c>
      <c r="AA284" s="18">
        <f t="shared" si="93"/>
        <v>-0.11238137762777188</v>
      </c>
      <c r="AB284" s="18">
        <f t="shared" si="94"/>
        <v>-0.10838514825767832</v>
      </c>
      <c r="AC284" s="18">
        <f t="shared" si="95"/>
        <v>-110.16249641683966</v>
      </c>
    </row>
    <row r="285" spans="1:29" x14ac:dyDescent="0.25">
      <c r="A285" s="13" t="str">
        <f t="shared" si="103"/>
        <v/>
      </c>
      <c r="B285" s="30">
        <f>IF(B284=$C$9,$C$6,IF(OR(ISNA(B284),B284=$C$6),NA(),Main!A252))</f>
        <v>251</v>
      </c>
      <c r="C285" s="29">
        <f>IF(ISNA(B285),NA(),IF(B285=$C$6,$C$19,Main!C252))</f>
        <v>0.31329999999999991</v>
      </c>
      <c r="D285" s="19">
        <f t="shared" si="104"/>
        <v>0.68392370572207084</v>
      </c>
      <c r="E285" s="18">
        <f t="shared" si="105"/>
        <v>0.96782376835863415</v>
      </c>
      <c r="F285" s="18">
        <f t="shared" si="106"/>
        <v>0.81845082057256957</v>
      </c>
      <c r="G285" s="18">
        <f t="shared" si="107"/>
        <v>0.26800857412732693</v>
      </c>
      <c r="H285" s="18">
        <f t="shared" si="108"/>
        <v>5.6987852843283417E-3</v>
      </c>
      <c r="I285" s="18">
        <f t="shared" si="83"/>
        <v>0.26068836593768702</v>
      </c>
      <c r="J285" s="18">
        <f t="shared" si="84"/>
        <v>0.27532878231696684</v>
      </c>
      <c r="K285" s="18">
        <f t="shared" si="85"/>
        <v>0.25860736489056785</v>
      </c>
      <c r="L285" s="18">
        <f t="shared" si="86"/>
        <v>0.277409783364086</v>
      </c>
      <c r="M285" s="18">
        <f t="shared" si="87"/>
        <v>0.25680170441926081</v>
      </c>
      <c r="N285" s="18">
        <f t="shared" si="88"/>
        <v>0.27921544383539304</v>
      </c>
      <c r="O285" s="18">
        <f t="shared" si="89"/>
        <v>0.25325310379856314</v>
      </c>
      <c r="P285" s="18">
        <f t="shared" si="90"/>
        <v>0.28276404445609071</v>
      </c>
      <c r="Q285" s="18">
        <f t="shared" si="109"/>
        <v>0.81395795469227883</v>
      </c>
      <c r="R285" s="18">
        <f t="shared" si="80"/>
        <v>1.580624207971927</v>
      </c>
      <c r="S285" s="18">
        <f t="shared" si="81"/>
        <v>7.1657904882608085E-3</v>
      </c>
      <c r="T285" s="18">
        <f t="shared" si="91"/>
        <v>0.25391678502657239</v>
      </c>
      <c r="U285" s="18">
        <f t="shared" si="92"/>
        <v>0.28210036322808146</v>
      </c>
      <c r="V285" s="40" t="str">
        <f t="shared" si="82"/>
        <v>Y</v>
      </c>
      <c r="W285" s="18">
        <v>2.0967000000000002</v>
      </c>
      <c r="X285" s="18">
        <f t="shared" si="79"/>
        <v>0.10271805670624974</v>
      </c>
      <c r="Y285" s="18">
        <v>0.10271805670624974</v>
      </c>
      <c r="Z285" s="18">
        <v>0.89370335403291856</v>
      </c>
      <c r="AA285" s="18">
        <f t="shared" si="93"/>
        <v>-0.11238137762777188</v>
      </c>
      <c r="AB285" s="18">
        <f t="shared" si="94"/>
        <v>-0.10838514825767832</v>
      </c>
      <c r="AC285" s="18">
        <f t="shared" si="95"/>
        <v>-110.60402946861055</v>
      </c>
    </row>
    <row r="286" spans="1:29" x14ac:dyDescent="0.25">
      <c r="A286" s="13" t="str">
        <f t="shared" si="103"/>
        <v/>
      </c>
      <c r="B286" s="30">
        <f>IF(B285=$C$9,$C$6,IF(OR(ISNA(B285),B285=$C$6),NA(),Main!A253))</f>
        <v>252</v>
      </c>
      <c r="C286" s="29">
        <f>IF(ISNA(B286),NA(),IF(B286=$C$6,$C$19,Main!C253))</f>
        <v>0.31329999999999991</v>
      </c>
      <c r="D286" s="19">
        <f t="shared" si="104"/>
        <v>0.68664850136239786</v>
      </c>
      <c r="E286" s="18">
        <f t="shared" si="105"/>
        <v>0.97834497992663161</v>
      </c>
      <c r="F286" s="18">
        <f t="shared" si="106"/>
        <v>0.81845082057256957</v>
      </c>
      <c r="G286" s="18">
        <f t="shared" si="107"/>
        <v>0.26878618563511791</v>
      </c>
      <c r="H286" s="18">
        <f t="shared" si="108"/>
        <v>5.7221214244089413E-3</v>
      </c>
      <c r="I286" s="18">
        <f t="shared" si="83"/>
        <v>0.26143600168832803</v>
      </c>
      <c r="J286" s="18">
        <f t="shared" si="84"/>
        <v>0.27613636958190779</v>
      </c>
      <c r="K286" s="18">
        <f t="shared" si="85"/>
        <v>0.25934647908275027</v>
      </c>
      <c r="L286" s="18">
        <f t="shared" si="86"/>
        <v>0.27822589218748556</v>
      </c>
      <c r="M286" s="18">
        <f t="shared" si="87"/>
        <v>0.25753342455400924</v>
      </c>
      <c r="N286" s="18">
        <f t="shared" si="88"/>
        <v>0.28003894671622659</v>
      </c>
      <c r="O286" s="18">
        <f t="shared" si="89"/>
        <v>0.2539702926539173</v>
      </c>
      <c r="P286" s="18">
        <f t="shared" si="90"/>
        <v>0.28360207861631853</v>
      </c>
      <c r="Q286" s="18">
        <f t="shared" si="109"/>
        <v>0.81395795469227883</v>
      </c>
      <c r="R286" s="18">
        <f t="shared" si="80"/>
        <v>1.580624207971927</v>
      </c>
      <c r="S286" s="18">
        <f t="shared" si="81"/>
        <v>7.1657904882608085E-3</v>
      </c>
      <c r="T286" s="18">
        <f t="shared" si="91"/>
        <v>0.25469439653436338</v>
      </c>
      <c r="U286" s="18">
        <f t="shared" si="92"/>
        <v>0.28287797473587245</v>
      </c>
      <c r="V286" s="40" t="str">
        <f t="shared" si="82"/>
        <v>Y</v>
      </c>
      <c r="W286" s="18">
        <v>2.0967000000000002</v>
      </c>
      <c r="X286" s="18">
        <f t="shared" si="79"/>
        <v>0.10271805670624974</v>
      </c>
      <c r="Y286" s="18">
        <v>0.10271805670624974</v>
      </c>
      <c r="Z286" s="18">
        <v>0.89370335403291856</v>
      </c>
      <c r="AA286" s="18">
        <f t="shared" si="93"/>
        <v>-0.11238137762777188</v>
      </c>
      <c r="AB286" s="18">
        <f t="shared" si="94"/>
        <v>-0.10838514825767832</v>
      </c>
      <c r="AC286" s="18">
        <f t="shared" si="95"/>
        <v>-111.04556252038145</v>
      </c>
    </row>
    <row r="287" spans="1:29" x14ac:dyDescent="0.25">
      <c r="A287" s="13" t="str">
        <f t="shared" si="103"/>
        <v/>
      </c>
      <c r="B287" s="30">
        <f>IF(B286=$C$9,$C$6,IF(OR(ISNA(B286),B286=$C$6),NA(),Main!A254))</f>
        <v>253</v>
      </c>
      <c r="C287" s="29">
        <f>IF(ISNA(B287),NA(),IF(B287=$C$6,$C$19,Main!C254))</f>
        <v>0.31329999999999991</v>
      </c>
      <c r="D287" s="19">
        <f t="shared" si="104"/>
        <v>0.68937329700272476</v>
      </c>
      <c r="E287" s="18">
        <f t="shared" si="105"/>
        <v>0.98893573035386051</v>
      </c>
      <c r="F287" s="18">
        <f t="shared" si="106"/>
        <v>0.81845082057256957</v>
      </c>
      <c r="G287" s="18">
        <f t="shared" si="107"/>
        <v>0.26956893668571036</v>
      </c>
      <c r="H287" s="18">
        <f t="shared" si="108"/>
        <v>5.7456926441971871E-3</v>
      </c>
      <c r="I287" s="18">
        <f t="shared" si="83"/>
        <v>0.26218847501699821</v>
      </c>
      <c r="J287" s="18">
        <f t="shared" si="84"/>
        <v>0.2769493983544225</v>
      </c>
      <c r="K287" s="18">
        <f t="shared" si="85"/>
        <v>0.26009034500991046</v>
      </c>
      <c r="L287" s="18">
        <f t="shared" si="86"/>
        <v>0.27904752836151026</v>
      </c>
      <c r="M287" s="18">
        <f t="shared" si="87"/>
        <v>0.2582698219387155</v>
      </c>
      <c r="N287" s="18">
        <f t="shared" si="88"/>
        <v>0.28086805143270521</v>
      </c>
      <c r="O287" s="18">
        <f t="shared" si="89"/>
        <v>0.25469201237645556</v>
      </c>
      <c r="P287" s="18">
        <f t="shared" si="90"/>
        <v>0.28444586099496516</v>
      </c>
      <c r="Q287" s="18">
        <f t="shared" si="109"/>
        <v>0.81395795469227883</v>
      </c>
      <c r="R287" s="18">
        <f t="shared" si="80"/>
        <v>1.580624207971927</v>
      </c>
      <c r="S287" s="18">
        <f t="shared" si="81"/>
        <v>7.1657904882608085E-3</v>
      </c>
      <c r="T287" s="18">
        <f t="shared" si="91"/>
        <v>0.25547714758495582</v>
      </c>
      <c r="U287" s="18">
        <f t="shared" si="92"/>
        <v>0.2836607257864649</v>
      </c>
      <c r="V287" s="40" t="str">
        <f t="shared" si="82"/>
        <v>Y</v>
      </c>
      <c r="W287" s="18">
        <v>2.0967000000000002</v>
      </c>
      <c r="X287" s="18">
        <f t="shared" si="79"/>
        <v>0.10271805670624974</v>
      </c>
      <c r="Y287" s="18">
        <v>0.10271805670624974</v>
      </c>
      <c r="Z287" s="18">
        <v>0.89370335403291856</v>
      </c>
      <c r="AA287" s="18">
        <f t="shared" si="93"/>
        <v>-0.11238137762777188</v>
      </c>
      <c r="AB287" s="18">
        <f t="shared" si="94"/>
        <v>-0.10838514825767832</v>
      </c>
      <c r="AC287" s="18">
        <f t="shared" si="95"/>
        <v>-111.48709557215236</v>
      </c>
    </row>
    <row r="288" spans="1:29" x14ac:dyDescent="0.25">
      <c r="A288" s="13" t="str">
        <f t="shared" si="103"/>
        <v/>
      </c>
      <c r="B288" s="30">
        <f>IF(B287=$C$9,$C$6,IF(OR(ISNA(B287),B287=$C$6),NA(),Main!A255))</f>
        <v>254</v>
      </c>
      <c r="C288" s="29">
        <f>IF(ISNA(B288),NA(),IF(B288=$C$6,$C$19,Main!C255))</f>
        <v>0.31329999999999991</v>
      </c>
      <c r="D288" s="19">
        <f t="shared" si="104"/>
        <v>0.69209809264305178</v>
      </c>
      <c r="E288" s="18">
        <f t="shared" si="105"/>
        <v>0.99959739515421941</v>
      </c>
      <c r="F288" s="18">
        <f t="shared" si="106"/>
        <v>0.81845082057256957</v>
      </c>
      <c r="G288" s="18">
        <f t="shared" si="107"/>
        <v>0.27035692894186714</v>
      </c>
      <c r="H288" s="18">
        <f t="shared" si="108"/>
        <v>5.769502614474082E-3</v>
      </c>
      <c r="I288" s="18">
        <f t="shared" si="83"/>
        <v>0.2629458828712658</v>
      </c>
      <c r="J288" s="18">
        <f t="shared" si="84"/>
        <v>0.27776797501246847</v>
      </c>
      <c r="K288" s="18">
        <f t="shared" si="85"/>
        <v>0.26083905827917342</v>
      </c>
      <c r="L288" s="18">
        <f t="shared" si="86"/>
        <v>0.27987479960456085</v>
      </c>
      <c r="M288" s="18">
        <f t="shared" si="87"/>
        <v>0.25901099101741726</v>
      </c>
      <c r="N288" s="18">
        <f t="shared" si="88"/>
        <v>0.28170286686631701</v>
      </c>
      <c r="O288" s="18">
        <f t="shared" si="89"/>
        <v>0.25541835512444161</v>
      </c>
      <c r="P288" s="18">
        <f t="shared" si="90"/>
        <v>0.28529550275929266</v>
      </c>
      <c r="Q288" s="18">
        <f t="shared" si="109"/>
        <v>0.81395795469227883</v>
      </c>
      <c r="R288" s="18">
        <f t="shared" si="80"/>
        <v>1.580624207971927</v>
      </c>
      <c r="S288" s="18">
        <f t="shared" si="81"/>
        <v>7.1657904882608085E-3</v>
      </c>
      <c r="T288" s="18">
        <f t="shared" si="91"/>
        <v>0.2562651398411126</v>
      </c>
      <c r="U288" s="18">
        <f t="shared" si="92"/>
        <v>0.28444871804262167</v>
      </c>
      <c r="V288" s="40" t="str">
        <f t="shared" si="82"/>
        <v>Y</v>
      </c>
      <c r="W288" s="18">
        <v>2.0967000000000002</v>
      </c>
      <c r="X288" s="18">
        <f t="shared" si="79"/>
        <v>0.10271805670624974</v>
      </c>
      <c r="Y288" s="18">
        <v>0.10271805670624974</v>
      </c>
      <c r="Z288" s="18">
        <v>0.89370335403291856</v>
      </c>
      <c r="AA288" s="18">
        <f t="shared" si="93"/>
        <v>-0.11238137762777188</v>
      </c>
      <c r="AB288" s="18">
        <f t="shared" si="94"/>
        <v>-0.10838514825767832</v>
      </c>
      <c r="AC288" s="18">
        <f t="shared" si="95"/>
        <v>-111.92862862392326</v>
      </c>
    </row>
    <row r="289" spans="1:29" x14ac:dyDescent="0.25">
      <c r="A289" s="13" t="str">
        <f t="shared" si="103"/>
        <v/>
      </c>
      <c r="B289" s="30">
        <f>IF(B288=$C$9,$C$6,IF(OR(ISNA(B288),B288=$C$6),NA(),Main!A256))</f>
        <v>255</v>
      </c>
      <c r="C289" s="29">
        <f>IF(ISNA(B289),NA(),IF(B289=$C$6,$C$19,Main!C256))</f>
        <v>0.31329999999999991</v>
      </c>
      <c r="D289" s="19">
        <f t="shared" si="104"/>
        <v>0.69482288828337879</v>
      </c>
      <c r="E289" s="18">
        <f t="shared" si="105"/>
        <v>1.0103313849043229</v>
      </c>
      <c r="F289" s="18">
        <f t="shared" si="106"/>
        <v>0.81845082057256957</v>
      </c>
      <c r="G289" s="18">
        <f t="shared" si="107"/>
        <v>0.27115026665779896</v>
      </c>
      <c r="H289" s="18">
        <f t="shared" si="108"/>
        <v>5.7935551103673669E-3</v>
      </c>
      <c r="I289" s="18">
        <f t="shared" si="83"/>
        <v>0.26370832465611149</v>
      </c>
      <c r="J289" s="18">
        <f t="shared" si="84"/>
        <v>0.27859220865948642</v>
      </c>
      <c r="K289" s="18">
        <f t="shared" si="85"/>
        <v>0.26159271691697239</v>
      </c>
      <c r="L289" s="18">
        <f t="shared" si="86"/>
        <v>0.28070781639862552</v>
      </c>
      <c r="M289" s="18">
        <f t="shared" si="87"/>
        <v>0.25975702862039851</v>
      </c>
      <c r="N289" s="18">
        <f t="shared" si="88"/>
        <v>0.2825435046951994</v>
      </c>
      <c r="O289" s="18">
        <f t="shared" si="89"/>
        <v>0.25614941537740915</v>
      </c>
      <c r="P289" s="18">
        <f t="shared" si="90"/>
        <v>0.28615111793818876</v>
      </c>
      <c r="Q289" s="18">
        <f t="shared" si="109"/>
        <v>0.81395795469227883</v>
      </c>
      <c r="R289" s="18">
        <f t="shared" si="80"/>
        <v>1.580624207971927</v>
      </c>
      <c r="S289" s="18">
        <f t="shared" si="81"/>
        <v>7.1657904882608085E-3</v>
      </c>
      <c r="T289" s="18">
        <f t="shared" si="91"/>
        <v>0.25705847755704442</v>
      </c>
      <c r="U289" s="18">
        <f t="shared" si="92"/>
        <v>0.28524205575855349</v>
      </c>
      <c r="V289" s="40" t="str">
        <f t="shared" si="82"/>
        <v>Y</v>
      </c>
      <c r="W289" s="18">
        <v>2.0967000000000002</v>
      </c>
      <c r="X289" s="18">
        <f t="shared" si="79"/>
        <v>0.10271805670624974</v>
      </c>
      <c r="Y289" s="18">
        <v>0.10271805670624974</v>
      </c>
      <c r="Z289" s="18">
        <v>0.89370335403291856</v>
      </c>
      <c r="AA289" s="18">
        <f t="shared" si="93"/>
        <v>-0.11238137762777188</v>
      </c>
      <c r="AB289" s="18">
        <f t="shared" si="94"/>
        <v>-0.10838514825767832</v>
      </c>
      <c r="AC289" s="18">
        <f t="shared" si="95"/>
        <v>-112.37016167569415</v>
      </c>
    </row>
    <row r="290" spans="1:29" x14ac:dyDescent="0.25">
      <c r="A290" s="13" t="str">
        <f t="shared" si="103"/>
        <v/>
      </c>
      <c r="B290" s="30">
        <f>IF(B289=$C$9,$C$6,IF(OR(ISNA(B289),B289=$C$6),NA(),Main!A257))</f>
        <v>256</v>
      </c>
      <c r="C290" s="29">
        <f>IF(ISNA(B290),NA(),IF(B290=$C$6,$C$19,Main!C257))</f>
        <v>0.31329999999999991</v>
      </c>
      <c r="D290" s="19">
        <f t="shared" si="104"/>
        <v>0.6975476839237057</v>
      </c>
      <c r="E290" s="18">
        <f t="shared" si="105"/>
        <v>1.0211391465252881</v>
      </c>
      <c r="F290" s="18">
        <f t="shared" si="106"/>
        <v>0.81845082057256957</v>
      </c>
      <c r="G290" s="18">
        <f t="shared" si="107"/>
        <v>0.27194905677390002</v>
      </c>
      <c r="H290" s="18">
        <f t="shared" si="108"/>
        <v>5.8178540150325784E-3</v>
      </c>
      <c r="I290" s="18">
        <f t="shared" si="83"/>
        <v>0.26447590232393542</v>
      </c>
      <c r="J290" s="18">
        <f t="shared" si="84"/>
        <v>0.27942221122386462</v>
      </c>
      <c r="K290" s="18">
        <f t="shared" si="85"/>
        <v>0.26235142145771234</v>
      </c>
      <c r="L290" s="18">
        <f t="shared" si="86"/>
        <v>0.2815466920900877</v>
      </c>
      <c r="M290" s="18">
        <f t="shared" si="87"/>
        <v>0.26050803405168599</v>
      </c>
      <c r="N290" s="18">
        <f t="shared" si="88"/>
        <v>0.28339007949611406</v>
      </c>
      <c r="O290" s="18">
        <f t="shared" si="89"/>
        <v>0.25688529002136656</v>
      </c>
      <c r="P290" s="18">
        <f t="shared" si="90"/>
        <v>0.28701282352643348</v>
      </c>
      <c r="Q290" s="18">
        <f t="shared" si="109"/>
        <v>0.81395795469227883</v>
      </c>
      <c r="R290" s="18">
        <f t="shared" si="80"/>
        <v>1.580624207971927</v>
      </c>
      <c r="S290" s="18">
        <f t="shared" si="81"/>
        <v>7.1657904882608085E-3</v>
      </c>
      <c r="T290" s="18">
        <f t="shared" si="91"/>
        <v>0.25785726767314548</v>
      </c>
      <c r="U290" s="18">
        <f t="shared" si="92"/>
        <v>0.28604084587465456</v>
      </c>
      <c r="V290" s="40" t="str">
        <f t="shared" si="82"/>
        <v>Y</v>
      </c>
      <c r="W290" s="18">
        <v>2.0967000000000002</v>
      </c>
      <c r="X290" s="18">
        <f t="shared" si="79"/>
        <v>0.10271805670624974</v>
      </c>
      <c r="Y290" s="18">
        <v>0.10271805670624974</v>
      </c>
      <c r="Z290" s="18">
        <v>0.89370335403291856</v>
      </c>
      <c r="AA290" s="18">
        <f t="shared" si="93"/>
        <v>-0.11238137762777188</v>
      </c>
      <c r="AB290" s="18">
        <f t="shared" si="94"/>
        <v>-0.10838514825767832</v>
      </c>
      <c r="AC290" s="18">
        <f t="shared" si="95"/>
        <v>-112.81169472746505</v>
      </c>
    </row>
    <row r="291" spans="1:29" x14ac:dyDescent="0.25">
      <c r="A291" s="13" t="str">
        <f t="shared" si="103"/>
        <v/>
      </c>
      <c r="B291" s="30">
        <f>IF(B290=$C$9,$C$6,IF(OR(ISNA(B290),B290=$C$6),NA(),Main!A258))</f>
        <v>257</v>
      </c>
      <c r="C291" s="29">
        <f>IF(ISNA(B291),NA(),IF(B291=$C$6,$C$19,Main!C258))</f>
        <v>0.31329999999999991</v>
      </c>
      <c r="D291" s="19">
        <f t="shared" si="104"/>
        <v>0.70027247956403271</v>
      </c>
      <c r="E291" s="18">
        <f t="shared" si="105"/>
        <v>1.0320221646220757</v>
      </c>
      <c r="F291" s="18">
        <f t="shared" si="106"/>
        <v>0.81845082057256957</v>
      </c>
      <c r="G291" s="18">
        <f t="shared" si="107"/>
        <v>0.27275340901573697</v>
      </c>
      <c r="H291" s="18">
        <f t="shared" si="108"/>
        <v>5.8424033235020562E-3</v>
      </c>
      <c r="I291" s="18">
        <f t="shared" si="83"/>
        <v>0.26524872046860215</v>
      </c>
      <c r="J291" s="18">
        <f t="shared" si="84"/>
        <v>0.28025809756287179</v>
      </c>
      <c r="K291" s="18">
        <f t="shared" si="85"/>
        <v>0.26311527503640891</v>
      </c>
      <c r="L291" s="18">
        <f t="shared" si="86"/>
        <v>0.28239154299506503</v>
      </c>
      <c r="M291" s="18">
        <f t="shared" si="87"/>
        <v>0.26126410918046922</v>
      </c>
      <c r="N291" s="18">
        <f t="shared" si="88"/>
        <v>0.28424270885100472</v>
      </c>
      <c r="O291" s="18">
        <f t="shared" si="89"/>
        <v>0.25762607843781965</v>
      </c>
      <c r="P291" s="18">
        <f t="shared" si="90"/>
        <v>0.28788073959365429</v>
      </c>
      <c r="Q291" s="18">
        <f t="shared" si="109"/>
        <v>0.81395795469227883</v>
      </c>
      <c r="R291" s="18">
        <f t="shared" si="80"/>
        <v>1.580624207971927</v>
      </c>
      <c r="S291" s="18">
        <f t="shared" si="81"/>
        <v>7.1657904882608085E-3</v>
      </c>
      <c r="T291" s="18">
        <f t="shared" si="91"/>
        <v>0.25866161991498243</v>
      </c>
      <c r="U291" s="18">
        <f t="shared" si="92"/>
        <v>0.28684519811649151</v>
      </c>
      <c r="V291" s="40" t="str">
        <f t="shared" si="82"/>
        <v>Y</v>
      </c>
      <c r="W291" s="18">
        <v>2.0967000000000002</v>
      </c>
      <c r="X291" s="18">
        <f t="shared" ref="X291:X335" si="110">IF(OR(NOT(ISNUMBER(W291)),ISNA(B291)),"",(EXP(-EXP(-(W291-$C$28)/$C$29))))</f>
        <v>0.10271805670624974</v>
      </c>
      <c r="Y291" s="18">
        <v>0.10271805670624974</v>
      </c>
      <c r="Z291" s="18">
        <v>0.89370335403291856</v>
      </c>
      <c r="AA291" s="18">
        <f t="shared" si="93"/>
        <v>-0.11238137762777188</v>
      </c>
      <c r="AB291" s="18">
        <f t="shared" si="94"/>
        <v>-0.10838514825767832</v>
      </c>
      <c r="AC291" s="18">
        <f t="shared" si="95"/>
        <v>-113.25322777923596</v>
      </c>
    </row>
    <row r="292" spans="1:29" x14ac:dyDescent="0.25">
      <c r="A292" s="13" t="str">
        <f t="shared" si="103"/>
        <v/>
      </c>
      <c r="B292" s="30">
        <f>IF(B291=$C$9,$C$6,IF(OR(ISNA(B291),B291=$C$6),NA(),Main!A259))</f>
        <v>258</v>
      </c>
      <c r="C292" s="29">
        <f>IF(ISNA(B292),NA(),IF(B292=$C$6,$C$19,Main!C259))</f>
        <v>0.31329999999999991</v>
      </c>
      <c r="D292" s="19">
        <f t="shared" si="104"/>
        <v>0.70299727520435973</v>
      </c>
      <c r="E292" s="18">
        <f t="shared" si="105"/>
        <v>1.0429819628835468</v>
      </c>
      <c r="F292" s="18">
        <f t="shared" si="106"/>
        <v>0.81845082057256957</v>
      </c>
      <c r="G292" s="18">
        <f t="shared" si="107"/>
        <v>0.27356343599752586</v>
      </c>
      <c r="H292" s="18">
        <f t="shared" si="108"/>
        <v>5.8672071467110965E-3</v>
      </c>
      <c r="I292" s="18">
        <f t="shared" si="83"/>
        <v>0.26602688642374583</v>
      </c>
      <c r="J292" s="18">
        <f t="shared" si="84"/>
        <v>0.28109998557130589</v>
      </c>
      <c r="K292" s="18">
        <f t="shared" si="85"/>
        <v>0.26388438348552368</v>
      </c>
      <c r="L292" s="18">
        <f t="shared" si="86"/>
        <v>0.28324248850952805</v>
      </c>
      <c r="M292" s="18">
        <f t="shared" si="87"/>
        <v>0.26202535853665954</v>
      </c>
      <c r="N292" s="18">
        <f t="shared" si="88"/>
        <v>0.28510151345839219</v>
      </c>
      <c r="O292" s="18">
        <f t="shared" si="89"/>
        <v>0.25837188259682431</v>
      </c>
      <c r="P292" s="18">
        <f t="shared" si="90"/>
        <v>0.28875498939822741</v>
      </c>
      <c r="Q292" s="18">
        <f t="shared" si="109"/>
        <v>0.81395795469227883</v>
      </c>
      <c r="R292" s="18">
        <f t="shared" ref="R292:R335" si="111">IF(ISNA(B292),NA(),-LN(-LN(Q292)))</f>
        <v>1.580624207971927</v>
      </c>
      <c r="S292" s="18">
        <f t="shared" ref="S292:S335" si="112">IF(ISNA(B292),NA(),$C$16*SQRT((1.109+0.514*R292+0.608*R292^2)/$C$9))</f>
        <v>7.1657904882608085E-3</v>
      </c>
      <c r="T292" s="18">
        <f t="shared" si="91"/>
        <v>0.25947164689677132</v>
      </c>
      <c r="U292" s="18">
        <f t="shared" si="92"/>
        <v>0.2876552250982804</v>
      </c>
      <c r="V292" s="40" t="str">
        <f t="shared" ref="V292:V335" si="113">IF(V291="","",IF(B292&lt;N,"Y",""))</f>
        <v>Y</v>
      </c>
      <c r="W292" s="18">
        <v>2.0967000000000002</v>
      </c>
      <c r="X292" s="18">
        <f t="shared" si="110"/>
        <v>0.10271805670624974</v>
      </c>
      <c r="Y292" s="18">
        <v>0.10271805670624974</v>
      </c>
      <c r="Z292" s="18">
        <v>0.89370335403291856</v>
      </c>
      <c r="AA292" s="18">
        <f t="shared" si="93"/>
        <v>-0.11238137762777188</v>
      </c>
      <c r="AB292" s="18">
        <f t="shared" si="94"/>
        <v>-0.10838514825767832</v>
      </c>
      <c r="AC292" s="18">
        <f t="shared" si="95"/>
        <v>-113.69476083100686</v>
      </c>
    </row>
    <row r="293" spans="1:29" x14ac:dyDescent="0.25">
      <c r="A293" s="13" t="str">
        <f t="shared" si="103"/>
        <v/>
      </c>
      <c r="B293" s="30">
        <f>IF(B292=$C$9,$C$6,IF(OR(ISNA(B292),B292=$C$6),NA(),Main!A260))</f>
        <v>259</v>
      </c>
      <c r="C293" s="29">
        <f>IF(ISNA(B293),NA(),IF(B293=$C$6,$C$19,Main!C260))</f>
        <v>0.31329999999999991</v>
      </c>
      <c r="D293" s="19">
        <f t="shared" si="104"/>
        <v>0.70572207084468663</v>
      </c>
      <c r="E293" s="18">
        <f t="shared" si="105"/>
        <v>1.0540201055466094</v>
      </c>
      <c r="F293" s="18">
        <f t="shared" si="106"/>
        <v>0.81845082057256957</v>
      </c>
      <c r="G293" s="18">
        <f t="shared" si="107"/>
        <v>0.27437925333034563</v>
      </c>
      <c r="H293" s="18">
        <f t="shared" si="108"/>
        <v>5.8922697157110611E-3</v>
      </c>
      <c r="I293" s="18">
        <f t="shared" ref="I293:I335" si="114">IF(ISNA(B293),NA(),G293-$C$10*H293)</f>
        <v>0.26681051036557202</v>
      </c>
      <c r="J293" s="18">
        <f t="shared" ref="J293:J335" si="115">IF(ISNA(B293),NA(),G293+$C$10*H293)</f>
        <v>0.28194799629511924</v>
      </c>
      <c r="K293" s="18">
        <f t="shared" ref="K293:K335" si="116">IF(ISNA(B293),NA(),G293-$C$11*H293)</f>
        <v>0.26465885543622714</v>
      </c>
      <c r="L293" s="18">
        <f t="shared" ref="L293:L335" si="117">IF(ISNA(B293),NA(),G293+$C$11*H293)</f>
        <v>0.28409965122446412</v>
      </c>
      <c r="M293" s="18">
        <f t="shared" ref="M293:M335" si="118">IF(ISNA(B293),NA(),G293-$C$12*H293)</f>
        <v>0.26279188941081866</v>
      </c>
      <c r="N293" s="18">
        <f t="shared" ref="N293:N335" si="119">IF(ISNA(B293),NA(),G293+$C$12*H293)</f>
        <v>0.2859666172498726</v>
      </c>
      <c r="O293" s="18">
        <f t="shared" ref="O293:O335" si="120">IF(ISNA(B293),NA(),G293-$C$13*H293)</f>
        <v>0.25912280715429092</v>
      </c>
      <c r="P293" s="18">
        <f t="shared" ref="P293:P335" si="121">IF(ISNA(B293),NA(),G293+$C$13*H293)</f>
        <v>0.28963569950640033</v>
      </c>
      <c r="Q293" s="18">
        <f t="shared" si="109"/>
        <v>0.81395795469227883</v>
      </c>
      <c r="R293" s="18">
        <f t="shared" si="111"/>
        <v>1.580624207971927</v>
      </c>
      <c r="S293" s="18">
        <f t="shared" si="112"/>
        <v>7.1657904882608085E-3</v>
      </c>
      <c r="T293" s="18">
        <f t="shared" ref="T293:T335" si="122">IF(ISNA(B293),NA(),G293-$C$12*S293)</f>
        <v>0.26028746422959109</v>
      </c>
      <c r="U293" s="18">
        <f t="shared" ref="U293:U335" si="123">IF(ISNA(B293),NA(),G293+$C$12*S293)</f>
        <v>0.28847104243110017</v>
      </c>
      <c r="V293" s="40" t="str">
        <f t="shared" si="113"/>
        <v>Y</v>
      </c>
      <c r="W293" s="18">
        <v>2.0967000000000002</v>
      </c>
      <c r="X293" s="18">
        <f t="shared" si="110"/>
        <v>0.10271805670624974</v>
      </c>
      <c r="Y293" s="18">
        <v>0.10271805670624974</v>
      </c>
      <c r="Z293" s="18">
        <v>0.89370335403291856</v>
      </c>
      <c r="AA293" s="18">
        <f t="shared" ref="AA293:AA335" si="124">IF(OR(NOT(ISNUMBER(W293)),ISNA(B293)),"",LN(Z293))</f>
        <v>-0.11238137762777188</v>
      </c>
      <c r="AB293" s="18">
        <f t="shared" ref="AB293:AB335" si="125">IF(OR(NOT(ISNUMBER(W293)),ISNA(B293)),"",LN(1-Y293))</f>
        <v>-0.10838514825767832</v>
      </c>
      <c r="AC293" s="18">
        <f t="shared" ref="AC293:AC335" si="126">IF(OR(NOT(ISNUMBER(W293)),ISNA(B293)),"",(2*B293-1)*(AA293+AB293))</f>
        <v>-114.13629388277775</v>
      </c>
    </row>
    <row r="294" spans="1:29" x14ac:dyDescent="0.25">
      <c r="A294" s="13" t="str">
        <f t="shared" si="103"/>
        <v/>
      </c>
      <c r="B294" s="30">
        <f>IF(B293=$C$9,$C$6,IF(OR(ISNA(B293),B293=$C$6),NA(),Main!A261))</f>
        <v>260</v>
      </c>
      <c r="C294" s="29">
        <f>IF(ISNA(B294),NA(),IF(B294=$C$6,$C$19,Main!C261))</f>
        <v>0.31329999999999991</v>
      </c>
      <c r="D294" s="19">
        <f t="shared" si="104"/>
        <v>0.70844686648501365</v>
      </c>
      <c r="E294" s="18">
        <f t="shared" si="105"/>
        <v>1.0651381989280417</v>
      </c>
      <c r="F294" s="18">
        <f t="shared" si="106"/>
        <v>0.81845082057256957</v>
      </c>
      <c r="G294" s="18">
        <f t="shared" si="107"/>
        <v>0.27520097973535335</v>
      </c>
      <c r="H294" s="18">
        <f t="shared" si="108"/>
        <v>5.9175953860798932E-3</v>
      </c>
      <c r="I294" s="18">
        <f t="shared" si="114"/>
        <v>0.26759970542040729</v>
      </c>
      <c r="J294" s="18">
        <f t="shared" si="115"/>
        <v>0.28280225405029941</v>
      </c>
      <c r="K294" s="18">
        <f t="shared" si="116"/>
        <v>0.26543880242433815</v>
      </c>
      <c r="L294" s="18">
        <f t="shared" si="117"/>
        <v>0.28496315704636854</v>
      </c>
      <c r="M294" s="18">
        <f t="shared" si="118"/>
        <v>0.26356381195870027</v>
      </c>
      <c r="N294" s="18">
        <f t="shared" si="119"/>
        <v>0.28683814751200643</v>
      </c>
      <c r="O294" s="18">
        <f t="shared" si="120"/>
        <v>0.25987895955378015</v>
      </c>
      <c r="P294" s="18">
        <f t="shared" si="121"/>
        <v>0.29052299991692654</v>
      </c>
      <c r="Q294" s="18">
        <f t="shared" si="109"/>
        <v>0.81395795469227883</v>
      </c>
      <c r="R294" s="18">
        <f t="shared" si="111"/>
        <v>1.580624207971927</v>
      </c>
      <c r="S294" s="18">
        <f t="shared" si="112"/>
        <v>7.1657904882608085E-3</v>
      </c>
      <c r="T294" s="18">
        <f t="shared" si="122"/>
        <v>0.26110919063459881</v>
      </c>
      <c r="U294" s="18">
        <f t="shared" si="123"/>
        <v>0.28929276883610788</v>
      </c>
      <c r="V294" s="40" t="str">
        <f t="shared" si="113"/>
        <v>Y</v>
      </c>
      <c r="W294" s="18">
        <v>2.0967000000000002</v>
      </c>
      <c r="X294" s="18">
        <f t="shared" si="110"/>
        <v>0.10271805670624974</v>
      </c>
      <c r="Y294" s="18">
        <v>0.10271805670624974</v>
      </c>
      <c r="Z294" s="18">
        <v>0.89370335403291856</v>
      </c>
      <c r="AA294" s="18">
        <f t="shared" si="124"/>
        <v>-0.11238137762777188</v>
      </c>
      <c r="AB294" s="18">
        <f t="shared" si="125"/>
        <v>-0.10838514825767832</v>
      </c>
      <c r="AC294" s="18">
        <f t="shared" si="126"/>
        <v>-114.57782693454865</v>
      </c>
    </row>
    <row r="295" spans="1:29" x14ac:dyDescent="0.25">
      <c r="A295" s="13" t="str">
        <f t="shared" si="103"/>
        <v/>
      </c>
      <c r="B295" s="30">
        <f>IF(B294=$C$9,$C$6,IF(OR(ISNA(B294),B294=$C$6),NA(),Main!A262))</f>
        <v>261</v>
      </c>
      <c r="C295" s="29">
        <f>IF(ISNA(B295),NA(),IF(B295=$C$6,$C$19,Main!C262))</f>
        <v>0.31329999999999991</v>
      </c>
      <c r="D295" s="19">
        <f t="shared" si="104"/>
        <v>0.71117166212534055</v>
      </c>
      <c r="E295" s="18">
        <f t="shared" si="105"/>
        <v>1.0763378930278038</v>
      </c>
      <c r="F295" s="18">
        <f t="shared" si="106"/>
        <v>0.81845082057256957</v>
      </c>
      <c r="G295" s="18">
        <f t="shared" si="107"/>
        <v>0.27602873716228354</v>
      </c>
      <c r="H295" s="18">
        <f t="shared" si="108"/>
        <v>5.943188642541117E-3</v>
      </c>
      <c r="I295" s="18">
        <f t="shared" si="114"/>
        <v>0.2683945877772656</v>
      </c>
      <c r="J295" s="18">
        <f t="shared" si="115"/>
        <v>0.28366288654730148</v>
      </c>
      <c r="K295" s="18">
        <f t="shared" si="116"/>
        <v>0.2662243390012034</v>
      </c>
      <c r="L295" s="18">
        <f t="shared" si="117"/>
        <v>0.28583313532336369</v>
      </c>
      <c r="M295" s="18">
        <f t="shared" si="118"/>
        <v>0.26434123931066611</v>
      </c>
      <c r="N295" s="18">
        <f t="shared" si="119"/>
        <v>0.28771623501390098</v>
      </c>
      <c r="O295" s="18">
        <f t="shared" si="120"/>
        <v>0.26064045013304221</v>
      </c>
      <c r="P295" s="18">
        <f t="shared" si="121"/>
        <v>0.29141702419152488</v>
      </c>
      <c r="Q295" s="18">
        <f t="shared" si="109"/>
        <v>0.81395795469227883</v>
      </c>
      <c r="R295" s="18">
        <f t="shared" si="111"/>
        <v>1.580624207971927</v>
      </c>
      <c r="S295" s="18">
        <f t="shared" si="112"/>
        <v>7.1657904882608085E-3</v>
      </c>
      <c r="T295" s="18">
        <f t="shared" si="122"/>
        <v>0.26193694806152901</v>
      </c>
      <c r="U295" s="18">
        <f t="shared" si="123"/>
        <v>0.29012052626303808</v>
      </c>
      <c r="V295" s="40" t="str">
        <f t="shared" si="113"/>
        <v>Y</v>
      </c>
      <c r="W295" s="18">
        <v>2.0967000000000002</v>
      </c>
      <c r="X295" s="18">
        <f t="shared" si="110"/>
        <v>0.10271805670624974</v>
      </c>
      <c r="Y295" s="18">
        <v>0.10271805670624974</v>
      </c>
      <c r="Z295" s="18">
        <v>0.89370335403291856</v>
      </c>
      <c r="AA295" s="18">
        <f t="shared" si="124"/>
        <v>-0.11238137762777188</v>
      </c>
      <c r="AB295" s="18">
        <f t="shared" si="125"/>
        <v>-0.10838514825767832</v>
      </c>
      <c r="AC295" s="18">
        <f t="shared" si="126"/>
        <v>-115.01935998631956</v>
      </c>
    </row>
    <row r="296" spans="1:29" x14ac:dyDescent="0.25">
      <c r="A296" s="13" t="str">
        <f t="shared" si="103"/>
        <v/>
      </c>
      <c r="B296" s="30">
        <f>IF(B295=$C$9,$C$6,IF(OR(ISNA(B295),B295=$C$6),NA(),Main!A263))</f>
        <v>262</v>
      </c>
      <c r="C296" s="29">
        <f>IF(ISNA(B296),NA(),IF(B296=$C$6,$C$19,Main!C263))</f>
        <v>0.31329999999999991</v>
      </c>
      <c r="D296" s="19">
        <f t="shared" si="104"/>
        <v>0.71389645776566757</v>
      </c>
      <c r="E296" s="18">
        <f t="shared" si="105"/>
        <v>1.087620883207931</v>
      </c>
      <c r="F296" s="18">
        <f t="shared" si="106"/>
        <v>0.81845082057256957</v>
      </c>
      <c r="G296" s="18">
        <f t="shared" si="107"/>
        <v>0.27686265091353313</v>
      </c>
      <c r="H296" s="18">
        <f t="shared" si="108"/>
        <v>5.9690541038032513E-3</v>
      </c>
      <c r="I296" s="18">
        <f t="shared" si="114"/>
        <v>0.2691952768057167</v>
      </c>
      <c r="J296" s="18">
        <f t="shared" si="115"/>
        <v>0.28453002502134955</v>
      </c>
      <c r="K296" s="18">
        <f t="shared" si="116"/>
        <v>0.26701558284979859</v>
      </c>
      <c r="L296" s="18">
        <f t="shared" si="117"/>
        <v>0.28670971897726766</v>
      </c>
      <c r="M296" s="18">
        <f t="shared" si="118"/>
        <v>0.26512428768625379</v>
      </c>
      <c r="N296" s="18">
        <f t="shared" si="119"/>
        <v>0.28860101414081246</v>
      </c>
      <c r="O296" s="18">
        <f t="shared" si="120"/>
        <v>0.26140739223557169</v>
      </c>
      <c r="P296" s="18">
        <f t="shared" si="121"/>
        <v>0.29231790959149456</v>
      </c>
      <c r="Q296" s="18">
        <f t="shared" si="109"/>
        <v>0.81395795469227883</v>
      </c>
      <c r="R296" s="18">
        <f t="shared" si="111"/>
        <v>1.580624207971927</v>
      </c>
      <c r="S296" s="18">
        <f t="shared" si="112"/>
        <v>7.1657904882608085E-3</v>
      </c>
      <c r="T296" s="18">
        <f t="shared" si="122"/>
        <v>0.26277086181277859</v>
      </c>
      <c r="U296" s="18">
        <f t="shared" si="123"/>
        <v>0.29095444001428766</v>
      </c>
      <c r="V296" s="40" t="str">
        <f t="shared" si="113"/>
        <v>Y</v>
      </c>
      <c r="W296" s="18">
        <v>2.0967000000000002</v>
      </c>
      <c r="X296" s="18">
        <f t="shared" si="110"/>
        <v>0.10271805670624974</v>
      </c>
      <c r="Y296" s="18">
        <v>0.10271805670624974</v>
      </c>
      <c r="Z296" s="18">
        <v>0.89370335403291856</v>
      </c>
      <c r="AA296" s="18">
        <f t="shared" si="124"/>
        <v>-0.11238137762777188</v>
      </c>
      <c r="AB296" s="18">
        <f t="shared" si="125"/>
        <v>-0.10838514825767832</v>
      </c>
      <c r="AC296" s="18">
        <f t="shared" si="126"/>
        <v>-115.46089303809046</v>
      </c>
    </row>
    <row r="297" spans="1:29" x14ac:dyDescent="0.25">
      <c r="A297" s="13" t="str">
        <f t="shared" si="103"/>
        <v/>
      </c>
      <c r="B297" s="30">
        <f>IF(B296=$C$9,$C$6,IF(OR(ISNA(B296),B296=$C$6),NA(),Main!A264))</f>
        <v>263</v>
      </c>
      <c r="C297" s="29">
        <f>IF(ISNA(B297),NA(),IF(B297=$C$6,$C$19,Main!C264))</f>
        <v>0.31329999999999991</v>
      </c>
      <c r="D297" s="19">
        <f t="shared" si="104"/>
        <v>0.71662125340599458</v>
      </c>
      <c r="E297" s="18">
        <f t="shared" si="105"/>
        <v>1.0989889119513385</v>
      </c>
      <c r="F297" s="18">
        <f t="shared" si="106"/>
        <v>0.81845082057256957</v>
      </c>
      <c r="G297" s="18">
        <f t="shared" si="107"/>
        <v>0.27770284977415305</v>
      </c>
      <c r="H297" s="18">
        <f t="shared" si="108"/>
        <v>5.9951965276322473E-3</v>
      </c>
      <c r="I297" s="18">
        <f t="shared" si="114"/>
        <v>0.27000189517936224</v>
      </c>
      <c r="J297" s="18">
        <f t="shared" si="115"/>
        <v>0.28540380436894386</v>
      </c>
      <c r="K297" s="18">
        <f t="shared" si="116"/>
        <v>0.26781265490635237</v>
      </c>
      <c r="L297" s="18">
        <f t="shared" si="117"/>
        <v>0.28759304464195373</v>
      </c>
      <c r="M297" s="18">
        <f t="shared" si="118"/>
        <v>0.26591307651419355</v>
      </c>
      <c r="N297" s="18">
        <f t="shared" si="119"/>
        <v>0.28949262303411255</v>
      </c>
      <c r="O297" s="18">
        <f t="shared" si="120"/>
        <v>0.26217990232746552</v>
      </c>
      <c r="P297" s="18">
        <f t="shared" si="121"/>
        <v>0.29322579722084058</v>
      </c>
      <c r="Q297" s="18">
        <f t="shared" si="109"/>
        <v>0.81395795469227883</v>
      </c>
      <c r="R297" s="18">
        <f t="shared" si="111"/>
        <v>1.580624207971927</v>
      </c>
      <c r="S297" s="18">
        <f t="shared" si="112"/>
        <v>7.1657904882608085E-3</v>
      </c>
      <c r="T297" s="18">
        <f t="shared" si="122"/>
        <v>0.26361106067339851</v>
      </c>
      <c r="U297" s="18">
        <f t="shared" si="123"/>
        <v>0.29179463887490759</v>
      </c>
      <c r="V297" s="40" t="str">
        <f t="shared" si="113"/>
        <v>Y</v>
      </c>
      <c r="W297" s="18">
        <v>2.0967000000000002</v>
      </c>
      <c r="X297" s="18">
        <f t="shared" si="110"/>
        <v>0.10271805670624974</v>
      </c>
      <c r="Y297" s="18">
        <v>0.10271805670624974</v>
      </c>
      <c r="Z297" s="18">
        <v>0.89370335403291856</v>
      </c>
      <c r="AA297" s="18">
        <f t="shared" si="124"/>
        <v>-0.11238137762777188</v>
      </c>
      <c r="AB297" s="18">
        <f t="shared" si="125"/>
        <v>-0.10838514825767832</v>
      </c>
      <c r="AC297" s="18">
        <f t="shared" si="126"/>
        <v>-115.90242608986135</v>
      </c>
    </row>
    <row r="298" spans="1:29" x14ac:dyDescent="0.25">
      <c r="A298" s="13" t="str">
        <f t="shared" si="103"/>
        <v/>
      </c>
      <c r="B298" s="30">
        <f>IF(B297=$C$9,$C$6,IF(OR(ISNA(B297),B297=$C$6),NA(),Main!A265))</f>
        <v>264</v>
      </c>
      <c r="C298" s="29">
        <f>IF(ISNA(B298),NA(),IF(B298=$C$6,$C$19,Main!C265))</f>
        <v>0.31329999999999991</v>
      </c>
      <c r="D298" s="19">
        <f t="shared" si="104"/>
        <v>0.71934604904632149</v>
      </c>
      <c r="E298" s="18">
        <f t="shared" si="105"/>
        <v>1.1104437707051966</v>
      </c>
      <c r="F298" s="18">
        <f t="shared" si="106"/>
        <v>0.81845082057256957</v>
      </c>
      <c r="G298" s="18">
        <f t="shared" si="107"/>
        <v>0.27854946614808984</v>
      </c>
      <c r="H298" s="18">
        <f t="shared" si="108"/>
        <v>6.021620816170495E-3</v>
      </c>
      <c r="I298" s="18">
        <f t="shared" si="114"/>
        <v>0.27081456900524498</v>
      </c>
      <c r="J298" s="18">
        <f t="shared" si="115"/>
        <v>0.28628436329093471</v>
      </c>
      <c r="K298" s="18">
        <f t="shared" si="116"/>
        <v>0.26861567948781301</v>
      </c>
      <c r="L298" s="18">
        <f t="shared" si="117"/>
        <v>0.28848325280836667</v>
      </c>
      <c r="M298" s="18">
        <f t="shared" si="118"/>
        <v>0.26670772855818958</v>
      </c>
      <c r="N298" s="18">
        <f t="shared" si="119"/>
        <v>0.2903912037379901</v>
      </c>
      <c r="O298" s="18">
        <f t="shared" si="120"/>
        <v>0.26295810011989212</v>
      </c>
      <c r="P298" s="18">
        <f t="shared" si="121"/>
        <v>0.29414083217628756</v>
      </c>
      <c r="Q298" s="18">
        <f t="shared" si="109"/>
        <v>0.81395795469227883</v>
      </c>
      <c r="R298" s="18">
        <f t="shared" si="111"/>
        <v>1.580624207971927</v>
      </c>
      <c r="S298" s="18">
        <f t="shared" si="112"/>
        <v>7.1657904882608085E-3</v>
      </c>
      <c r="T298" s="18">
        <f t="shared" si="122"/>
        <v>0.2644576770473353</v>
      </c>
      <c r="U298" s="18">
        <f t="shared" si="123"/>
        <v>0.29264125524884438</v>
      </c>
      <c r="V298" s="40" t="str">
        <f t="shared" si="113"/>
        <v>Y</v>
      </c>
      <c r="W298" s="18">
        <v>2.0967000000000002</v>
      </c>
      <c r="X298" s="18">
        <f t="shared" si="110"/>
        <v>0.10271805670624974</v>
      </c>
      <c r="Y298" s="18">
        <v>0.10271805670624974</v>
      </c>
      <c r="Z298" s="18">
        <v>0.89370335403291856</v>
      </c>
      <c r="AA298" s="18">
        <f t="shared" si="124"/>
        <v>-0.11238137762777188</v>
      </c>
      <c r="AB298" s="18">
        <f t="shared" si="125"/>
        <v>-0.10838514825767832</v>
      </c>
      <c r="AC298" s="18">
        <f t="shared" si="126"/>
        <v>-116.34395914163225</v>
      </c>
    </row>
    <row r="299" spans="1:29" x14ac:dyDescent="0.25">
      <c r="A299" s="13" t="str">
        <f t="shared" si="103"/>
        <v/>
      </c>
      <c r="B299" s="30">
        <f>IF(B298=$C$9,$C$6,IF(OR(ISNA(B298),B298=$C$6),NA(),Main!A266))</f>
        <v>265</v>
      </c>
      <c r="C299" s="29">
        <f>IF(ISNA(B299),NA(),IF(B299=$C$6,$C$19,Main!C266))</f>
        <v>0.31329999999999991</v>
      </c>
      <c r="D299" s="19">
        <f t="shared" si="104"/>
        <v>0.72207084468664851</v>
      </c>
      <c r="E299" s="18">
        <f t="shared" si="105"/>
        <v>1.1219873018138251</v>
      </c>
      <c r="F299" s="18">
        <f t="shared" si="106"/>
        <v>0.81845082057256957</v>
      </c>
      <c r="G299" s="18">
        <f t="shared" si="107"/>
        <v>0.27940263620104427</v>
      </c>
      <c r="H299" s="18">
        <f t="shared" si="108"/>
        <v>6.0483320215168378E-3</v>
      </c>
      <c r="I299" s="18">
        <f t="shared" si="114"/>
        <v>0.27163342795953965</v>
      </c>
      <c r="J299" s="18">
        <f t="shared" si="115"/>
        <v>0.2871718444425489</v>
      </c>
      <c r="K299" s="18">
        <f t="shared" si="116"/>
        <v>0.26942478442550194</v>
      </c>
      <c r="L299" s="18">
        <f t="shared" si="117"/>
        <v>0.28938048797658661</v>
      </c>
      <c r="M299" s="18">
        <f t="shared" si="118"/>
        <v>0.26750837004880545</v>
      </c>
      <c r="N299" s="18">
        <f t="shared" si="119"/>
        <v>0.29129690235328309</v>
      </c>
      <c r="O299" s="18">
        <f t="shared" si="120"/>
        <v>0.26374210869750242</v>
      </c>
      <c r="P299" s="18">
        <f t="shared" si="121"/>
        <v>0.29506316370458613</v>
      </c>
      <c r="Q299" s="18">
        <f t="shared" si="109"/>
        <v>0.81395795469227883</v>
      </c>
      <c r="R299" s="18">
        <f t="shared" si="111"/>
        <v>1.580624207971927</v>
      </c>
      <c r="S299" s="18">
        <f t="shared" si="112"/>
        <v>7.1657904882608085E-3</v>
      </c>
      <c r="T299" s="18">
        <f t="shared" si="122"/>
        <v>0.26531084710028974</v>
      </c>
      <c r="U299" s="18">
        <f t="shared" si="123"/>
        <v>0.29349442530179881</v>
      </c>
      <c r="V299" s="40" t="str">
        <f t="shared" si="113"/>
        <v>Y</v>
      </c>
      <c r="W299" s="18">
        <v>2.0967000000000002</v>
      </c>
      <c r="X299" s="18">
        <f t="shared" si="110"/>
        <v>0.10271805670624974</v>
      </c>
      <c r="Y299" s="18">
        <v>0.10271805670624974</v>
      </c>
      <c r="Z299" s="18">
        <v>0.89370335403291856</v>
      </c>
      <c r="AA299" s="18">
        <f t="shared" si="124"/>
        <v>-0.11238137762777188</v>
      </c>
      <c r="AB299" s="18">
        <f t="shared" si="125"/>
        <v>-0.10838514825767832</v>
      </c>
      <c r="AC299" s="18">
        <f t="shared" si="126"/>
        <v>-116.78549219340316</v>
      </c>
    </row>
    <row r="300" spans="1:29" x14ac:dyDescent="0.25">
      <c r="A300" s="13" t="str">
        <f t="shared" si="103"/>
        <v/>
      </c>
      <c r="B300" s="30">
        <f>IF(B299=$C$9,$C$6,IF(OR(ISNA(B299),B299=$C$6),NA(),Main!A267))</f>
        <v>266</v>
      </c>
      <c r="C300" s="29">
        <f>IF(ISNA(B300),NA(),IF(B300=$C$6,$C$19,Main!C267))</f>
        <v>0.31329999999999991</v>
      </c>
      <c r="D300" s="19">
        <f t="shared" si="104"/>
        <v>0.72479564032697552</v>
      </c>
      <c r="E300" s="18">
        <f t="shared" si="105"/>
        <v>1.1336214005464091</v>
      </c>
      <c r="F300" s="18">
        <f t="shared" si="106"/>
        <v>0.81845082057256957</v>
      </c>
      <c r="G300" s="18">
        <f t="shared" si="107"/>
        <v>0.28026250001033703</v>
      </c>
      <c r="H300" s="18">
        <f t="shared" si="108"/>
        <v>6.0753353515830321E-3</v>
      </c>
      <c r="I300" s="18">
        <f t="shared" si="114"/>
        <v>0.27245860542989597</v>
      </c>
      <c r="J300" s="18">
        <f t="shared" si="115"/>
        <v>0.2880663945907781</v>
      </c>
      <c r="K300" s="18">
        <f t="shared" si="116"/>
        <v>0.27024010120531816</v>
      </c>
      <c r="L300" s="18">
        <f t="shared" si="117"/>
        <v>0.29028489881535591</v>
      </c>
      <c r="M300" s="18">
        <f t="shared" si="118"/>
        <v>0.26831513082181291</v>
      </c>
      <c r="N300" s="18">
        <f t="shared" si="119"/>
        <v>0.29220986919886116</v>
      </c>
      <c r="O300" s="18">
        <f t="shared" si="120"/>
        <v>0.26453205465313168</v>
      </c>
      <c r="P300" s="18">
        <f t="shared" si="121"/>
        <v>0.29599294536754239</v>
      </c>
      <c r="Q300" s="18">
        <f t="shared" si="109"/>
        <v>0.81395795469227883</v>
      </c>
      <c r="R300" s="18">
        <f t="shared" si="111"/>
        <v>1.580624207971927</v>
      </c>
      <c r="S300" s="18">
        <f t="shared" si="112"/>
        <v>7.1657904882608085E-3</v>
      </c>
      <c r="T300" s="18">
        <f t="shared" si="122"/>
        <v>0.2661707109095825</v>
      </c>
      <c r="U300" s="18">
        <f t="shared" si="123"/>
        <v>0.29435428911109157</v>
      </c>
      <c r="V300" s="40" t="str">
        <f t="shared" si="113"/>
        <v>Y</v>
      </c>
      <c r="W300" s="18">
        <v>2.0967000000000002</v>
      </c>
      <c r="X300" s="18">
        <f t="shared" si="110"/>
        <v>0.10271805670624974</v>
      </c>
      <c r="Y300" s="18">
        <v>0.10271805670624974</v>
      </c>
      <c r="Z300" s="18">
        <v>0.89370335403291856</v>
      </c>
      <c r="AA300" s="18">
        <f t="shared" si="124"/>
        <v>-0.11238137762777188</v>
      </c>
      <c r="AB300" s="18">
        <f t="shared" si="125"/>
        <v>-0.10838514825767832</v>
      </c>
      <c r="AC300" s="18">
        <f t="shared" si="126"/>
        <v>-117.22702524517406</v>
      </c>
    </row>
    <row r="301" spans="1:29" x14ac:dyDescent="0.25">
      <c r="A301" s="13" t="str">
        <f t="shared" si="103"/>
        <v/>
      </c>
      <c r="B301" s="30">
        <f>IF(B300=$C$9,$C$6,IF(OR(ISNA(B300),B300=$C$6),NA(),Main!A268))</f>
        <v>267</v>
      </c>
      <c r="C301" s="29">
        <f>IF(ISNA(B301),NA(),IF(B301=$C$6,$C$19,Main!C268))</f>
        <v>0.31329999999999991</v>
      </c>
      <c r="D301" s="19">
        <f t="shared" si="104"/>
        <v>0.72752043596730243</v>
      </c>
      <c r="E301" s="18">
        <f t="shared" si="105"/>
        <v>1.1453480172252111</v>
      </c>
      <c r="F301" s="18">
        <f t="shared" si="106"/>
        <v>0.81845082057256957</v>
      </c>
      <c r="G301" s="18">
        <f t="shared" si="107"/>
        <v>0.28112920172220324</v>
      </c>
      <c r="H301" s="18">
        <f t="shared" si="108"/>
        <v>6.1026361762431796E-3</v>
      </c>
      <c r="I301" s="18">
        <f t="shared" si="114"/>
        <v>0.27329023866483421</v>
      </c>
      <c r="J301" s="18">
        <f t="shared" si="115"/>
        <v>0.28896816477957227</v>
      </c>
      <c r="K301" s="18">
        <f t="shared" si="116"/>
        <v>0.27106176511488783</v>
      </c>
      <c r="L301" s="18">
        <f t="shared" si="117"/>
        <v>0.29119663832951864</v>
      </c>
      <c r="M301" s="18">
        <f t="shared" si="118"/>
        <v>0.26912814446339328</v>
      </c>
      <c r="N301" s="18">
        <f t="shared" si="119"/>
        <v>0.29313025898101319</v>
      </c>
      <c r="O301" s="18">
        <f t="shared" si="120"/>
        <v>0.26532806822917154</v>
      </c>
      <c r="P301" s="18">
        <f t="shared" si="121"/>
        <v>0.29693033521523493</v>
      </c>
      <c r="Q301" s="18">
        <f t="shared" si="109"/>
        <v>0.81395795469227883</v>
      </c>
      <c r="R301" s="18">
        <f t="shared" si="111"/>
        <v>1.580624207971927</v>
      </c>
      <c r="S301" s="18">
        <f t="shared" si="112"/>
        <v>7.1657904882608085E-3</v>
      </c>
      <c r="T301" s="18">
        <f t="shared" si="122"/>
        <v>0.2670374126214487</v>
      </c>
      <c r="U301" s="18">
        <f t="shared" si="123"/>
        <v>0.29522099082295777</v>
      </c>
      <c r="V301" s="40" t="str">
        <f t="shared" si="113"/>
        <v>Y</v>
      </c>
      <c r="W301" s="18">
        <v>2.0967000000000002</v>
      </c>
      <c r="X301" s="18">
        <f t="shared" si="110"/>
        <v>0.10271805670624974</v>
      </c>
      <c r="Y301" s="18">
        <v>0.10271805670624974</v>
      </c>
      <c r="Z301" s="18">
        <v>0.89370335403291856</v>
      </c>
      <c r="AA301" s="18">
        <f t="shared" si="124"/>
        <v>-0.11238137762777188</v>
      </c>
      <c r="AB301" s="18">
        <f t="shared" si="125"/>
        <v>-0.10838514825767832</v>
      </c>
      <c r="AC301" s="18">
        <f t="shared" si="126"/>
        <v>-117.66855829694497</v>
      </c>
    </row>
    <row r="302" spans="1:29" x14ac:dyDescent="0.25">
      <c r="A302" s="13" t="str">
        <f t="shared" si="103"/>
        <v/>
      </c>
      <c r="B302" s="30">
        <f>IF(B301=$C$9,$C$6,IF(OR(ISNA(B301),B301=$C$6),NA(),Main!A269))</f>
        <v>268</v>
      </c>
      <c r="C302" s="29">
        <f>IF(ISNA(B302),NA(),IF(B302=$C$6,$C$19,Main!C269))</f>
        <v>0.31329999999999991</v>
      </c>
      <c r="D302" s="19">
        <f t="shared" si="104"/>
        <v>0.73024523160762944</v>
      </c>
      <c r="E302" s="18">
        <f t="shared" si="105"/>
        <v>1.1571691594603459</v>
      </c>
      <c r="F302" s="18">
        <f t="shared" si="106"/>
        <v>0.81845082057256957</v>
      </c>
      <c r="G302" s="18">
        <f t="shared" si="107"/>
        <v>0.28200288971696186</v>
      </c>
      <c r="H302" s="18">
        <f t="shared" si="108"/>
        <v>6.1302400337938188E-3</v>
      </c>
      <c r="I302" s="18">
        <f t="shared" si="114"/>
        <v>0.27412846893061615</v>
      </c>
      <c r="J302" s="18">
        <f t="shared" si="115"/>
        <v>0.28987731050330756</v>
      </c>
      <c r="K302" s="18">
        <f t="shared" si="116"/>
        <v>0.27188991539807678</v>
      </c>
      <c r="L302" s="18">
        <f t="shared" si="117"/>
        <v>0.29211586403584694</v>
      </c>
      <c r="M302" s="18">
        <f t="shared" si="118"/>
        <v>0.26994754846260272</v>
      </c>
      <c r="N302" s="18">
        <f t="shared" si="119"/>
        <v>0.294058230971321</v>
      </c>
      <c r="O302" s="18">
        <f t="shared" si="120"/>
        <v>0.2661302834660132</v>
      </c>
      <c r="P302" s="18">
        <f t="shared" si="121"/>
        <v>0.29787549596791052</v>
      </c>
      <c r="Q302" s="18">
        <f t="shared" si="109"/>
        <v>0.81395795469227883</v>
      </c>
      <c r="R302" s="18">
        <f t="shared" si="111"/>
        <v>1.580624207971927</v>
      </c>
      <c r="S302" s="18">
        <f t="shared" si="112"/>
        <v>7.1657904882608085E-3</v>
      </c>
      <c r="T302" s="18">
        <f t="shared" si="122"/>
        <v>0.26791110061620732</v>
      </c>
      <c r="U302" s="18">
        <f t="shared" si="123"/>
        <v>0.29609467881771639</v>
      </c>
      <c r="V302" s="40" t="str">
        <f t="shared" si="113"/>
        <v>Y</v>
      </c>
      <c r="W302" s="18">
        <v>2.0967000000000002</v>
      </c>
      <c r="X302" s="18">
        <f t="shared" si="110"/>
        <v>0.10271805670624974</v>
      </c>
      <c r="Y302" s="18">
        <v>0.10271805670624974</v>
      </c>
      <c r="Z302" s="18">
        <v>0.89370335403291856</v>
      </c>
      <c r="AA302" s="18">
        <f t="shared" si="124"/>
        <v>-0.11238137762777188</v>
      </c>
      <c r="AB302" s="18">
        <f t="shared" si="125"/>
        <v>-0.10838514825767832</v>
      </c>
      <c r="AC302" s="18">
        <f t="shared" si="126"/>
        <v>-118.11009134871586</v>
      </c>
    </row>
    <row r="303" spans="1:29" x14ac:dyDescent="0.25">
      <c r="A303" s="13" t="str">
        <f t="shared" si="103"/>
        <v/>
      </c>
      <c r="B303" s="30">
        <f>IF(B302=$C$9,$C$6,IF(OR(ISNA(B302),B302=$C$6),NA(),Main!A270))</f>
        <v>269</v>
      </c>
      <c r="C303" s="29">
        <f>IF(ISNA(B303),NA(),IF(B303=$C$6,$C$19,Main!C270))</f>
        <v>0.31329999999999991</v>
      </c>
      <c r="D303" s="19">
        <f t="shared" si="104"/>
        <v>0.73297002724795646</v>
      </c>
      <c r="E303" s="18">
        <f t="shared" si="105"/>
        <v>1.169086894497614</v>
      </c>
      <c r="F303" s="18">
        <f t="shared" si="106"/>
        <v>0.81845082057256957</v>
      </c>
      <c r="G303" s="18">
        <f t="shared" si="107"/>
        <v>0.28288371678254165</v>
      </c>
      <c r="H303" s="18">
        <f t="shared" si="108"/>
        <v>6.1581526377436071E-3</v>
      </c>
      <c r="I303" s="18">
        <f t="shared" si="114"/>
        <v>0.27497344167604998</v>
      </c>
      <c r="J303" s="18">
        <f t="shared" si="115"/>
        <v>0.29079399188903332</v>
      </c>
      <c r="K303" s="18">
        <f t="shared" si="116"/>
        <v>0.27272469541731559</v>
      </c>
      <c r="L303" s="18">
        <f t="shared" si="117"/>
        <v>0.29304273814776771</v>
      </c>
      <c r="M303" s="18">
        <f t="shared" si="118"/>
        <v>0.27077348437154636</v>
      </c>
      <c r="N303" s="18">
        <f t="shared" si="119"/>
        <v>0.29499394919353694</v>
      </c>
      <c r="O303" s="18">
        <f t="shared" si="120"/>
        <v>0.2669388383579927</v>
      </c>
      <c r="P303" s="18">
        <f t="shared" si="121"/>
        <v>0.2988285952070906</v>
      </c>
      <c r="Q303" s="18">
        <f t="shared" si="109"/>
        <v>0.81395795469227883</v>
      </c>
      <c r="R303" s="18">
        <f t="shared" si="111"/>
        <v>1.580624207971927</v>
      </c>
      <c r="S303" s="18">
        <f t="shared" si="112"/>
        <v>7.1657904882608085E-3</v>
      </c>
      <c r="T303" s="18">
        <f t="shared" si="122"/>
        <v>0.26879192768178711</v>
      </c>
      <c r="U303" s="18">
        <f t="shared" si="123"/>
        <v>0.29697550588329619</v>
      </c>
      <c r="V303" s="40" t="str">
        <f t="shared" si="113"/>
        <v>Y</v>
      </c>
      <c r="W303" s="18">
        <v>2.0967000000000002</v>
      </c>
      <c r="X303" s="18">
        <f t="shared" si="110"/>
        <v>0.10271805670624974</v>
      </c>
      <c r="Y303" s="18">
        <v>0.10271805670624974</v>
      </c>
      <c r="Z303" s="18">
        <v>0.92948540191680973</v>
      </c>
      <c r="AA303" s="18">
        <f t="shared" si="124"/>
        <v>-7.3124177251327069E-2</v>
      </c>
      <c r="AB303" s="18">
        <f t="shared" si="125"/>
        <v>-0.10838514825767832</v>
      </c>
      <c r="AC303" s="18">
        <f t="shared" si="126"/>
        <v>-97.470507798335902</v>
      </c>
    </row>
    <row r="304" spans="1:29" x14ac:dyDescent="0.25">
      <c r="A304" s="13" t="str">
        <f t="shared" si="103"/>
        <v/>
      </c>
      <c r="B304" s="30">
        <f>IF(B303=$C$9,$C$6,IF(OR(ISNA(B303),B303=$C$6),NA(),Main!A271))</f>
        <v>270</v>
      </c>
      <c r="C304" s="29">
        <f>IF(ISNA(B304),NA(),IF(B304=$C$6,$C$19,Main!C271))</f>
        <v>0.31329999999999991</v>
      </c>
      <c r="D304" s="19">
        <f t="shared" si="104"/>
        <v>0.73569482288828336</v>
      </c>
      <c r="E304" s="18">
        <f t="shared" si="105"/>
        <v>1.181103351686366</v>
      </c>
      <c r="F304" s="18">
        <f t="shared" si="106"/>
        <v>0.81845082057256957</v>
      </c>
      <c r="G304" s="18">
        <f t="shared" si="107"/>
        <v>0.28377184029687852</v>
      </c>
      <c r="H304" s="18">
        <f t="shared" si="108"/>
        <v>6.1863798839529131E-3</v>
      </c>
      <c r="I304" s="18">
        <f t="shared" si="114"/>
        <v>0.27582530670571637</v>
      </c>
      <c r="J304" s="18">
        <f t="shared" si="115"/>
        <v>0.29171837388804067</v>
      </c>
      <c r="K304" s="18">
        <f t="shared" si="116"/>
        <v>0.27356625282421881</v>
      </c>
      <c r="L304" s="18">
        <f t="shared" si="117"/>
        <v>0.29397742776953822</v>
      </c>
      <c r="M304" s="18">
        <f t="shared" si="118"/>
        <v>0.27160609797373486</v>
      </c>
      <c r="N304" s="18">
        <f t="shared" si="119"/>
        <v>0.29593758262002218</v>
      </c>
      <c r="O304" s="18">
        <f t="shared" si="120"/>
        <v>0.26775387501730286</v>
      </c>
      <c r="P304" s="18">
        <f t="shared" si="121"/>
        <v>0.29978980557645418</v>
      </c>
      <c r="Q304" s="18">
        <f t="shared" si="109"/>
        <v>0.81395795469227883</v>
      </c>
      <c r="R304" s="18">
        <f t="shared" si="111"/>
        <v>1.580624207971927</v>
      </c>
      <c r="S304" s="18">
        <f t="shared" si="112"/>
        <v>7.1657904882608085E-3</v>
      </c>
      <c r="T304" s="18">
        <f t="shared" si="122"/>
        <v>0.26968005119612398</v>
      </c>
      <c r="U304" s="18">
        <f t="shared" si="123"/>
        <v>0.29786362939763306</v>
      </c>
      <c r="V304" s="40" t="str">
        <f t="shared" si="113"/>
        <v>Y</v>
      </c>
      <c r="W304" s="18">
        <v>2.0967000000000002</v>
      </c>
      <c r="X304" s="18">
        <f t="shared" si="110"/>
        <v>0.10271805670624974</v>
      </c>
      <c r="Y304" s="18">
        <v>0.10271805670624974</v>
      </c>
      <c r="Z304" s="18">
        <v>0.92948540191680973</v>
      </c>
      <c r="AA304" s="18">
        <f t="shared" si="124"/>
        <v>-7.3124177251327069E-2</v>
      </c>
      <c r="AB304" s="18">
        <f t="shared" si="125"/>
        <v>-0.10838514825767832</v>
      </c>
      <c r="AC304" s="18">
        <f t="shared" si="126"/>
        <v>-97.833526449353911</v>
      </c>
    </row>
    <row r="305" spans="1:29" x14ac:dyDescent="0.25">
      <c r="A305" s="13" t="str">
        <f t="shared" si="103"/>
        <v/>
      </c>
      <c r="B305" s="30">
        <f>IF(B304=$C$9,$C$6,IF(OR(ISNA(B304),B304=$C$6),NA(),Main!A272))</f>
        <v>271</v>
      </c>
      <c r="C305" s="29">
        <f>IF(ISNA(B305),NA(),IF(B305=$C$6,$C$19,Main!C272))</f>
        <v>0.31329999999999991</v>
      </c>
      <c r="D305" s="19">
        <f t="shared" si="104"/>
        <v>0.73841961852861038</v>
      </c>
      <c r="E305" s="18">
        <f t="shared" si="105"/>
        <v>1.1932207250748688</v>
      </c>
      <c r="F305" s="18">
        <f t="shared" si="106"/>
        <v>0.81845082057256957</v>
      </c>
      <c r="G305" s="18">
        <f t="shared" si="107"/>
        <v>0.28466742241973597</v>
      </c>
      <c r="H305" s="18">
        <f t="shared" si="108"/>
        <v>6.2149278581450952E-3</v>
      </c>
      <c r="I305" s="18">
        <f t="shared" si="114"/>
        <v>0.27668421836214052</v>
      </c>
      <c r="J305" s="18">
        <f t="shared" si="115"/>
        <v>0.29265062647733142</v>
      </c>
      <c r="K305" s="18">
        <f t="shared" si="116"/>
        <v>0.2744147397390142</v>
      </c>
      <c r="L305" s="18">
        <f t="shared" si="117"/>
        <v>0.29492010510045774</v>
      </c>
      <c r="M305" s="18">
        <f t="shared" si="118"/>
        <v>0.27244553946113431</v>
      </c>
      <c r="N305" s="18">
        <f t="shared" si="119"/>
        <v>0.29688930537833763</v>
      </c>
      <c r="O305" s="18">
        <f t="shared" si="120"/>
        <v>0.26857553984636479</v>
      </c>
      <c r="P305" s="18">
        <f t="shared" si="121"/>
        <v>0.30075930499310716</v>
      </c>
      <c r="Q305" s="18">
        <f t="shared" si="109"/>
        <v>0.81395795469227883</v>
      </c>
      <c r="R305" s="18">
        <f t="shared" si="111"/>
        <v>1.580624207971927</v>
      </c>
      <c r="S305" s="18">
        <f t="shared" si="112"/>
        <v>7.1657904882608085E-3</v>
      </c>
      <c r="T305" s="18">
        <f t="shared" si="122"/>
        <v>0.27057563331898143</v>
      </c>
      <c r="U305" s="18">
        <f t="shared" si="123"/>
        <v>0.29875921152049051</v>
      </c>
      <c r="V305" s="40" t="str">
        <f t="shared" si="113"/>
        <v>Y</v>
      </c>
      <c r="W305" s="18">
        <v>2.0967000000000002</v>
      </c>
      <c r="X305" s="18">
        <f t="shared" si="110"/>
        <v>0.10271805670624974</v>
      </c>
      <c r="Y305" s="18">
        <v>0.10271805670624974</v>
      </c>
      <c r="Z305" s="18">
        <v>0.92948540191680973</v>
      </c>
      <c r="AA305" s="18">
        <f t="shared" si="124"/>
        <v>-7.3124177251327069E-2</v>
      </c>
      <c r="AB305" s="18">
        <f t="shared" si="125"/>
        <v>-0.10838514825767832</v>
      </c>
      <c r="AC305" s="18">
        <f t="shared" si="126"/>
        <v>-98.196545100371921</v>
      </c>
    </row>
    <row r="306" spans="1:29" x14ac:dyDescent="0.25">
      <c r="A306" s="13" t="str">
        <f t="shared" si="103"/>
        <v/>
      </c>
      <c r="B306" s="30">
        <f>IF(B305=$C$9,$C$6,IF(OR(ISNA(B305),B305=$C$6),NA(),Main!A273))</f>
        <v>272</v>
      </c>
      <c r="C306" s="29">
        <f>IF(ISNA(B306),NA(),IF(B306=$C$6,$C$19,Main!C273))</f>
        <v>0.31329999999999991</v>
      </c>
      <c r="D306" s="19">
        <f t="shared" si="104"/>
        <v>0.74114441416893728</v>
      </c>
      <c r="E306" s="18">
        <f t="shared" si="105"/>
        <v>1.2054412761411846</v>
      </c>
      <c r="F306" s="18">
        <f t="shared" si="106"/>
        <v>0.81845082057256957</v>
      </c>
      <c r="G306" s="18">
        <f t="shared" si="107"/>
        <v>0.28557063029454188</v>
      </c>
      <c r="H306" s="18">
        <f t="shared" si="108"/>
        <v>6.2438028438128353E-3</v>
      </c>
      <c r="I306" s="18">
        <f t="shared" si="114"/>
        <v>0.27755033571747345</v>
      </c>
      <c r="J306" s="18">
        <f t="shared" si="115"/>
        <v>0.29359092487161031</v>
      </c>
      <c r="K306" s="18">
        <f t="shared" si="116"/>
        <v>0.27527031293933657</v>
      </c>
      <c r="L306" s="18">
        <f t="shared" si="117"/>
        <v>0.2958709476497472</v>
      </c>
      <c r="M306" s="18">
        <f t="shared" si="118"/>
        <v>0.27329196362045433</v>
      </c>
      <c r="N306" s="18">
        <f t="shared" si="119"/>
        <v>0.29784929696862944</v>
      </c>
      <c r="O306" s="18">
        <f t="shared" si="120"/>
        <v>0.26940398371919377</v>
      </c>
      <c r="P306" s="18">
        <f t="shared" si="121"/>
        <v>0.30173727686988999</v>
      </c>
      <c r="Q306" s="18">
        <f t="shared" si="109"/>
        <v>0.81395795469227883</v>
      </c>
      <c r="R306" s="18">
        <f t="shared" si="111"/>
        <v>1.580624207971927</v>
      </c>
      <c r="S306" s="18">
        <f t="shared" si="112"/>
        <v>7.1657904882608085E-3</v>
      </c>
      <c r="T306" s="18">
        <f t="shared" si="122"/>
        <v>0.27147884119378735</v>
      </c>
      <c r="U306" s="18">
        <f t="shared" si="123"/>
        <v>0.29966241939529642</v>
      </c>
      <c r="V306" s="40" t="str">
        <f t="shared" si="113"/>
        <v>Y</v>
      </c>
      <c r="W306" s="18">
        <v>2.0967000000000002</v>
      </c>
      <c r="X306" s="18">
        <f t="shared" si="110"/>
        <v>0.10271805670624974</v>
      </c>
      <c r="Y306" s="18">
        <v>0.10271805670624974</v>
      </c>
      <c r="Z306" s="18">
        <v>0.92948540191680973</v>
      </c>
      <c r="AA306" s="18">
        <f t="shared" si="124"/>
        <v>-7.3124177251327069E-2</v>
      </c>
      <c r="AB306" s="18">
        <f t="shared" si="125"/>
        <v>-0.10838514825767832</v>
      </c>
      <c r="AC306" s="18">
        <f t="shared" si="126"/>
        <v>-98.559563751389931</v>
      </c>
    </row>
    <row r="307" spans="1:29" x14ac:dyDescent="0.25">
      <c r="A307" s="13" t="str">
        <f t="shared" si="103"/>
        <v/>
      </c>
      <c r="B307" s="30">
        <f>IF(B306=$C$9,$C$6,IF(OR(ISNA(B306),B306=$C$6),NA(),Main!A274))</f>
        <v>273</v>
      </c>
      <c r="C307" s="29">
        <f>IF(ISNA(B307),NA(),IF(B307=$C$6,$C$19,Main!C274))</f>
        <v>0.31329999999999991</v>
      </c>
      <c r="D307" s="19">
        <f t="shared" si="104"/>
        <v>0.7438692098092643</v>
      </c>
      <c r="E307" s="18">
        <f t="shared" si="105"/>
        <v>1.2177673366681907</v>
      </c>
      <c r="F307" s="18">
        <f t="shared" si="106"/>
        <v>0.81845082057256957</v>
      </c>
      <c r="G307" s="18">
        <f t="shared" si="107"/>
        <v>0.2864816362608778</v>
      </c>
      <c r="H307" s="18">
        <f t="shared" si="108"/>
        <v>6.2730113305446812E-3</v>
      </c>
      <c r="I307" s="18">
        <f t="shared" si="114"/>
        <v>0.27842382277528527</v>
      </c>
      <c r="J307" s="18">
        <f t="shared" si="115"/>
        <v>0.29453944974647034</v>
      </c>
      <c r="K307" s="18">
        <f t="shared" si="116"/>
        <v>0.2761331340589806</v>
      </c>
      <c r="L307" s="18">
        <f t="shared" si="117"/>
        <v>0.29683013846277501</v>
      </c>
      <c r="M307" s="18">
        <f t="shared" si="118"/>
        <v>0.27414553002926317</v>
      </c>
      <c r="N307" s="18">
        <f t="shared" si="119"/>
        <v>0.29881774249249243</v>
      </c>
      <c r="O307" s="18">
        <f t="shared" si="120"/>
        <v>0.27023936217232875</v>
      </c>
      <c r="P307" s="18">
        <f t="shared" si="121"/>
        <v>0.30272391034942686</v>
      </c>
      <c r="Q307" s="18">
        <f t="shared" si="109"/>
        <v>0.81395795469227883</v>
      </c>
      <c r="R307" s="18">
        <f t="shared" si="111"/>
        <v>1.580624207971927</v>
      </c>
      <c r="S307" s="18">
        <f t="shared" si="112"/>
        <v>7.1657904882608085E-3</v>
      </c>
      <c r="T307" s="18">
        <f t="shared" si="122"/>
        <v>0.27238984716012327</v>
      </c>
      <c r="U307" s="18">
        <f t="shared" si="123"/>
        <v>0.30057342536163234</v>
      </c>
      <c r="V307" s="40" t="str">
        <f t="shared" si="113"/>
        <v>Y</v>
      </c>
      <c r="W307" s="18">
        <v>2.0967000000000002</v>
      </c>
      <c r="X307" s="18">
        <f t="shared" si="110"/>
        <v>0.10271805670624974</v>
      </c>
      <c r="Y307" s="18">
        <v>0.10271805670624974</v>
      </c>
      <c r="Z307" s="18">
        <v>0.92948540191680973</v>
      </c>
      <c r="AA307" s="18">
        <f t="shared" si="124"/>
        <v>-7.3124177251327069E-2</v>
      </c>
      <c r="AB307" s="18">
        <f t="shared" si="125"/>
        <v>-0.10838514825767832</v>
      </c>
      <c r="AC307" s="18">
        <f t="shared" si="126"/>
        <v>-98.92258240240794</v>
      </c>
    </row>
    <row r="308" spans="1:29" x14ac:dyDescent="0.25">
      <c r="A308" s="13" t="str">
        <f t="shared" si="103"/>
        <v/>
      </c>
      <c r="B308" s="30">
        <f>IF(B307=$C$9,$C$6,IF(OR(ISNA(B307),B307=$C$6),NA(),Main!A275))</f>
        <v>274</v>
      </c>
      <c r="C308" s="29">
        <f>IF(ISNA(B308),NA(),IF(B308=$C$6,$C$19,Main!C275))</f>
        <v>0.31329999999999991</v>
      </c>
      <c r="D308" s="19">
        <f t="shared" si="104"/>
        <v>0.74659400544959131</v>
      </c>
      <c r="E308" s="18">
        <f t="shared" si="105"/>
        <v>1.230201311771979</v>
      </c>
      <c r="F308" s="18">
        <f t="shared" si="106"/>
        <v>0.81845082057256957</v>
      </c>
      <c r="G308" s="18">
        <f t="shared" si="107"/>
        <v>0.2874006180783048</v>
      </c>
      <c r="H308" s="18">
        <f t="shared" si="108"/>
        <v>6.3025600227987416E-3</v>
      </c>
      <c r="I308" s="18">
        <f t="shared" si="114"/>
        <v>0.27930484868312111</v>
      </c>
      <c r="J308" s="18">
        <f t="shared" si="115"/>
        <v>0.2954963874734885</v>
      </c>
      <c r="K308" s="18">
        <f t="shared" si="116"/>
        <v>0.27700336979725337</v>
      </c>
      <c r="L308" s="18">
        <f t="shared" si="117"/>
        <v>0.29779786635935623</v>
      </c>
      <c r="M308" s="18">
        <f t="shared" si="118"/>
        <v>0.27500640326255987</v>
      </c>
      <c r="N308" s="18">
        <f t="shared" si="119"/>
        <v>0.29979483289404973</v>
      </c>
      <c r="O308" s="18">
        <f t="shared" si="120"/>
        <v>0.27108183560594146</v>
      </c>
      <c r="P308" s="18">
        <f t="shared" si="121"/>
        <v>0.30371940055066815</v>
      </c>
      <c r="Q308" s="18">
        <f t="shared" si="109"/>
        <v>0.81395795469227883</v>
      </c>
      <c r="R308" s="18">
        <f t="shared" si="111"/>
        <v>1.580624207971927</v>
      </c>
      <c r="S308" s="18">
        <f t="shared" si="112"/>
        <v>7.1657904882608085E-3</v>
      </c>
      <c r="T308" s="18">
        <f t="shared" si="122"/>
        <v>0.27330882897755027</v>
      </c>
      <c r="U308" s="18">
        <f t="shared" si="123"/>
        <v>0.30149240717905934</v>
      </c>
      <c r="V308" s="40" t="str">
        <f t="shared" si="113"/>
        <v>Y</v>
      </c>
      <c r="W308" s="18">
        <v>2.0967000000000002</v>
      </c>
      <c r="X308" s="18">
        <f t="shared" si="110"/>
        <v>0.10271805670624974</v>
      </c>
      <c r="Y308" s="18">
        <v>0.10271805670624974</v>
      </c>
      <c r="Z308" s="18">
        <v>0.92948540191680973</v>
      </c>
      <c r="AA308" s="18">
        <f t="shared" si="124"/>
        <v>-7.3124177251327069E-2</v>
      </c>
      <c r="AB308" s="18">
        <f t="shared" si="125"/>
        <v>-0.10838514825767832</v>
      </c>
      <c r="AC308" s="18">
        <f t="shared" si="126"/>
        <v>-99.28560105342595</v>
      </c>
    </row>
    <row r="309" spans="1:29" x14ac:dyDescent="0.25">
      <c r="A309" s="13" t="str">
        <f t="shared" si="103"/>
        <v/>
      </c>
      <c r="B309" s="30">
        <f>IF(B308=$C$9,$C$6,IF(OR(ISNA(B308),B308=$C$6),NA(),Main!A276))</f>
        <v>275</v>
      </c>
      <c r="C309" s="29">
        <f>IF(ISNA(B309),NA(),IF(B309=$C$6,$C$19,Main!C276))</f>
        <v>0.31329999999999991</v>
      </c>
      <c r="D309" s="19">
        <f t="shared" si="104"/>
        <v>0.74931880108991822</v>
      </c>
      <c r="E309" s="18">
        <f t="shared" si="105"/>
        <v>1.2427456830936101</v>
      </c>
      <c r="F309" s="18">
        <f t="shared" si="106"/>
        <v>0.81845082057256957</v>
      </c>
      <c r="G309" s="18">
        <f t="shared" si="107"/>
        <v>0.28832775916226272</v>
      </c>
      <c r="H309" s="18">
        <f t="shared" si="108"/>
        <v>6.3324558491526265E-3</v>
      </c>
      <c r="I309" s="18">
        <f t="shared" si="114"/>
        <v>0.28019358795651889</v>
      </c>
      <c r="J309" s="18">
        <f t="shared" si="115"/>
        <v>0.29646193036800655</v>
      </c>
      <c r="K309" s="18">
        <f t="shared" si="116"/>
        <v>0.27788119213961354</v>
      </c>
      <c r="L309" s="18">
        <f t="shared" si="117"/>
        <v>0.2987743261849119</v>
      </c>
      <c r="M309" s="18">
        <f t="shared" si="118"/>
        <v>0.27587475311048287</v>
      </c>
      <c r="N309" s="18">
        <f t="shared" si="119"/>
        <v>0.30078076521404257</v>
      </c>
      <c r="O309" s="18">
        <f t="shared" si="120"/>
        <v>0.27193156949578529</v>
      </c>
      <c r="P309" s="18">
        <f t="shared" si="121"/>
        <v>0.30472394882874015</v>
      </c>
      <c r="Q309" s="18">
        <f t="shared" si="109"/>
        <v>0.81395795469227883</v>
      </c>
      <c r="R309" s="18">
        <f t="shared" si="111"/>
        <v>1.580624207971927</v>
      </c>
      <c r="S309" s="18">
        <f t="shared" si="112"/>
        <v>7.1657904882608085E-3</v>
      </c>
      <c r="T309" s="18">
        <f t="shared" si="122"/>
        <v>0.27423597006150818</v>
      </c>
      <c r="U309" s="18">
        <f t="shared" si="123"/>
        <v>0.30241954826301726</v>
      </c>
      <c r="V309" s="40" t="str">
        <f t="shared" si="113"/>
        <v>Y</v>
      </c>
      <c r="W309" s="18">
        <v>2.0967000000000002</v>
      </c>
      <c r="X309" s="18">
        <f t="shared" si="110"/>
        <v>0.10271805670624974</v>
      </c>
      <c r="Y309" s="18">
        <v>0.10271805670624974</v>
      </c>
      <c r="Z309" s="18">
        <v>0.92948540191680973</v>
      </c>
      <c r="AA309" s="18">
        <f t="shared" si="124"/>
        <v>-7.3124177251327069E-2</v>
      </c>
      <c r="AB309" s="18">
        <f t="shared" si="125"/>
        <v>-0.10838514825767832</v>
      </c>
      <c r="AC309" s="18">
        <f t="shared" si="126"/>
        <v>-99.648619704443959</v>
      </c>
    </row>
    <row r="310" spans="1:29" x14ac:dyDescent="0.25">
      <c r="A310" s="13" t="str">
        <f t="shared" ref="A310:A335" si="127">IF(B310=$C$6,"EVA","")</f>
        <v/>
      </c>
      <c r="B310" s="30">
        <f>IF(B309=$C$9,$C$6,IF(OR(ISNA(B309),B309=$C$6),NA(),Main!A277))</f>
        <v>276</v>
      </c>
      <c r="C310" s="29">
        <f>IF(ISNA(B310),NA(),IF(B310=$C$6,$C$19,Main!C277))</f>
        <v>0.33740000000000014</v>
      </c>
      <c r="D310" s="19">
        <f t="shared" ref="D310:D335" si="128">IF(ISNA(B310),NA(),IF(B310=$C$6,(N-1)/N,B310/($C$9+1)))</f>
        <v>0.75204359673024523</v>
      </c>
      <c r="E310" s="18">
        <f t="shared" ref="E310:E335" si="129">IF(ISNA(B310),NA(),-LN(-LN(D310)))</f>
        <v>1.2554030121649324</v>
      </c>
      <c r="F310" s="18">
        <f t="shared" ref="F310:F335" si="130">IF(ISNA(B310),NA(),LN(1/$C$16) - (C310-$C$17)/$C$16 - EXP(-(C310-$C$17)/$C$16))</f>
        <v>0.54965073958466015</v>
      </c>
      <c r="G310" s="18">
        <f t="shared" ref="G310:G335" si="131">IF(ISNA(B310),NA(),$C$16*E310+$C$17)</f>
        <v>0.28926324883283405</v>
      </c>
      <c r="H310" s="18">
        <f t="shared" ref="H310:H335" si="132">IF(ISNA(B310),NA(),$C$16*SQRT((1.109+0.514*E310+0.608*E310^2)/$C$9))</f>
        <v>6.3627059720608847E-3</v>
      </c>
      <c r="I310" s="18">
        <f t="shared" si="114"/>
        <v>0.28109022071523926</v>
      </c>
      <c r="J310" s="18">
        <f t="shared" si="115"/>
        <v>0.29743627695042885</v>
      </c>
      <c r="K310" s="18">
        <f t="shared" si="116"/>
        <v>0.27876677859033899</v>
      </c>
      <c r="L310" s="18">
        <f t="shared" si="117"/>
        <v>0.29975971907532911</v>
      </c>
      <c r="M310" s="18">
        <f t="shared" si="118"/>
        <v>0.27675075480788597</v>
      </c>
      <c r="N310" s="18">
        <f t="shared" si="119"/>
        <v>0.30177574285778214</v>
      </c>
      <c r="O310" s="18">
        <f t="shared" si="120"/>
        <v>0.27278873461669484</v>
      </c>
      <c r="P310" s="18">
        <f t="shared" si="121"/>
        <v>0.30573776304897327</v>
      </c>
      <c r="Q310" s="18">
        <f t="shared" ref="Q310:Q335" si="133">IF(ISNA(B310),NA(),EXP(-EXP(-(C310-$C$17)/$C$16)))</f>
        <v>0.8619399407083369</v>
      </c>
      <c r="R310" s="18">
        <f t="shared" si="111"/>
        <v>1.9067011708875767</v>
      </c>
      <c r="S310" s="18">
        <f t="shared" si="112"/>
        <v>8.0105443711176848E-3</v>
      </c>
      <c r="T310" s="18">
        <f t="shared" si="122"/>
        <v>0.27351022032258743</v>
      </c>
      <c r="U310" s="18">
        <f t="shared" si="123"/>
        <v>0.30501627734308068</v>
      </c>
      <c r="V310" s="40" t="str">
        <f t="shared" si="113"/>
        <v>Y</v>
      </c>
      <c r="W310" s="18">
        <v>2.0726</v>
      </c>
      <c r="X310" s="18">
        <f t="shared" si="110"/>
        <v>3.0272118151249597E-2</v>
      </c>
      <c r="Y310" s="18">
        <v>3.0272118151249597E-2</v>
      </c>
      <c r="Z310" s="18">
        <v>0.92948540191680973</v>
      </c>
      <c r="AA310" s="18">
        <f t="shared" si="124"/>
        <v>-7.3124177251327069E-2</v>
      </c>
      <c r="AB310" s="18">
        <f t="shared" si="125"/>
        <v>-3.073978101832751E-2</v>
      </c>
      <c r="AC310" s="18">
        <f t="shared" si="126"/>
        <v>-57.229041006579678</v>
      </c>
    </row>
    <row r="311" spans="1:29" x14ac:dyDescent="0.25">
      <c r="A311" s="13" t="str">
        <f t="shared" si="127"/>
        <v/>
      </c>
      <c r="B311" s="30">
        <f>IF(B310=$C$9,$C$6,IF(OR(ISNA(B310),B310=$C$6),NA(),Main!A278))</f>
        <v>277</v>
      </c>
      <c r="C311" s="29">
        <f>IF(ISNA(B311),NA(),IF(B311=$C$6,$C$19,Main!C278))</f>
        <v>0.33740000000000014</v>
      </c>
      <c r="D311" s="19">
        <f t="shared" si="128"/>
        <v>0.75476839237057225</v>
      </c>
      <c r="E311" s="18">
        <f t="shared" si="129"/>
        <v>1.2681759439600142</v>
      </c>
      <c r="F311" s="18">
        <f t="shared" si="130"/>
        <v>0.54965073958466015</v>
      </c>
      <c r="G311" s="18">
        <f t="shared" si="131"/>
        <v>0.29020728257722683</v>
      </c>
      <c r="H311" s="18">
        <f t="shared" si="132"/>
        <v>6.3933177981536291E-3</v>
      </c>
      <c r="I311" s="18">
        <f t="shared" si="114"/>
        <v>0.28199493293251993</v>
      </c>
      <c r="J311" s="18">
        <f t="shared" si="115"/>
        <v>0.29841963222193374</v>
      </c>
      <c r="K311" s="18">
        <f t="shared" si="116"/>
        <v>0.27966031241801997</v>
      </c>
      <c r="L311" s="18">
        <f t="shared" si="117"/>
        <v>0.30075425273643369</v>
      </c>
      <c r="M311" s="18">
        <f t="shared" si="118"/>
        <v>0.27763458927656803</v>
      </c>
      <c r="N311" s="18">
        <f t="shared" si="119"/>
        <v>0.30277997587788563</v>
      </c>
      <c r="O311" s="18">
        <f t="shared" si="120"/>
        <v>0.27365350727840337</v>
      </c>
      <c r="P311" s="18">
        <f t="shared" si="121"/>
        <v>0.30676105787605029</v>
      </c>
      <c r="Q311" s="18">
        <f t="shared" si="133"/>
        <v>0.8619399407083369</v>
      </c>
      <c r="R311" s="18">
        <f t="shared" si="111"/>
        <v>1.9067011708875767</v>
      </c>
      <c r="S311" s="18">
        <f t="shared" si="112"/>
        <v>8.0105443711176848E-3</v>
      </c>
      <c r="T311" s="18">
        <f t="shared" si="122"/>
        <v>0.27445425406698021</v>
      </c>
      <c r="U311" s="18">
        <f t="shared" si="123"/>
        <v>0.30596031108747346</v>
      </c>
      <c r="V311" s="40" t="str">
        <f t="shared" si="113"/>
        <v>Y</v>
      </c>
      <c r="W311" s="18">
        <v>2.0726</v>
      </c>
      <c r="X311" s="18">
        <f t="shared" si="110"/>
        <v>3.0272118151249597E-2</v>
      </c>
      <c r="Y311" s="18">
        <v>3.0272118151249597E-2</v>
      </c>
      <c r="Z311" s="18">
        <v>0.92948540191680973</v>
      </c>
      <c r="AA311" s="18">
        <f t="shared" si="124"/>
        <v>-7.3124177251327069E-2</v>
      </c>
      <c r="AB311" s="18">
        <f t="shared" si="125"/>
        <v>-3.073978101832751E-2</v>
      </c>
      <c r="AC311" s="18">
        <f t="shared" si="126"/>
        <v>-57.436768923118983</v>
      </c>
    </row>
    <row r="312" spans="1:29" x14ac:dyDescent="0.25">
      <c r="A312" s="13" t="str">
        <f t="shared" si="127"/>
        <v/>
      </c>
      <c r="B312" s="30">
        <f>IF(B311=$C$9,$C$6,IF(OR(ISNA(B311),B311=$C$6),NA(),Main!A279))</f>
        <v>278</v>
      </c>
      <c r="C312" s="29">
        <f>IF(ISNA(B312),NA(),IF(B312=$C$6,$C$19,Main!C279))</f>
        <v>0.33740000000000014</v>
      </c>
      <c r="D312" s="19">
        <f t="shared" si="128"/>
        <v>0.75749318801089915</v>
      </c>
      <c r="E312" s="18">
        <f t="shared" si="129"/>
        <v>1.2810672106446452</v>
      </c>
      <c r="F312" s="18">
        <f t="shared" si="130"/>
        <v>0.54965073958466015</v>
      </c>
      <c r="G312" s="18">
        <f t="shared" si="131"/>
        <v>0.29116006232689584</v>
      </c>
      <c r="H312" s="18">
        <f t="shared" si="132"/>
        <v>6.4242989891126956E-3</v>
      </c>
      <c r="I312" s="18">
        <f t="shared" si="114"/>
        <v>0.28290791669822596</v>
      </c>
      <c r="J312" s="18">
        <f t="shared" si="115"/>
        <v>0.29941220795556572</v>
      </c>
      <c r="K312" s="18">
        <f t="shared" si="116"/>
        <v>0.280561982914738</v>
      </c>
      <c r="L312" s="18">
        <f t="shared" si="117"/>
        <v>0.30175814173905369</v>
      </c>
      <c r="M312" s="18">
        <f t="shared" si="118"/>
        <v>0.27852644338100635</v>
      </c>
      <c r="N312" s="18">
        <f t="shared" si="119"/>
        <v>0.30379368127278533</v>
      </c>
      <c r="O312" s="18">
        <f t="shared" si="120"/>
        <v>0.27452606957450321</v>
      </c>
      <c r="P312" s="18">
        <f t="shared" si="121"/>
        <v>0.30779405507928848</v>
      </c>
      <c r="Q312" s="18">
        <f t="shared" si="133"/>
        <v>0.8619399407083369</v>
      </c>
      <c r="R312" s="18">
        <f t="shared" si="111"/>
        <v>1.9067011708875767</v>
      </c>
      <c r="S312" s="18">
        <f t="shared" si="112"/>
        <v>8.0105443711176848E-3</v>
      </c>
      <c r="T312" s="18">
        <f t="shared" si="122"/>
        <v>0.27540703381664922</v>
      </c>
      <c r="U312" s="18">
        <f t="shared" si="123"/>
        <v>0.30691309083714247</v>
      </c>
      <c r="V312" s="40" t="str">
        <f t="shared" si="113"/>
        <v>Y</v>
      </c>
      <c r="W312" s="18">
        <v>2.0726</v>
      </c>
      <c r="X312" s="18">
        <f t="shared" si="110"/>
        <v>3.0272118151249597E-2</v>
      </c>
      <c r="Y312" s="18">
        <v>3.0272118151249597E-2</v>
      </c>
      <c r="Z312" s="18">
        <v>0.92948540191680973</v>
      </c>
      <c r="AA312" s="18">
        <f t="shared" si="124"/>
        <v>-7.3124177251327069E-2</v>
      </c>
      <c r="AB312" s="18">
        <f t="shared" si="125"/>
        <v>-3.073978101832751E-2</v>
      </c>
      <c r="AC312" s="18">
        <f t="shared" si="126"/>
        <v>-57.644496839658295</v>
      </c>
    </row>
    <row r="313" spans="1:29" x14ac:dyDescent="0.25">
      <c r="A313" s="13" t="str">
        <f t="shared" si="127"/>
        <v/>
      </c>
      <c r="B313" s="30">
        <f>IF(B312=$C$9,$C$6,IF(OR(ISNA(B312),B312=$C$6),NA(),Main!A280))</f>
        <v>279</v>
      </c>
      <c r="C313" s="29">
        <f>IF(ISNA(B313),NA(),IF(B313=$C$6,$C$19,Main!C280))</f>
        <v>0.33740000000000014</v>
      </c>
      <c r="D313" s="19">
        <f t="shared" si="128"/>
        <v>0.76021798365122617</v>
      </c>
      <c r="E313" s="18">
        <f t="shared" si="129"/>
        <v>1.2940796355373445</v>
      </c>
      <c r="F313" s="18">
        <f t="shared" si="130"/>
        <v>0.54965073958466015</v>
      </c>
      <c r="G313" s="18">
        <f t="shared" si="131"/>
        <v>0.29212179675029692</v>
      </c>
      <c r="H313" s="18">
        <f t="shared" si="132"/>
        <v>6.4556574731645354E-3</v>
      </c>
      <c r="I313" s="18">
        <f t="shared" si="114"/>
        <v>0.28382937049684159</v>
      </c>
      <c r="J313" s="18">
        <f t="shared" si="115"/>
        <v>0.30041422300375226</v>
      </c>
      <c r="K313" s="18">
        <f t="shared" si="116"/>
        <v>0.28147198566986059</v>
      </c>
      <c r="L313" s="18">
        <f t="shared" si="117"/>
        <v>0.30277160783073326</v>
      </c>
      <c r="M313" s="18">
        <f t="shared" si="118"/>
        <v>0.27942651019850939</v>
      </c>
      <c r="N313" s="18">
        <f t="shared" si="119"/>
        <v>0.30481708330208446</v>
      </c>
      <c r="O313" s="18">
        <f t="shared" si="120"/>
        <v>0.27540660964544211</v>
      </c>
      <c r="P313" s="18">
        <f t="shared" si="121"/>
        <v>0.30883698385515174</v>
      </c>
      <c r="Q313" s="18">
        <f t="shared" si="133"/>
        <v>0.8619399407083369</v>
      </c>
      <c r="R313" s="18">
        <f t="shared" si="111"/>
        <v>1.9067011708875767</v>
      </c>
      <c r="S313" s="18">
        <f t="shared" si="112"/>
        <v>8.0105443711176848E-3</v>
      </c>
      <c r="T313" s="18">
        <f t="shared" si="122"/>
        <v>0.2763687682400503</v>
      </c>
      <c r="U313" s="18">
        <f t="shared" si="123"/>
        <v>0.30787482526054355</v>
      </c>
      <c r="V313" s="40" t="str">
        <f t="shared" si="113"/>
        <v>Y</v>
      </c>
      <c r="W313" s="18">
        <v>2.0726</v>
      </c>
      <c r="X313" s="18">
        <f t="shared" si="110"/>
        <v>3.0272118151249597E-2</v>
      </c>
      <c r="Y313" s="18">
        <v>3.0272118151249597E-2</v>
      </c>
      <c r="Z313" s="18">
        <v>0.92948540191680973</v>
      </c>
      <c r="AA313" s="18">
        <f t="shared" si="124"/>
        <v>-7.3124177251327069E-2</v>
      </c>
      <c r="AB313" s="18">
        <f t="shared" si="125"/>
        <v>-3.073978101832751E-2</v>
      </c>
      <c r="AC313" s="18">
        <f t="shared" si="126"/>
        <v>-57.8522247561976</v>
      </c>
    </row>
    <row r="314" spans="1:29" x14ac:dyDescent="0.25">
      <c r="A314" s="13" t="str">
        <f t="shared" si="127"/>
        <v/>
      </c>
      <c r="B314" s="30">
        <f>IF(B313=$C$9,$C$6,IF(OR(ISNA(B313),B313=$C$6),NA(),Main!A281))</f>
        <v>280</v>
      </c>
      <c r="C314" s="29">
        <f>IF(ISNA(B314),NA(),IF(B314=$C$6,$C$19,Main!C281))</f>
        <v>0.33740000000000014</v>
      </c>
      <c r="D314" s="19">
        <f t="shared" si="128"/>
        <v>0.76294277929155319</v>
      </c>
      <c r="E314" s="18">
        <f t="shared" si="129"/>
        <v>1.3072161372963769</v>
      </c>
      <c r="F314" s="18">
        <f t="shared" si="130"/>
        <v>0.54965073958466015</v>
      </c>
      <c r="G314" s="18">
        <f t="shared" si="131"/>
        <v>0.29309270156234457</v>
      </c>
      <c r="H314" s="18">
        <f t="shared" si="132"/>
        <v>6.4874014572322055E-3</v>
      </c>
      <c r="I314" s="18">
        <f t="shared" si="114"/>
        <v>0.2847594995013179</v>
      </c>
      <c r="J314" s="18">
        <f t="shared" si="115"/>
        <v>0.30142590362337124</v>
      </c>
      <c r="K314" s="18">
        <f t="shared" si="116"/>
        <v>0.2823905228594521</v>
      </c>
      <c r="L314" s="18">
        <f t="shared" si="117"/>
        <v>0.30379488026523704</v>
      </c>
      <c r="M314" s="18">
        <f t="shared" si="118"/>
        <v>0.28033498930477729</v>
      </c>
      <c r="N314" s="18">
        <f t="shared" si="119"/>
        <v>0.30585041381991185</v>
      </c>
      <c r="O314" s="18">
        <f t="shared" si="120"/>
        <v>0.27629532195651674</v>
      </c>
      <c r="P314" s="18">
        <f t="shared" si="121"/>
        <v>0.3098900811681724</v>
      </c>
      <c r="Q314" s="18">
        <f t="shared" si="133"/>
        <v>0.8619399407083369</v>
      </c>
      <c r="R314" s="18">
        <f t="shared" si="111"/>
        <v>1.9067011708875767</v>
      </c>
      <c r="S314" s="18">
        <f t="shared" si="112"/>
        <v>8.0105443711176848E-3</v>
      </c>
      <c r="T314" s="18">
        <f t="shared" si="122"/>
        <v>0.27733967305209795</v>
      </c>
      <c r="U314" s="18">
        <f t="shared" si="123"/>
        <v>0.3088457300725912</v>
      </c>
      <c r="V314" s="40" t="str">
        <f t="shared" si="113"/>
        <v>Y</v>
      </c>
      <c r="W314" s="18">
        <v>2.0726</v>
      </c>
      <c r="X314" s="18">
        <f t="shared" si="110"/>
        <v>3.0272118151249597E-2</v>
      </c>
      <c r="Y314" s="18">
        <v>3.0272118151249597E-2</v>
      </c>
      <c r="Z314" s="18">
        <v>0.92948540191680973</v>
      </c>
      <c r="AA314" s="18">
        <f t="shared" si="124"/>
        <v>-7.3124177251327069E-2</v>
      </c>
      <c r="AB314" s="18">
        <f t="shared" si="125"/>
        <v>-3.073978101832751E-2</v>
      </c>
      <c r="AC314" s="18">
        <f t="shared" si="126"/>
        <v>-58.059952672736912</v>
      </c>
    </row>
    <row r="315" spans="1:29" x14ac:dyDescent="0.25">
      <c r="A315" s="13" t="str">
        <f t="shared" si="127"/>
        <v/>
      </c>
      <c r="B315" s="30">
        <f>IF(B314=$C$9,$C$6,IF(OR(ISNA(B314),B314=$C$6),NA(),Main!A282))</f>
        <v>281</v>
      </c>
      <c r="C315" s="29">
        <f>IF(ISNA(B315),NA(),IF(B315=$C$6,$C$19,Main!C282))</f>
        <v>0.33740000000000014</v>
      </c>
      <c r="D315" s="19">
        <f t="shared" si="128"/>
        <v>0.76566757493188009</v>
      </c>
      <c r="E315" s="18">
        <f t="shared" si="129"/>
        <v>1.3204797343484771</v>
      </c>
      <c r="F315" s="18">
        <f t="shared" si="130"/>
        <v>0.54965073958466015</v>
      </c>
      <c r="G315" s="18">
        <f t="shared" si="131"/>
        <v>0.2940729998517343</v>
      </c>
      <c r="H315" s="18">
        <f t="shared" si="132"/>
        <v>6.5195394397922404E-3</v>
      </c>
      <c r="I315" s="18">
        <f t="shared" si="114"/>
        <v>0.28569851588388068</v>
      </c>
      <c r="J315" s="18">
        <f t="shared" si="115"/>
        <v>0.30244748381958791</v>
      </c>
      <c r="K315" s="18">
        <f t="shared" si="116"/>
        <v>0.28331780355238578</v>
      </c>
      <c r="L315" s="18">
        <f t="shared" si="117"/>
        <v>0.30482819615108281</v>
      </c>
      <c r="M315" s="18">
        <f t="shared" si="118"/>
        <v>0.28125208707594068</v>
      </c>
      <c r="N315" s="18">
        <f t="shared" si="119"/>
        <v>0.30689391262752791</v>
      </c>
      <c r="O315" s="18">
        <f t="shared" si="120"/>
        <v>0.27719240759190544</v>
      </c>
      <c r="P315" s="18">
        <f t="shared" si="121"/>
        <v>0.31095359211156315</v>
      </c>
      <c r="Q315" s="18">
        <f t="shared" si="133"/>
        <v>0.8619399407083369</v>
      </c>
      <c r="R315" s="18">
        <f t="shared" si="111"/>
        <v>1.9067011708875767</v>
      </c>
      <c r="S315" s="18">
        <f t="shared" si="112"/>
        <v>8.0105443711176848E-3</v>
      </c>
      <c r="T315" s="18">
        <f t="shared" si="122"/>
        <v>0.27831997134148767</v>
      </c>
      <c r="U315" s="18">
        <f t="shared" si="123"/>
        <v>0.30982602836198092</v>
      </c>
      <c r="V315" s="40" t="str">
        <f t="shared" si="113"/>
        <v>Y</v>
      </c>
      <c r="W315" s="18">
        <v>2.0726</v>
      </c>
      <c r="X315" s="18">
        <f t="shared" si="110"/>
        <v>3.0272118151249597E-2</v>
      </c>
      <c r="Y315" s="18">
        <v>3.0272118151249597E-2</v>
      </c>
      <c r="Z315" s="18">
        <v>0.92948540191680973</v>
      </c>
      <c r="AA315" s="18">
        <f t="shared" si="124"/>
        <v>-7.3124177251327069E-2</v>
      </c>
      <c r="AB315" s="18">
        <f t="shared" si="125"/>
        <v>-3.073978101832751E-2</v>
      </c>
      <c r="AC315" s="18">
        <f t="shared" si="126"/>
        <v>-58.267680589276218</v>
      </c>
    </row>
    <row r="316" spans="1:29" x14ac:dyDescent="0.25">
      <c r="A316" s="13" t="str">
        <f t="shared" si="127"/>
        <v/>
      </c>
      <c r="B316" s="30">
        <f>IF(B315=$C$9,$C$6,IF(OR(ISNA(B315),B315=$C$6),NA(),Main!A283))</f>
        <v>282</v>
      </c>
      <c r="C316" s="29">
        <f>IF(ISNA(B316),NA(),IF(B316=$C$6,$C$19,Main!C283))</f>
        <v>0.33740000000000014</v>
      </c>
      <c r="D316" s="19">
        <f t="shared" si="128"/>
        <v>0.76839237057220711</v>
      </c>
      <c r="E316" s="18">
        <f t="shared" si="129"/>
        <v>1.3338735495762419</v>
      </c>
      <c r="F316" s="18">
        <f t="shared" si="130"/>
        <v>0.54965073958466015</v>
      </c>
      <c r="G316" s="18">
        <f t="shared" si="131"/>
        <v>0.29506292242738291</v>
      </c>
      <c r="H316" s="18">
        <f t="shared" si="132"/>
        <v>6.5520802244859386E-3</v>
      </c>
      <c r="I316" s="18">
        <f t="shared" si="114"/>
        <v>0.28664663914498639</v>
      </c>
      <c r="J316" s="18">
        <f t="shared" si="115"/>
        <v>0.30347920570977943</v>
      </c>
      <c r="K316" s="18">
        <f t="shared" si="116"/>
        <v>0.28425404403433013</v>
      </c>
      <c r="L316" s="18">
        <f t="shared" si="117"/>
        <v>0.30587180082043569</v>
      </c>
      <c r="M316" s="18">
        <f t="shared" si="118"/>
        <v>0.28217801700823364</v>
      </c>
      <c r="N316" s="18">
        <f t="shared" si="119"/>
        <v>0.30794782784653218</v>
      </c>
      <c r="O316" s="18">
        <f t="shared" si="120"/>
        <v>0.27809807456586594</v>
      </c>
      <c r="P316" s="18">
        <f t="shared" si="121"/>
        <v>0.31202777028889989</v>
      </c>
      <c r="Q316" s="18">
        <f t="shared" si="133"/>
        <v>0.8619399407083369</v>
      </c>
      <c r="R316" s="18">
        <f t="shared" si="111"/>
        <v>1.9067011708875767</v>
      </c>
      <c r="S316" s="18">
        <f t="shared" si="112"/>
        <v>8.0105443711176848E-3</v>
      </c>
      <c r="T316" s="18">
        <f t="shared" si="122"/>
        <v>0.27930989391713629</v>
      </c>
      <c r="U316" s="18">
        <f t="shared" si="123"/>
        <v>0.31081595093762954</v>
      </c>
      <c r="V316" s="40" t="str">
        <f t="shared" si="113"/>
        <v>Y</v>
      </c>
      <c r="W316" s="18">
        <v>2.0726</v>
      </c>
      <c r="X316" s="18">
        <f t="shared" si="110"/>
        <v>3.0272118151249597E-2</v>
      </c>
      <c r="Y316" s="18">
        <v>3.0272118151249597E-2</v>
      </c>
      <c r="Z316" s="18">
        <v>0.92948540191680973</v>
      </c>
      <c r="AA316" s="18">
        <f t="shared" si="124"/>
        <v>-7.3124177251327069E-2</v>
      </c>
      <c r="AB316" s="18">
        <f t="shared" si="125"/>
        <v>-3.073978101832751E-2</v>
      </c>
      <c r="AC316" s="18">
        <f t="shared" si="126"/>
        <v>-58.47540850581553</v>
      </c>
    </row>
    <row r="317" spans="1:29" x14ac:dyDescent="0.25">
      <c r="A317" s="13" t="str">
        <f t="shared" si="127"/>
        <v/>
      </c>
      <c r="B317" s="30">
        <f>IF(B316=$C$9,$C$6,IF(OR(ISNA(B316),B316=$C$6),NA(),Main!A284))</f>
        <v>283</v>
      </c>
      <c r="C317" s="29">
        <f>IF(ISNA(B317),NA(),IF(B317=$C$6,$C$19,Main!C284))</f>
        <v>0.33740000000000014</v>
      </c>
      <c r="D317" s="19">
        <f t="shared" si="128"/>
        <v>0.77111716621253401</v>
      </c>
      <c r="E317" s="18">
        <f t="shared" si="129"/>
        <v>1.3474008152825661</v>
      </c>
      <c r="F317" s="18">
        <f t="shared" si="130"/>
        <v>0.54965073958466015</v>
      </c>
      <c r="G317" s="18">
        <f t="shared" si="131"/>
        <v>0.29606270818534441</v>
      </c>
      <c r="H317" s="18">
        <f t="shared" si="132"/>
        <v>6.5850329345387244E-3</v>
      </c>
      <c r="I317" s="18">
        <f t="shared" si="114"/>
        <v>0.28760409646171631</v>
      </c>
      <c r="J317" s="18">
        <f t="shared" si="115"/>
        <v>0.30452131990897252</v>
      </c>
      <c r="K317" s="18">
        <f t="shared" si="116"/>
        <v>0.28519946815087721</v>
      </c>
      <c r="L317" s="18">
        <f t="shared" si="117"/>
        <v>0.30692594821981162</v>
      </c>
      <c r="M317" s="18">
        <f t="shared" si="118"/>
        <v>0.28311300005655371</v>
      </c>
      <c r="N317" s="18">
        <f t="shared" si="119"/>
        <v>0.30901241631413512</v>
      </c>
      <c r="O317" s="18">
        <f t="shared" si="120"/>
        <v>0.27901253815231603</v>
      </c>
      <c r="P317" s="18">
        <f t="shared" si="121"/>
        <v>0.3131128782183728</v>
      </c>
      <c r="Q317" s="18">
        <f t="shared" si="133"/>
        <v>0.8619399407083369</v>
      </c>
      <c r="R317" s="18">
        <f t="shared" si="111"/>
        <v>1.9067011708875767</v>
      </c>
      <c r="S317" s="18">
        <f t="shared" si="112"/>
        <v>8.0105443711176848E-3</v>
      </c>
      <c r="T317" s="18">
        <f t="shared" si="122"/>
        <v>0.28030967967509779</v>
      </c>
      <c r="U317" s="18">
        <f t="shared" si="123"/>
        <v>0.31181573669559104</v>
      </c>
      <c r="V317" s="40" t="str">
        <f t="shared" si="113"/>
        <v>Y</v>
      </c>
      <c r="W317" s="18">
        <v>2.0726</v>
      </c>
      <c r="X317" s="18">
        <f t="shared" si="110"/>
        <v>3.0272118151249597E-2</v>
      </c>
      <c r="Y317" s="18">
        <v>3.0272118151249597E-2</v>
      </c>
      <c r="Z317" s="18">
        <v>0.92948540191680973</v>
      </c>
      <c r="AA317" s="18">
        <f t="shared" si="124"/>
        <v>-7.3124177251327069E-2</v>
      </c>
      <c r="AB317" s="18">
        <f t="shared" si="125"/>
        <v>-3.073978101832751E-2</v>
      </c>
      <c r="AC317" s="18">
        <f t="shared" si="126"/>
        <v>-58.683136422354842</v>
      </c>
    </row>
    <row r="318" spans="1:29" x14ac:dyDescent="0.25">
      <c r="A318" s="13" t="str">
        <f t="shared" si="127"/>
        <v/>
      </c>
      <c r="B318" s="30">
        <f>IF(B317=$C$9,$C$6,IF(OR(ISNA(B317),B317=$C$6),NA(),Main!A285))</f>
        <v>284</v>
      </c>
      <c r="C318" s="29">
        <f>IF(ISNA(B318),NA(),IF(B318=$C$6,$C$19,Main!C285))</f>
        <v>0.33740000000000014</v>
      </c>
      <c r="D318" s="19">
        <f t="shared" si="128"/>
        <v>0.77384196185286103</v>
      </c>
      <c r="E318" s="18">
        <f t="shared" si="129"/>
        <v>1.3610648784520463</v>
      </c>
      <c r="F318" s="18">
        <f t="shared" si="130"/>
        <v>0.54965073958466015</v>
      </c>
      <c r="G318" s="18">
        <f t="shared" si="131"/>
        <v>0.29707260449767503</v>
      </c>
      <c r="H318" s="18">
        <f t="shared" si="132"/>
        <v>6.6184070280457582E-3</v>
      </c>
      <c r="I318" s="18">
        <f t="shared" si="114"/>
        <v>0.28857112305700672</v>
      </c>
      <c r="J318" s="18">
        <f t="shared" si="115"/>
        <v>0.30557408593834334</v>
      </c>
      <c r="K318" s="18">
        <f t="shared" si="116"/>
        <v>0.28615430767119115</v>
      </c>
      <c r="L318" s="18">
        <f t="shared" si="117"/>
        <v>0.30799090132415891</v>
      </c>
      <c r="M318" s="18">
        <f t="shared" si="118"/>
        <v>0.284057264993267</v>
      </c>
      <c r="N318" s="18">
        <f t="shared" si="119"/>
        <v>0.31008794400208306</v>
      </c>
      <c r="O318" s="18">
        <f t="shared" si="120"/>
        <v>0.2799360212341207</v>
      </c>
      <c r="P318" s="18">
        <f t="shared" si="121"/>
        <v>0.31420918776122936</v>
      </c>
      <c r="Q318" s="18">
        <f t="shared" si="133"/>
        <v>0.8619399407083369</v>
      </c>
      <c r="R318" s="18">
        <f t="shared" si="111"/>
        <v>1.9067011708875767</v>
      </c>
      <c r="S318" s="18">
        <f t="shared" si="112"/>
        <v>8.0105443711176848E-3</v>
      </c>
      <c r="T318" s="18">
        <f t="shared" si="122"/>
        <v>0.28131957598742841</v>
      </c>
      <c r="U318" s="18">
        <f t="shared" si="123"/>
        <v>0.31282563300792166</v>
      </c>
      <c r="V318" s="40" t="str">
        <f t="shared" si="113"/>
        <v>Y</v>
      </c>
      <c r="W318" s="18">
        <v>2.0726</v>
      </c>
      <c r="X318" s="18">
        <f t="shared" si="110"/>
        <v>3.0272118151249597E-2</v>
      </c>
      <c r="Y318" s="18">
        <v>3.0272118151249597E-2</v>
      </c>
      <c r="Z318" s="18">
        <v>0.92948540191680973</v>
      </c>
      <c r="AA318" s="18">
        <f t="shared" si="124"/>
        <v>-7.3124177251327069E-2</v>
      </c>
      <c r="AB318" s="18">
        <f t="shared" si="125"/>
        <v>-3.073978101832751E-2</v>
      </c>
      <c r="AC318" s="18">
        <f t="shared" si="126"/>
        <v>-58.890864338894147</v>
      </c>
    </row>
    <row r="319" spans="1:29" x14ac:dyDescent="0.25">
      <c r="A319" s="13" t="str">
        <f t="shared" si="127"/>
        <v/>
      </c>
      <c r="B319" s="30">
        <f>IF(B318=$C$9,$C$6,IF(OR(ISNA(B318),B318=$C$6),NA(),Main!A286))</f>
        <v>285</v>
      </c>
      <c r="C319" s="29">
        <f>IF(ISNA(B319),NA(),IF(B319=$C$6,$C$19,Main!C286))</f>
        <v>0.33740000000000014</v>
      </c>
      <c r="D319" s="19">
        <f t="shared" si="128"/>
        <v>0.77656675749318804</v>
      </c>
      <c r="E319" s="18">
        <f t="shared" si="129"/>
        <v>1.3748692063309458</v>
      </c>
      <c r="F319" s="18">
        <f t="shared" si="130"/>
        <v>0.54965073958466015</v>
      </c>
      <c r="G319" s="18">
        <f t="shared" si="131"/>
        <v>0.29809286762484216</v>
      </c>
      <c r="H319" s="18">
        <f t="shared" si="132"/>
        <v>6.6522123141868391E-3</v>
      </c>
      <c r="I319" s="18">
        <f t="shared" si="114"/>
        <v>0.28954796259122967</v>
      </c>
      <c r="J319" s="18">
        <f t="shared" si="115"/>
        <v>0.30663777265845465</v>
      </c>
      <c r="K319" s="18">
        <f t="shared" si="116"/>
        <v>0.28711880267366779</v>
      </c>
      <c r="L319" s="18">
        <f t="shared" si="117"/>
        <v>0.30906693257601653</v>
      </c>
      <c r="M319" s="18">
        <f t="shared" si="118"/>
        <v>0.28501104878873007</v>
      </c>
      <c r="N319" s="18">
        <f t="shared" si="119"/>
        <v>0.31117468646095425</v>
      </c>
      <c r="O319" s="18">
        <f t="shared" si="120"/>
        <v>0.28086875467351702</v>
      </c>
      <c r="P319" s="18">
        <f t="shared" si="121"/>
        <v>0.31531698057616731</v>
      </c>
      <c r="Q319" s="18">
        <f t="shared" si="133"/>
        <v>0.8619399407083369</v>
      </c>
      <c r="R319" s="18">
        <f t="shared" si="111"/>
        <v>1.9067011708875767</v>
      </c>
      <c r="S319" s="18">
        <f t="shared" si="112"/>
        <v>8.0105443711176848E-3</v>
      </c>
      <c r="T319" s="18">
        <f t="shared" si="122"/>
        <v>0.28233983911459554</v>
      </c>
      <c r="U319" s="18">
        <f t="shared" si="123"/>
        <v>0.31384589613508879</v>
      </c>
      <c r="V319" s="40" t="str">
        <f t="shared" si="113"/>
        <v>Y</v>
      </c>
      <c r="W319" s="18">
        <v>2.0726</v>
      </c>
      <c r="X319" s="18">
        <f t="shared" si="110"/>
        <v>3.0272118151249597E-2</v>
      </c>
      <c r="Y319" s="18">
        <v>3.0272118151249597E-2</v>
      </c>
      <c r="Z319" s="18">
        <v>0.92948540191680973</v>
      </c>
      <c r="AA319" s="18">
        <f t="shared" si="124"/>
        <v>-7.3124177251327069E-2</v>
      </c>
      <c r="AB319" s="18">
        <f t="shared" si="125"/>
        <v>-3.073978101832751E-2</v>
      </c>
      <c r="AC319" s="18">
        <f t="shared" si="126"/>
        <v>-59.098592255433459</v>
      </c>
    </row>
    <row r="320" spans="1:29" x14ac:dyDescent="0.25">
      <c r="A320" s="13" t="str">
        <f t="shared" si="127"/>
        <v/>
      </c>
      <c r="B320" s="30">
        <f>IF(B319=$C$9,$C$6,IF(OR(ISNA(B319),B319=$C$6),NA(),Main!A287))</f>
        <v>286</v>
      </c>
      <c r="C320" s="29">
        <f>IF(ISNA(B320),NA(),IF(B320=$C$6,$C$19,Main!C287))</f>
        <v>0.33740000000000014</v>
      </c>
      <c r="D320" s="19">
        <f t="shared" si="128"/>
        <v>0.77929155313351495</v>
      </c>
      <c r="E320" s="18">
        <f t="shared" si="129"/>
        <v>1.3888173923491949</v>
      </c>
      <c r="F320" s="18">
        <f t="shared" si="130"/>
        <v>0.54965073958466015</v>
      </c>
      <c r="G320" s="18">
        <f t="shared" si="131"/>
        <v>0.29912376315341332</v>
      </c>
      <c r="H320" s="18">
        <f t="shared" si="132"/>
        <v>6.6864589704391953E-3</v>
      </c>
      <c r="I320" s="18">
        <f t="shared" si="114"/>
        <v>0.29053486757777153</v>
      </c>
      <c r="J320" s="18">
        <f t="shared" si="115"/>
        <v>0.30771265872905512</v>
      </c>
      <c r="K320" s="18">
        <f t="shared" si="116"/>
        <v>0.28809320195522764</v>
      </c>
      <c r="L320" s="18">
        <f t="shared" si="117"/>
        <v>0.31015432435159901</v>
      </c>
      <c r="M320" s="18">
        <f t="shared" si="118"/>
        <v>0.28597459701512923</v>
      </c>
      <c r="N320" s="18">
        <f t="shared" si="119"/>
        <v>0.31227292929169742</v>
      </c>
      <c r="O320" s="18">
        <f t="shared" si="120"/>
        <v>0.28181097770523511</v>
      </c>
      <c r="P320" s="18">
        <f t="shared" si="121"/>
        <v>0.31643654860159154</v>
      </c>
      <c r="Q320" s="18">
        <f t="shared" si="133"/>
        <v>0.8619399407083369</v>
      </c>
      <c r="R320" s="18">
        <f t="shared" si="111"/>
        <v>1.9067011708875767</v>
      </c>
      <c r="S320" s="18">
        <f t="shared" si="112"/>
        <v>8.0105443711176848E-3</v>
      </c>
      <c r="T320" s="18">
        <f t="shared" si="122"/>
        <v>0.2833707346431667</v>
      </c>
      <c r="U320" s="18">
        <f t="shared" si="123"/>
        <v>0.31487679166365995</v>
      </c>
      <c r="V320" s="40" t="str">
        <f t="shared" si="113"/>
        <v>Y</v>
      </c>
      <c r="W320" s="18">
        <v>2.0726</v>
      </c>
      <c r="X320" s="18">
        <f t="shared" si="110"/>
        <v>3.0272118151249597E-2</v>
      </c>
      <c r="Y320" s="18">
        <v>3.0272118151249597E-2</v>
      </c>
      <c r="Z320" s="18">
        <v>0.92948540191680973</v>
      </c>
      <c r="AA320" s="18">
        <f t="shared" si="124"/>
        <v>-7.3124177251327069E-2</v>
      </c>
      <c r="AB320" s="18">
        <f t="shared" si="125"/>
        <v>-3.073978101832751E-2</v>
      </c>
      <c r="AC320" s="18">
        <f t="shared" si="126"/>
        <v>-59.306320171972764</v>
      </c>
    </row>
    <row r="321" spans="1:29" x14ac:dyDescent="0.25">
      <c r="A321" s="13" t="str">
        <f t="shared" si="127"/>
        <v/>
      </c>
      <c r="B321" s="30">
        <f>IF(B320=$C$9,$C$6,IF(OR(ISNA(B320),B320=$C$6),NA(),Main!A288))</f>
        <v>287</v>
      </c>
      <c r="C321" s="29">
        <f>IF(ISNA(B321),NA(),IF(B321=$C$6,$C$19,Main!C288))</f>
        <v>0.33740000000000014</v>
      </c>
      <c r="D321" s="19">
        <f t="shared" si="128"/>
        <v>0.78201634877384196</v>
      </c>
      <c r="E321" s="18">
        <f t="shared" si="129"/>
        <v>1.4029131624099209</v>
      </c>
      <c r="F321" s="18">
        <f t="shared" si="130"/>
        <v>0.54965073958466015</v>
      </c>
      <c r="G321" s="18">
        <f t="shared" si="131"/>
        <v>0.30016556646090847</v>
      </c>
      <c r="H321" s="18">
        <f t="shared" si="132"/>
        <v>6.7211575608626195E-3</v>
      </c>
      <c r="I321" s="18">
        <f t="shared" si="114"/>
        <v>0.29153209982439776</v>
      </c>
      <c r="J321" s="18">
        <f t="shared" si="115"/>
        <v>0.30879903309741918</v>
      </c>
      <c r="K321" s="18">
        <f t="shared" si="116"/>
        <v>0.28907776346600372</v>
      </c>
      <c r="L321" s="18">
        <f t="shared" si="117"/>
        <v>0.31125336945581322</v>
      </c>
      <c r="M321" s="18">
        <f t="shared" si="118"/>
        <v>0.2869481642753744</v>
      </c>
      <c r="N321" s="18">
        <f t="shared" si="119"/>
        <v>0.31338296864644255</v>
      </c>
      <c r="O321" s="18">
        <f t="shared" si="120"/>
        <v>0.28276293835400601</v>
      </c>
      <c r="P321" s="18">
        <f t="shared" si="121"/>
        <v>0.31756819456781094</v>
      </c>
      <c r="Q321" s="18">
        <f t="shared" si="133"/>
        <v>0.8619399407083369</v>
      </c>
      <c r="R321" s="18">
        <f t="shared" si="111"/>
        <v>1.9067011708875767</v>
      </c>
      <c r="S321" s="18">
        <f t="shared" si="112"/>
        <v>8.0105443711176848E-3</v>
      </c>
      <c r="T321" s="18">
        <f t="shared" si="122"/>
        <v>0.28441253795066185</v>
      </c>
      <c r="U321" s="18">
        <f t="shared" si="123"/>
        <v>0.3159185949711551</v>
      </c>
      <c r="V321" s="40" t="str">
        <f t="shared" si="113"/>
        <v>Y</v>
      </c>
      <c r="W321" s="18">
        <v>2.0726</v>
      </c>
      <c r="X321" s="18">
        <f t="shared" si="110"/>
        <v>3.0272118151249597E-2</v>
      </c>
      <c r="Y321" s="18">
        <v>3.0272118151249597E-2</v>
      </c>
      <c r="Z321" s="18">
        <v>0.92948540191680973</v>
      </c>
      <c r="AA321" s="18">
        <f t="shared" si="124"/>
        <v>-7.3124177251327069E-2</v>
      </c>
      <c r="AB321" s="18">
        <f t="shared" si="125"/>
        <v>-3.073978101832751E-2</v>
      </c>
      <c r="AC321" s="18">
        <f t="shared" si="126"/>
        <v>-59.514048088512077</v>
      </c>
    </row>
    <row r="322" spans="1:29" x14ac:dyDescent="0.25">
      <c r="A322" s="13" t="str">
        <f t="shared" si="127"/>
        <v/>
      </c>
      <c r="B322" s="30">
        <f>IF(B321=$C$9,$C$6,IF(OR(ISNA(B321),B321=$C$6),NA(),Main!A289))</f>
        <v>288</v>
      </c>
      <c r="C322" s="29">
        <f>IF(ISNA(B322),NA(),IF(B322=$C$6,$C$19,Main!C289))</f>
        <v>0.33740000000000014</v>
      </c>
      <c r="D322" s="19">
        <f t="shared" si="128"/>
        <v>0.78474114441416898</v>
      </c>
      <c r="E322" s="18">
        <f t="shared" si="129"/>
        <v>1.4171603815742526</v>
      </c>
      <c r="F322" s="18">
        <f t="shared" si="130"/>
        <v>0.54965073958466015</v>
      </c>
      <c r="G322" s="18">
        <f t="shared" si="131"/>
        <v>0.30121856320986684</v>
      </c>
      <c r="H322" s="18">
        <f t="shared" si="132"/>
        <v>6.7563190555379963E-3</v>
      </c>
      <c r="I322" s="18">
        <f t="shared" si="114"/>
        <v>0.2925399309023507</v>
      </c>
      <c r="J322" s="18">
        <f t="shared" si="115"/>
        <v>0.30989719551738298</v>
      </c>
      <c r="K322" s="18">
        <f t="shared" si="116"/>
        <v>0.2900727547713407</v>
      </c>
      <c r="L322" s="18">
        <f t="shared" si="117"/>
        <v>0.31236437164839298</v>
      </c>
      <c r="M322" s="18">
        <f t="shared" si="118"/>
        <v>0.28793201465893953</v>
      </c>
      <c r="N322" s="18">
        <f t="shared" si="119"/>
        <v>0.31450511176079415</v>
      </c>
      <c r="O322" s="18">
        <f t="shared" si="120"/>
        <v>0.28372489387829775</v>
      </c>
      <c r="P322" s="18">
        <f t="shared" si="121"/>
        <v>0.31871223254143594</v>
      </c>
      <c r="Q322" s="18">
        <f t="shared" si="133"/>
        <v>0.8619399407083369</v>
      </c>
      <c r="R322" s="18">
        <f t="shared" si="111"/>
        <v>1.9067011708875767</v>
      </c>
      <c r="S322" s="18">
        <f t="shared" si="112"/>
        <v>8.0105443711176848E-3</v>
      </c>
      <c r="T322" s="18">
        <f t="shared" si="122"/>
        <v>0.28546553469962022</v>
      </c>
      <c r="U322" s="18">
        <f t="shared" si="123"/>
        <v>0.31697159172011347</v>
      </c>
      <c r="V322" s="40" t="str">
        <f t="shared" si="113"/>
        <v>Y</v>
      </c>
      <c r="W322" s="18">
        <v>2.0726</v>
      </c>
      <c r="X322" s="18">
        <f t="shared" si="110"/>
        <v>3.0272118151249597E-2</v>
      </c>
      <c r="Y322" s="18">
        <v>3.0272118151249597E-2</v>
      </c>
      <c r="Z322" s="18">
        <v>0.92948540191680973</v>
      </c>
      <c r="AA322" s="18">
        <f t="shared" si="124"/>
        <v>-7.3124177251327069E-2</v>
      </c>
      <c r="AB322" s="18">
        <f t="shared" si="125"/>
        <v>-3.073978101832751E-2</v>
      </c>
      <c r="AC322" s="18">
        <f t="shared" si="126"/>
        <v>-59.721776005051382</v>
      </c>
    </row>
    <row r="323" spans="1:29" x14ac:dyDescent="0.25">
      <c r="A323" s="13" t="str">
        <f t="shared" si="127"/>
        <v/>
      </c>
      <c r="B323" s="30">
        <f>IF(B322=$C$9,$C$6,IF(OR(ISNA(B322),B322=$C$6),NA(),Main!A290))</f>
        <v>289</v>
      </c>
      <c r="C323" s="29">
        <f>IF(ISNA(B323),NA(),IF(B323=$C$6,$C$19,Main!C290))</f>
        <v>0.33740000000000014</v>
      </c>
      <c r="D323" s="19">
        <f t="shared" si="128"/>
        <v>0.78746594005449588</v>
      </c>
      <c r="E323" s="18">
        <f t="shared" si="129"/>
        <v>1.4315630611716292</v>
      </c>
      <c r="F323" s="18">
        <f t="shared" si="130"/>
        <v>0.54965073958466015</v>
      </c>
      <c r="G323" s="18">
        <f t="shared" si="131"/>
        <v>0.30228304987336219</v>
      </c>
      <c r="H323" s="18">
        <f t="shared" si="132"/>
        <v>6.7919548512475631E-3</v>
      </c>
      <c r="I323" s="18">
        <f t="shared" si="114"/>
        <v>0.29355864264530024</v>
      </c>
      <c r="J323" s="18">
        <f t="shared" si="115"/>
        <v>0.31100745710142413</v>
      </c>
      <c r="K323" s="18">
        <f t="shared" si="116"/>
        <v>0.29107845354319445</v>
      </c>
      <c r="L323" s="18">
        <f t="shared" si="117"/>
        <v>0.31348764620352992</v>
      </c>
      <c r="M323" s="18">
        <f t="shared" si="118"/>
        <v>0.28892642222670922</v>
      </c>
      <c r="N323" s="18">
        <f t="shared" si="119"/>
        <v>0.31563967752001515</v>
      </c>
      <c r="O323" s="18">
        <f t="shared" si="120"/>
        <v>0.28469711124228458</v>
      </c>
      <c r="P323" s="18">
        <f t="shared" si="121"/>
        <v>0.31986898850443979</v>
      </c>
      <c r="Q323" s="18">
        <f t="shared" si="133"/>
        <v>0.8619399407083369</v>
      </c>
      <c r="R323" s="18">
        <f t="shared" si="111"/>
        <v>1.9067011708875767</v>
      </c>
      <c r="S323" s="18">
        <f t="shared" si="112"/>
        <v>8.0105443711176848E-3</v>
      </c>
      <c r="T323" s="18">
        <f t="shared" si="122"/>
        <v>0.28653002136311556</v>
      </c>
      <c r="U323" s="18">
        <f t="shared" si="123"/>
        <v>0.31803607838360881</v>
      </c>
      <c r="V323" s="40" t="str">
        <f t="shared" si="113"/>
        <v>Y</v>
      </c>
      <c r="W323" s="18">
        <v>2.0726</v>
      </c>
      <c r="X323" s="18">
        <f t="shared" si="110"/>
        <v>3.0272118151249597E-2</v>
      </c>
      <c r="Y323" s="18">
        <v>3.0272118151249597E-2</v>
      </c>
      <c r="Z323" s="18">
        <v>0.92948540191680973</v>
      </c>
      <c r="AA323" s="18">
        <f t="shared" si="124"/>
        <v>-7.3124177251327069E-2</v>
      </c>
      <c r="AB323" s="18">
        <f t="shared" si="125"/>
        <v>-3.073978101832751E-2</v>
      </c>
      <c r="AC323" s="18">
        <f t="shared" si="126"/>
        <v>-59.929503921590694</v>
      </c>
    </row>
    <row r="324" spans="1:29" x14ac:dyDescent="0.25">
      <c r="A324" s="13" t="str">
        <f t="shared" si="127"/>
        <v/>
      </c>
      <c r="B324" s="30">
        <f>IF(B323=$C$9,$C$6,IF(OR(ISNA(B323),B323=$C$6),NA(),Main!A291))</f>
        <v>290</v>
      </c>
      <c r="C324" s="29">
        <f>IF(ISNA(B324),NA(),IF(B324=$C$6,$C$19,Main!C291))</f>
        <v>0.33740000000000014</v>
      </c>
      <c r="D324" s="19">
        <f t="shared" si="128"/>
        <v>0.7901907356948229</v>
      </c>
      <c r="E324" s="18">
        <f t="shared" si="129"/>
        <v>1.4461253663685623</v>
      </c>
      <c r="F324" s="18">
        <f t="shared" si="130"/>
        <v>0.54965073958466015</v>
      </c>
      <c r="G324" s="18">
        <f t="shared" si="131"/>
        <v>0.30335933429440204</v>
      </c>
      <c r="H324" s="18">
        <f t="shared" si="132"/>
        <v>6.828076793493185E-3</v>
      </c>
      <c r="I324" s="18">
        <f t="shared" si="114"/>
        <v>0.29458852768046062</v>
      </c>
      <c r="J324" s="18">
        <f t="shared" si="115"/>
        <v>0.31213014090834346</v>
      </c>
      <c r="K324" s="18">
        <f t="shared" si="116"/>
        <v>0.29209514808320769</v>
      </c>
      <c r="L324" s="18">
        <f t="shared" si="117"/>
        <v>0.31462352050559639</v>
      </c>
      <c r="M324" s="18">
        <f t="shared" si="118"/>
        <v>0.28993167152707833</v>
      </c>
      <c r="N324" s="18">
        <f t="shared" si="119"/>
        <v>0.31678699706172575</v>
      </c>
      <c r="O324" s="18">
        <f t="shared" si="120"/>
        <v>0.28567986761823588</v>
      </c>
      <c r="P324" s="18">
        <f t="shared" si="121"/>
        <v>0.32103880097056819</v>
      </c>
      <c r="Q324" s="18">
        <f t="shared" si="133"/>
        <v>0.8619399407083369</v>
      </c>
      <c r="R324" s="18">
        <f t="shared" si="111"/>
        <v>1.9067011708875767</v>
      </c>
      <c r="S324" s="18">
        <f t="shared" si="112"/>
        <v>8.0105443711176848E-3</v>
      </c>
      <c r="T324" s="18">
        <f t="shared" si="122"/>
        <v>0.28760630578415541</v>
      </c>
      <c r="U324" s="18">
        <f t="shared" si="123"/>
        <v>0.31911236280464866</v>
      </c>
      <c r="V324" s="40" t="str">
        <f t="shared" si="113"/>
        <v>Y</v>
      </c>
      <c r="W324" s="18">
        <v>2.0726</v>
      </c>
      <c r="X324" s="18">
        <f t="shared" si="110"/>
        <v>3.0272118151249597E-2</v>
      </c>
      <c r="Y324" s="18">
        <v>3.0272118151249597E-2</v>
      </c>
      <c r="Z324" s="18">
        <v>0.92948540191680973</v>
      </c>
      <c r="AA324" s="18">
        <f t="shared" si="124"/>
        <v>-7.3124177251327069E-2</v>
      </c>
      <c r="AB324" s="18">
        <f t="shared" si="125"/>
        <v>-3.073978101832751E-2</v>
      </c>
      <c r="AC324" s="18">
        <f t="shared" si="126"/>
        <v>-60.137231838130006</v>
      </c>
    </row>
    <row r="325" spans="1:29" x14ac:dyDescent="0.25">
      <c r="A325" s="13" t="str">
        <f t="shared" si="127"/>
        <v/>
      </c>
      <c r="B325" s="30">
        <f>IF(B324=$C$9,$C$6,IF(OR(ISNA(B324),B324=$C$6),NA(),Main!A292))</f>
        <v>291</v>
      </c>
      <c r="C325" s="29">
        <f>IF(ISNA(B325),NA(),IF(B325=$C$6,$C$19,Main!C292))</f>
        <v>0.33740000000000014</v>
      </c>
      <c r="D325" s="19">
        <f t="shared" si="128"/>
        <v>0.79291553133514991</v>
      </c>
      <c r="E325" s="18">
        <f t="shared" si="129"/>
        <v>1.4608516242318079</v>
      </c>
      <c r="F325" s="18">
        <f t="shared" si="130"/>
        <v>0.54965073958466015</v>
      </c>
      <c r="G325" s="18">
        <f t="shared" si="131"/>
        <v>0.30444773628186789</v>
      </c>
      <c r="H325" s="18">
        <f t="shared" si="132"/>
        <v>6.8646971999577287E-3</v>
      </c>
      <c r="I325" s="18">
        <f t="shared" si="114"/>
        <v>0.29562988999439338</v>
      </c>
      <c r="J325" s="18">
        <f t="shared" si="115"/>
        <v>0.31326558256934239</v>
      </c>
      <c r="K325" s="18">
        <f t="shared" si="116"/>
        <v>0.29312313787994665</v>
      </c>
      <c r="L325" s="18">
        <f t="shared" si="117"/>
        <v>0.31577233468378912</v>
      </c>
      <c r="M325" s="18">
        <f t="shared" si="118"/>
        <v>0.29094805814575442</v>
      </c>
      <c r="N325" s="18">
        <f t="shared" si="119"/>
        <v>0.31794741441798136</v>
      </c>
      <c r="O325" s="18">
        <f t="shared" si="120"/>
        <v>0.28667345092170937</v>
      </c>
      <c r="P325" s="18">
        <f t="shared" si="121"/>
        <v>0.3222220216420264</v>
      </c>
      <c r="Q325" s="18">
        <f t="shared" si="133"/>
        <v>0.8619399407083369</v>
      </c>
      <c r="R325" s="18">
        <f t="shared" si="111"/>
        <v>1.9067011708875767</v>
      </c>
      <c r="S325" s="18">
        <f t="shared" si="112"/>
        <v>8.0105443711176848E-3</v>
      </c>
      <c r="T325" s="18">
        <f t="shared" si="122"/>
        <v>0.28869470777162126</v>
      </c>
      <c r="U325" s="18">
        <f t="shared" si="123"/>
        <v>0.32020076479211451</v>
      </c>
      <c r="V325" s="40" t="str">
        <f t="shared" si="113"/>
        <v>Y</v>
      </c>
      <c r="W325" s="18">
        <v>2.0726</v>
      </c>
      <c r="X325" s="18">
        <f t="shared" si="110"/>
        <v>3.0272118151249597E-2</v>
      </c>
      <c r="Y325" s="18">
        <v>3.0272118151249597E-2</v>
      </c>
      <c r="Z325" s="18">
        <v>0.92948540191680973</v>
      </c>
      <c r="AA325" s="18">
        <f t="shared" si="124"/>
        <v>-7.3124177251327069E-2</v>
      </c>
      <c r="AB325" s="18">
        <f t="shared" si="125"/>
        <v>-3.073978101832751E-2</v>
      </c>
      <c r="AC325" s="18">
        <f t="shared" si="126"/>
        <v>-60.344959754669311</v>
      </c>
    </row>
    <row r="326" spans="1:29" x14ac:dyDescent="0.25">
      <c r="A326" s="13" t="str">
        <f t="shared" si="127"/>
        <v/>
      </c>
      <c r="B326" s="30">
        <f>IF(B325=$C$9,$C$6,IF(OR(ISNA(B325),B325=$C$6),NA(),Main!A293))</f>
        <v>292</v>
      </c>
      <c r="C326" s="29">
        <f>IF(ISNA(B326),NA(),IF(B326=$C$6,$C$19,Main!C293))</f>
        <v>0.33740000000000014</v>
      </c>
      <c r="D326" s="19">
        <f t="shared" si="128"/>
        <v>0.79564032697547682</v>
      </c>
      <c r="E326" s="18">
        <f t="shared" si="129"/>
        <v>1.4757463323252655</v>
      </c>
      <c r="F326" s="18">
        <f t="shared" si="130"/>
        <v>0.54965073958466015</v>
      </c>
      <c r="G326" s="18">
        <f t="shared" si="131"/>
        <v>0.30554858824590309</v>
      </c>
      <c r="H326" s="18">
        <f t="shared" si="132"/>
        <v>6.9018288855244416E-3</v>
      </c>
      <c r="I326" s="18">
        <f t="shared" si="114"/>
        <v>0.29668304553625807</v>
      </c>
      <c r="J326" s="18">
        <f t="shared" si="115"/>
        <v>0.3144141309555481</v>
      </c>
      <c r="K326" s="18">
        <f t="shared" si="116"/>
        <v>0.29416273420301464</v>
      </c>
      <c r="L326" s="18">
        <f t="shared" si="117"/>
        <v>0.31693444228879153</v>
      </c>
      <c r="M326" s="18">
        <f t="shared" si="118"/>
        <v>0.29197588929194418</v>
      </c>
      <c r="N326" s="18">
        <f t="shared" si="119"/>
        <v>0.31912128719986199</v>
      </c>
      <c r="O326" s="18">
        <f t="shared" si="120"/>
        <v>0.28767816038215821</v>
      </c>
      <c r="P326" s="18">
        <f t="shared" si="121"/>
        <v>0.32341901610964796</v>
      </c>
      <c r="Q326" s="18">
        <f t="shared" si="133"/>
        <v>0.8619399407083369</v>
      </c>
      <c r="R326" s="18">
        <f t="shared" si="111"/>
        <v>1.9067011708875767</v>
      </c>
      <c r="S326" s="18">
        <f t="shared" si="112"/>
        <v>8.0105443711176848E-3</v>
      </c>
      <c r="T326" s="18">
        <f t="shared" si="122"/>
        <v>0.28979555973565646</v>
      </c>
      <c r="U326" s="18">
        <f t="shared" si="123"/>
        <v>0.32130161675614971</v>
      </c>
      <c r="V326" s="40" t="str">
        <f t="shared" si="113"/>
        <v>Y</v>
      </c>
      <c r="W326" s="18">
        <v>2.0726</v>
      </c>
      <c r="X326" s="18">
        <f t="shared" si="110"/>
        <v>3.0272118151249597E-2</v>
      </c>
      <c r="Y326" s="18">
        <v>3.0272118151249597E-2</v>
      </c>
      <c r="Z326" s="18">
        <v>0.92948540191680973</v>
      </c>
      <c r="AA326" s="18">
        <f t="shared" si="124"/>
        <v>-7.3124177251327069E-2</v>
      </c>
      <c r="AB326" s="18">
        <f t="shared" si="125"/>
        <v>-3.073978101832751E-2</v>
      </c>
      <c r="AC326" s="18">
        <f t="shared" si="126"/>
        <v>-60.552687671208623</v>
      </c>
    </row>
    <row r="327" spans="1:29" x14ac:dyDescent="0.25">
      <c r="A327" s="13" t="str">
        <f t="shared" si="127"/>
        <v/>
      </c>
      <c r="B327" s="30">
        <f>IF(B326=$C$9,$C$6,IF(OR(ISNA(B326),B326=$C$6),NA(),Main!A294))</f>
        <v>293</v>
      </c>
      <c r="C327" s="29">
        <f>IF(ISNA(B327),NA(),IF(B327=$C$6,$C$19,Main!C294))</f>
        <v>0.33740000000000014</v>
      </c>
      <c r="D327" s="19">
        <f t="shared" si="128"/>
        <v>0.79836512261580383</v>
      </c>
      <c r="E327" s="18">
        <f t="shared" si="129"/>
        <v>1.4908141678835924</v>
      </c>
      <c r="F327" s="18">
        <f t="shared" si="130"/>
        <v>0.54965073958466015</v>
      </c>
      <c r="G327" s="18">
        <f t="shared" si="131"/>
        <v>0.30666223587592478</v>
      </c>
      <c r="H327" s="18">
        <f t="shared" si="132"/>
        <v>6.9394851889800283E-3</v>
      </c>
      <c r="I327" s="18">
        <f t="shared" si="114"/>
        <v>0.29774832286152286</v>
      </c>
      <c r="J327" s="18">
        <f t="shared" si="115"/>
        <v>0.3155761488903267</v>
      </c>
      <c r="K327" s="18">
        <f t="shared" si="116"/>
        <v>0.29521426073701212</v>
      </c>
      <c r="L327" s="18">
        <f t="shared" si="117"/>
        <v>0.31811021101483744</v>
      </c>
      <c r="M327" s="18">
        <f t="shared" si="118"/>
        <v>0.29301548442385289</v>
      </c>
      <c r="N327" s="18">
        <f t="shared" si="119"/>
        <v>0.32030898732799667</v>
      </c>
      <c r="O327" s="18">
        <f t="shared" si="120"/>
        <v>0.28869430715180217</v>
      </c>
      <c r="P327" s="18">
        <f t="shared" si="121"/>
        <v>0.3246301646000474</v>
      </c>
      <c r="Q327" s="18">
        <f t="shared" si="133"/>
        <v>0.8619399407083369</v>
      </c>
      <c r="R327" s="18">
        <f t="shared" si="111"/>
        <v>1.9067011708875767</v>
      </c>
      <c r="S327" s="18">
        <f t="shared" si="112"/>
        <v>8.0105443711176848E-3</v>
      </c>
      <c r="T327" s="18">
        <f t="shared" si="122"/>
        <v>0.29090920736567816</v>
      </c>
      <c r="U327" s="18">
        <f t="shared" si="123"/>
        <v>0.32241526438617141</v>
      </c>
      <c r="V327" s="40" t="str">
        <f t="shared" si="113"/>
        <v>Y</v>
      </c>
      <c r="W327" s="18">
        <v>2.0726</v>
      </c>
      <c r="X327" s="18">
        <f t="shared" si="110"/>
        <v>3.0272118151249597E-2</v>
      </c>
      <c r="Y327" s="18">
        <v>3.0272118151249597E-2</v>
      </c>
      <c r="Z327" s="18">
        <v>0.92948540191680973</v>
      </c>
      <c r="AA327" s="18">
        <f t="shared" si="124"/>
        <v>-7.3124177251327069E-2</v>
      </c>
      <c r="AB327" s="18">
        <f t="shared" si="125"/>
        <v>-3.073978101832751E-2</v>
      </c>
      <c r="AC327" s="18">
        <f t="shared" si="126"/>
        <v>-60.760415587747929</v>
      </c>
    </row>
    <row r="328" spans="1:29" x14ac:dyDescent="0.25">
      <c r="A328" s="13" t="str">
        <f t="shared" si="127"/>
        <v/>
      </c>
      <c r="B328" s="30">
        <f>IF(B327=$C$9,$C$6,IF(OR(ISNA(B327),B327=$C$6),NA(),Main!A295))</f>
        <v>294</v>
      </c>
      <c r="C328" s="29">
        <f>IF(ISNA(B328),NA(),IF(B328=$C$6,$C$19,Main!C295))</f>
        <v>0.33740000000000014</v>
      </c>
      <c r="D328" s="19">
        <f t="shared" si="128"/>
        <v>0.80108991825613074</v>
      </c>
      <c r="E328" s="18">
        <f t="shared" si="129"/>
        <v>1.5060599976096136</v>
      </c>
      <c r="F328" s="18">
        <f t="shared" si="130"/>
        <v>0.54965073958466015</v>
      </c>
      <c r="G328" s="18">
        <f t="shared" si="131"/>
        <v>0.30778903886473991</v>
      </c>
      <c r="H328" s="18">
        <f t="shared" si="132"/>
        <v>6.9776800015390536E-3</v>
      </c>
      <c r="I328" s="18">
        <f t="shared" si="114"/>
        <v>0.29882606381944077</v>
      </c>
      <c r="J328" s="18">
        <f t="shared" si="115"/>
        <v>0.31675201391003904</v>
      </c>
      <c r="K328" s="18">
        <f t="shared" si="116"/>
        <v>0.29627805425859682</v>
      </c>
      <c r="L328" s="18">
        <f t="shared" si="117"/>
        <v>0.31930002347088299</v>
      </c>
      <c r="M328" s="18">
        <f t="shared" si="118"/>
        <v>0.29406717591670584</v>
      </c>
      <c r="N328" s="18">
        <f t="shared" si="119"/>
        <v>0.32151090181277397</v>
      </c>
      <c r="O328" s="18">
        <f t="shared" si="120"/>
        <v>0.28972221495588779</v>
      </c>
      <c r="P328" s="18">
        <f t="shared" si="121"/>
        <v>0.32585586277359202</v>
      </c>
      <c r="Q328" s="18">
        <f t="shared" si="133"/>
        <v>0.8619399407083369</v>
      </c>
      <c r="R328" s="18">
        <f t="shared" si="111"/>
        <v>1.9067011708875767</v>
      </c>
      <c r="S328" s="18">
        <f t="shared" si="112"/>
        <v>8.0105443711176848E-3</v>
      </c>
      <c r="T328" s="18">
        <f t="shared" si="122"/>
        <v>0.29203601035449328</v>
      </c>
      <c r="U328" s="18">
        <f t="shared" si="123"/>
        <v>0.32354206737498653</v>
      </c>
      <c r="V328" s="40" t="str">
        <f t="shared" si="113"/>
        <v>Y</v>
      </c>
      <c r="W328" s="18">
        <v>2.0726</v>
      </c>
      <c r="X328" s="18">
        <f t="shared" si="110"/>
        <v>3.0272118151249597E-2</v>
      </c>
      <c r="Y328" s="18">
        <v>3.0272118151249597E-2</v>
      </c>
      <c r="Z328" s="18">
        <v>0.92948540191680973</v>
      </c>
      <c r="AA328" s="18">
        <f t="shared" si="124"/>
        <v>-7.3124177251327069E-2</v>
      </c>
      <c r="AB328" s="18">
        <f t="shared" si="125"/>
        <v>-3.073978101832751E-2</v>
      </c>
      <c r="AC328" s="18">
        <f t="shared" si="126"/>
        <v>-60.968143504287241</v>
      </c>
    </row>
    <row r="329" spans="1:29" x14ac:dyDescent="0.25">
      <c r="A329" s="13" t="str">
        <f t="shared" si="127"/>
        <v/>
      </c>
      <c r="B329" s="30">
        <f>IF(B328=$C$9,$C$6,IF(OR(ISNA(B328),B328=$C$6),NA(),Main!A296))</f>
        <v>295</v>
      </c>
      <c r="C329" s="29">
        <f>IF(ISNA(B329),NA(),IF(B329=$C$6,$C$19,Main!C296))</f>
        <v>0.33740000000000014</v>
      </c>
      <c r="D329" s="19">
        <f t="shared" si="128"/>
        <v>0.80381471389645776</v>
      </c>
      <c r="E329" s="18">
        <f t="shared" si="129"/>
        <v>1.521488888147184</v>
      </c>
      <c r="F329" s="18">
        <f t="shared" si="130"/>
        <v>0.54965073958466015</v>
      </c>
      <c r="G329" s="18">
        <f t="shared" si="131"/>
        <v>0.30892937168258339</v>
      </c>
      <c r="H329" s="18">
        <f t="shared" si="132"/>
        <v>7.0164277973407043E-3</v>
      </c>
      <c r="I329" s="18">
        <f t="shared" si="114"/>
        <v>0.29991662428791399</v>
      </c>
      <c r="J329" s="18">
        <f t="shared" si="115"/>
        <v>0.31794211907725278</v>
      </c>
      <c r="K329" s="18">
        <f t="shared" si="116"/>
        <v>0.29735446536021137</v>
      </c>
      <c r="L329" s="18">
        <f t="shared" si="117"/>
        <v>0.3205042780049554</v>
      </c>
      <c r="M329" s="18">
        <f t="shared" si="118"/>
        <v>0.2951313097768139</v>
      </c>
      <c r="N329" s="18">
        <f t="shared" si="119"/>
        <v>0.32272743358835287</v>
      </c>
      <c r="O329" s="18">
        <f t="shared" si="120"/>
        <v>0.29076222078776315</v>
      </c>
      <c r="P329" s="18">
        <f t="shared" si="121"/>
        <v>0.32709652257740363</v>
      </c>
      <c r="Q329" s="18">
        <f t="shared" si="133"/>
        <v>0.8619399407083369</v>
      </c>
      <c r="R329" s="18">
        <f t="shared" si="111"/>
        <v>1.9067011708875767</v>
      </c>
      <c r="S329" s="18">
        <f t="shared" si="112"/>
        <v>8.0105443711176848E-3</v>
      </c>
      <c r="T329" s="18">
        <f t="shared" si="122"/>
        <v>0.29317634317233676</v>
      </c>
      <c r="U329" s="18">
        <f t="shared" si="123"/>
        <v>0.32468240019283001</v>
      </c>
      <c r="V329" s="40" t="str">
        <f t="shared" si="113"/>
        <v>Y</v>
      </c>
      <c r="W329" s="18">
        <v>2.0726</v>
      </c>
      <c r="X329" s="18">
        <f t="shared" si="110"/>
        <v>3.0272118151249597E-2</v>
      </c>
      <c r="Y329" s="18">
        <v>3.0272118151249597E-2</v>
      </c>
      <c r="Z329" s="18">
        <v>0.92948540191680973</v>
      </c>
      <c r="AA329" s="18">
        <f t="shared" si="124"/>
        <v>-7.3124177251327069E-2</v>
      </c>
      <c r="AB329" s="18">
        <f t="shared" si="125"/>
        <v>-3.073978101832751E-2</v>
      </c>
      <c r="AC329" s="18">
        <f t="shared" si="126"/>
        <v>-61.175871420826546</v>
      </c>
    </row>
    <row r="330" spans="1:29" x14ac:dyDescent="0.25">
      <c r="A330" s="13" t="str">
        <f t="shared" si="127"/>
        <v/>
      </c>
      <c r="B330" s="30">
        <f>IF(B329=$C$9,$C$6,IF(OR(ISNA(B329),B329=$C$6),NA(),Main!A297))</f>
        <v>296</v>
      </c>
      <c r="C330" s="29">
        <f>IF(ISNA(B330),NA(),IF(B330=$C$6,$C$19,Main!C297))</f>
        <v>0.33740000000000014</v>
      </c>
      <c r="D330" s="19">
        <f t="shared" si="128"/>
        <v>0.80653950953678477</v>
      </c>
      <c r="E330" s="18">
        <f t="shared" si="129"/>
        <v>1.5371061172861742</v>
      </c>
      <c r="F330" s="18">
        <f t="shared" si="130"/>
        <v>0.54965073958466015</v>
      </c>
      <c r="G330" s="18">
        <f t="shared" si="131"/>
        <v>0.3100836244052666</v>
      </c>
      <c r="H330" s="18">
        <f t="shared" si="132"/>
        <v>7.0557436660836671E-3</v>
      </c>
      <c r="I330" s="18">
        <f t="shared" si="114"/>
        <v>0.30102037495972211</v>
      </c>
      <c r="J330" s="18">
        <f t="shared" si="115"/>
        <v>0.31914687385081109</v>
      </c>
      <c r="K330" s="18">
        <f t="shared" si="116"/>
        <v>0.2984438592243947</v>
      </c>
      <c r="L330" s="18">
        <f t="shared" si="117"/>
        <v>0.3217233895861385</v>
      </c>
      <c r="M330" s="18">
        <f t="shared" si="118"/>
        <v>0.296208246405544</v>
      </c>
      <c r="N330" s="18">
        <f t="shared" si="119"/>
        <v>0.3239590024049892</v>
      </c>
      <c r="O330" s="18">
        <f t="shared" si="120"/>
        <v>0.29181467565252711</v>
      </c>
      <c r="P330" s="18">
        <f t="shared" si="121"/>
        <v>0.32835257315800609</v>
      </c>
      <c r="Q330" s="18">
        <f t="shared" si="133"/>
        <v>0.8619399407083369</v>
      </c>
      <c r="R330" s="18">
        <f t="shared" si="111"/>
        <v>1.9067011708875767</v>
      </c>
      <c r="S330" s="18">
        <f t="shared" si="112"/>
        <v>8.0105443711176848E-3</v>
      </c>
      <c r="T330" s="18">
        <f t="shared" si="122"/>
        <v>0.29433059589501998</v>
      </c>
      <c r="U330" s="18">
        <f t="shared" si="123"/>
        <v>0.32583665291551323</v>
      </c>
      <c r="V330" s="40" t="str">
        <f t="shared" si="113"/>
        <v>Y</v>
      </c>
      <c r="W330" s="18">
        <v>2.0726</v>
      </c>
      <c r="X330" s="18">
        <f t="shared" si="110"/>
        <v>3.0272118151249597E-2</v>
      </c>
      <c r="Y330" s="18">
        <v>3.0272118151249597E-2</v>
      </c>
      <c r="Z330" s="18">
        <v>0.92948540191680973</v>
      </c>
      <c r="AA330" s="18">
        <f t="shared" si="124"/>
        <v>-7.3124177251327069E-2</v>
      </c>
      <c r="AB330" s="18">
        <f t="shared" si="125"/>
        <v>-3.073978101832751E-2</v>
      </c>
      <c r="AC330" s="18">
        <f t="shared" si="126"/>
        <v>-61.383599337365858</v>
      </c>
    </row>
    <row r="331" spans="1:29" x14ac:dyDescent="0.25">
      <c r="A331" s="13" t="str">
        <f t="shared" si="127"/>
        <v/>
      </c>
      <c r="B331" s="30">
        <f>IF(B330=$C$9,$C$6,IF(OR(ISNA(B330),B330=$C$6),NA(),Main!A298))</f>
        <v>297</v>
      </c>
      <c r="C331" s="29">
        <f>IF(ISNA(B331),NA(),IF(B331=$C$6,$C$19,Main!C298))</f>
        <v>0.33740000000000014</v>
      </c>
      <c r="D331" s="19">
        <f t="shared" si="128"/>
        <v>0.80926430517711168</v>
      </c>
      <c r="E331" s="18">
        <f t="shared" si="129"/>
        <v>1.5529171859619177</v>
      </c>
      <c r="F331" s="18">
        <f t="shared" si="130"/>
        <v>0.54965073958466015</v>
      </c>
      <c r="G331" s="18">
        <f t="shared" si="131"/>
        <v>0.31125220360104378</v>
      </c>
      <c r="H331" s="18">
        <f t="shared" si="132"/>
        <v>7.0956433479814054E-3</v>
      </c>
      <c r="I331" s="18">
        <f t="shared" si="114"/>
        <v>0.30213770218448804</v>
      </c>
      <c r="J331" s="18">
        <f t="shared" si="115"/>
        <v>0.32036670501759951</v>
      </c>
      <c r="K331" s="18">
        <f t="shared" si="116"/>
        <v>0.29954661645298314</v>
      </c>
      <c r="L331" s="18">
        <f t="shared" si="117"/>
        <v>0.32295779074910441</v>
      </c>
      <c r="M331" s="18">
        <f t="shared" si="118"/>
        <v>0.29729836141744487</v>
      </c>
      <c r="N331" s="18">
        <f t="shared" si="119"/>
        <v>0.32520604578464268</v>
      </c>
      <c r="O331" s="18">
        <f t="shared" si="120"/>
        <v>0.29287994536338857</v>
      </c>
      <c r="P331" s="18">
        <f t="shared" si="121"/>
        <v>0.32962446183869898</v>
      </c>
      <c r="Q331" s="18">
        <f t="shared" si="133"/>
        <v>0.8619399407083369</v>
      </c>
      <c r="R331" s="18">
        <f t="shared" si="111"/>
        <v>1.9067011708875767</v>
      </c>
      <c r="S331" s="18">
        <f t="shared" si="112"/>
        <v>8.0105443711176848E-3</v>
      </c>
      <c r="T331" s="18">
        <f t="shared" si="122"/>
        <v>0.29549917509079715</v>
      </c>
      <c r="U331" s="18">
        <f t="shared" si="123"/>
        <v>0.3270052321112904</v>
      </c>
      <c r="V331" s="40" t="str">
        <f t="shared" si="113"/>
        <v>Y</v>
      </c>
      <c r="W331" s="18">
        <v>2.0726</v>
      </c>
      <c r="X331" s="18">
        <f t="shared" si="110"/>
        <v>3.0272118151249597E-2</v>
      </c>
      <c r="Y331" s="18">
        <v>3.0272118151249597E-2</v>
      </c>
      <c r="Z331" s="18">
        <v>0.95353385345939734</v>
      </c>
      <c r="AA331" s="18">
        <f t="shared" si="124"/>
        <v>-4.7580350157250151E-2</v>
      </c>
      <c r="AB331" s="18">
        <f t="shared" si="125"/>
        <v>-3.073978101832751E-2</v>
      </c>
      <c r="AC331" s="18">
        <f t="shared" si="126"/>
        <v>-46.443837787117552</v>
      </c>
    </row>
    <row r="332" spans="1:29" x14ac:dyDescent="0.25">
      <c r="A332" s="13" t="str">
        <f t="shared" si="127"/>
        <v/>
      </c>
      <c r="B332" s="30">
        <f>IF(B331=$C$9,$C$6,IF(OR(ISNA(B331),B331=$C$6),NA(),Main!A299))</f>
        <v>298</v>
      </c>
      <c r="C332" s="29">
        <f>IF(ISNA(B332),NA(),IF(B332=$C$6,$C$19,Main!C299))</f>
        <v>0.33740000000000014</v>
      </c>
      <c r="D332" s="19">
        <f t="shared" si="128"/>
        <v>0.81198910081743869</v>
      </c>
      <c r="E332" s="18">
        <f t="shared" si="129"/>
        <v>1.5689278311177155</v>
      </c>
      <c r="F332" s="18">
        <f t="shared" si="130"/>
        <v>0.54965073958466015</v>
      </c>
      <c r="G332" s="18">
        <f t="shared" si="131"/>
        <v>0.31243553328126572</v>
      </c>
      <c r="H332" s="18">
        <f t="shared" si="132"/>
        <v>7.1361432712385067E-3</v>
      </c>
      <c r="I332" s="18">
        <f t="shared" si="114"/>
        <v>0.30326900887119213</v>
      </c>
      <c r="J332" s="18">
        <f t="shared" si="115"/>
        <v>0.32160205769133932</v>
      </c>
      <c r="K332" s="18">
        <f t="shared" si="116"/>
        <v>0.30066313395593991</v>
      </c>
      <c r="L332" s="18">
        <f t="shared" si="117"/>
        <v>0.32420793260659153</v>
      </c>
      <c r="M332" s="18">
        <f t="shared" si="118"/>
        <v>0.29840204651720204</v>
      </c>
      <c r="N332" s="18">
        <f t="shared" si="119"/>
        <v>0.32646902004532941</v>
      </c>
      <c r="O332" s="18">
        <f t="shared" si="120"/>
        <v>0.29395841139528522</v>
      </c>
      <c r="P332" s="18">
        <f t="shared" si="121"/>
        <v>0.33091265516724622</v>
      </c>
      <c r="Q332" s="18">
        <f t="shared" si="133"/>
        <v>0.8619399407083369</v>
      </c>
      <c r="R332" s="18">
        <f t="shared" si="111"/>
        <v>1.9067011708875767</v>
      </c>
      <c r="S332" s="18">
        <f t="shared" si="112"/>
        <v>8.0105443711176848E-3</v>
      </c>
      <c r="T332" s="18">
        <f t="shared" si="122"/>
        <v>0.2966825047710191</v>
      </c>
      <c r="U332" s="18">
        <f t="shared" si="123"/>
        <v>0.32818856179151235</v>
      </c>
      <c r="V332" s="40" t="str">
        <f t="shared" si="113"/>
        <v>Y</v>
      </c>
      <c r="W332" s="18">
        <v>2.0726</v>
      </c>
      <c r="X332" s="18">
        <f t="shared" si="110"/>
        <v>3.0272118151249597E-2</v>
      </c>
      <c r="Y332" s="18">
        <v>3.0272118151249597E-2</v>
      </c>
      <c r="Z332" s="18">
        <v>0.95353385345939734</v>
      </c>
      <c r="AA332" s="18">
        <f t="shared" si="124"/>
        <v>-4.7580350157250151E-2</v>
      </c>
      <c r="AB332" s="18">
        <f t="shared" si="125"/>
        <v>-3.073978101832751E-2</v>
      </c>
      <c r="AC332" s="18">
        <f t="shared" si="126"/>
        <v>-46.600478049468713</v>
      </c>
    </row>
    <row r="333" spans="1:29" x14ac:dyDescent="0.25">
      <c r="A333" s="13" t="str">
        <f t="shared" si="127"/>
        <v/>
      </c>
      <c r="B333" s="30">
        <f>IF(B332=$C$9,$C$6,IF(OR(ISNA(B332),B332=$C$6),NA(),Main!A300))</f>
        <v>299</v>
      </c>
      <c r="C333" s="29">
        <f>IF(ISNA(B333),NA(),IF(B333=$C$6,$C$19,Main!C300))</f>
        <v>0.33740000000000014</v>
      </c>
      <c r="D333" s="19">
        <f t="shared" si="128"/>
        <v>0.81471389645776571</v>
      </c>
      <c r="E333" s="18">
        <f t="shared" si="129"/>
        <v>1.5851440395059995</v>
      </c>
      <c r="F333" s="18">
        <f t="shared" si="130"/>
        <v>0.54965073958466015</v>
      </c>
      <c r="G333" s="18">
        <f t="shared" si="131"/>
        <v>0.31363405592040949</v>
      </c>
      <c r="H333" s="18">
        <f t="shared" si="132"/>
        <v>7.1772605922692644E-3</v>
      </c>
      <c r="I333" s="18">
        <f t="shared" si="114"/>
        <v>0.30441471545654053</v>
      </c>
      <c r="J333" s="18">
        <f t="shared" si="115"/>
        <v>0.32285339638427846</v>
      </c>
      <c r="K333" s="18">
        <f t="shared" si="116"/>
        <v>0.30179382590503678</v>
      </c>
      <c r="L333" s="18">
        <f t="shared" si="117"/>
        <v>0.3254742859357822</v>
      </c>
      <c r="M333" s="18">
        <f t="shared" si="118"/>
        <v>0.2995197104405764</v>
      </c>
      <c r="N333" s="18">
        <f t="shared" si="119"/>
        <v>0.32774840140024258</v>
      </c>
      <c r="O333" s="18">
        <f t="shared" si="120"/>
        <v>0.29505047180077787</v>
      </c>
      <c r="P333" s="18">
        <f t="shared" si="121"/>
        <v>0.33221764004004112</v>
      </c>
      <c r="Q333" s="18">
        <f t="shared" si="133"/>
        <v>0.8619399407083369</v>
      </c>
      <c r="R333" s="18">
        <f t="shared" si="111"/>
        <v>1.9067011708875767</v>
      </c>
      <c r="S333" s="18">
        <f t="shared" si="112"/>
        <v>8.0105443711176848E-3</v>
      </c>
      <c r="T333" s="18">
        <f t="shared" si="122"/>
        <v>0.29788102741016287</v>
      </c>
      <c r="U333" s="18">
        <f t="shared" si="123"/>
        <v>0.32938708443065612</v>
      </c>
      <c r="V333" s="40" t="str">
        <f t="shared" si="113"/>
        <v>Y</v>
      </c>
      <c r="W333" s="18">
        <v>2.0726</v>
      </c>
      <c r="X333" s="18">
        <f t="shared" si="110"/>
        <v>3.0272118151249597E-2</v>
      </c>
      <c r="Y333" s="18">
        <v>3.0272118151249597E-2</v>
      </c>
      <c r="Z333" s="18">
        <v>0.96951481435693454</v>
      </c>
      <c r="AA333" s="18">
        <f t="shared" si="124"/>
        <v>-3.0959524006752916E-2</v>
      </c>
      <c r="AB333" s="18">
        <f t="shared" si="125"/>
        <v>-3.073978101832751E-2</v>
      </c>
      <c r="AC333" s="18">
        <f t="shared" si="126"/>
        <v>-36.834485099973016</v>
      </c>
    </row>
    <row r="334" spans="1:29" x14ac:dyDescent="0.25">
      <c r="A334" s="13" t="str">
        <f t="shared" si="127"/>
        <v/>
      </c>
      <c r="B334" s="30">
        <f>IF(B333=$C$9,$C$6,IF(OR(ISNA(B333),B333=$C$6),NA(),Main!A301))</f>
        <v>300</v>
      </c>
      <c r="C334" s="29">
        <f>IF(ISNA(B334),NA(),IF(B334=$C$6,$C$19,Main!C301))</f>
        <v>0.33740000000000014</v>
      </c>
      <c r="D334" s="19">
        <f t="shared" si="128"/>
        <v>0.81743869209809261</v>
      </c>
      <c r="E334" s="18">
        <f t="shared" si="129"/>
        <v>1.6015720625116241</v>
      </c>
      <c r="F334" s="18">
        <f t="shared" si="130"/>
        <v>0.54965073958466015</v>
      </c>
      <c r="G334" s="18">
        <f t="shared" si="131"/>
        <v>0.31484823355165165</v>
      </c>
      <c r="H334" s="18">
        <f t="shared" si="132"/>
        <v>7.2190132389027004E-3</v>
      </c>
      <c r="I334" s="18">
        <f t="shared" si="114"/>
        <v>0.30557526094504062</v>
      </c>
      <c r="J334" s="18">
        <f t="shared" si="115"/>
        <v>0.32412120615826268</v>
      </c>
      <c r="K334" s="18">
        <f t="shared" si="116"/>
        <v>0.30293912475815249</v>
      </c>
      <c r="L334" s="18">
        <f t="shared" si="117"/>
        <v>0.3267573423451508</v>
      </c>
      <c r="M334" s="18">
        <f t="shared" si="118"/>
        <v>0.30065177996501297</v>
      </c>
      <c r="N334" s="18">
        <f t="shared" si="119"/>
        <v>0.32904468713829033</v>
      </c>
      <c r="O334" s="18">
        <f t="shared" si="120"/>
        <v>0.29615654219375626</v>
      </c>
      <c r="P334" s="18">
        <f t="shared" si="121"/>
        <v>0.33353992490954704</v>
      </c>
      <c r="Q334" s="18">
        <f t="shared" si="133"/>
        <v>0.8619399407083369</v>
      </c>
      <c r="R334" s="18">
        <f t="shared" si="111"/>
        <v>1.9067011708875767</v>
      </c>
      <c r="S334" s="18">
        <f t="shared" si="112"/>
        <v>8.0105443711176848E-3</v>
      </c>
      <c r="T334" s="18">
        <f t="shared" si="122"/>
        <v>0.29909520504140502</v>
      </c>
      <c r="U334" s="18">
        <f t="shared" si="123"/>
        <v>0.33060126206189827</v>
      </c>
      <c r="V334" s="40" t="str">
        <f t="shared" si="113"/>
        <v>Y</v>
      </c>
      <c r="W334" s="18">
        <v>2.0726</v>
      </c>
      <c r="X334" s="18">
        <f t="shared" si="110"/>
        <v>3.0272118151249597E-2</v>
      </c>
      <c r="Y334" s="18">
        <v>3.0272118151249597E-2</v>
      </c>
      <c r="Z334" s="18">
        <v>0.96951481435693454</v>
      </c>
      <c r="AA334" s="18">
        <f t="shared" si="124"/>
        <v>-3.0959524006752916E-2</v>
      </c>
      <c r="AB334" s="18">
        <f t="shared" si="125"/>
        <v>-3.073978101832751E-2</v>
      </c>
      <c r="AC334" s="18">
        <f t="shared" si="126"/>
        <v>-36.957883710023175</v>
      </c>
    </row>
    <row r="335" spans="1:29" x14ac:dyDescent="0.25">
      <c r="A335" s="13" t="str">
        <f t="shared" si="127"/>
        <v/>
      </c>
      <c r="B335" s="30">
        <f>IF(B334=$C$9,$C$6,IF(OR(ISNA(B334),B334=$C$6),NA(),Main!A302))</f>
        <v>0</v>
      </c>
      <c r="C335" s="29">
        <f>IF(ISNA(B335),NA(),IF(B335=$C$6,$C$19,Main!C302))</f>
        <v>0</v>
      </c>
      <c r="D335" s="19">
        <f t="shared" si="128"/>
        <v>0</v>
      </c>
      <c r="E335" s="18" t="e">
        <f t="shared" si="129"/>
        <v>#NUM!</v>
      </c>
      <c r="F335" s="18">
        <f t="shared" si="130"/>
        <v>-9.0097972855039856</v>
      </c>
      <c r="G335" s="18" t="e">
        <f t="shared" si="131"/>
        <v>#NUM!</v>
      </c>
      <c r="H335" s="18" t="e">
        <f t="shared" si="132"/>
        <v>#NUM!</v>
      </c>
      <c r="I335" s="18" t="e">
        <f t="shared" si="114"/>
        <v>#NUM!</v>
      </c>
      <c r="J335" s="18" t="e">
        <f t="shared" si="115"/>
        <v>#NUM!</v>
      </c>
      <c r="K335" s="18" t="e">
        <f t="shared" si="116"/>
        <v>#NUM!</v>
      </c>
      <c r="L335" s="18" t="e">
        <f t="shared" si="117"/>
        <v>#NUM!</v>
      </c>
      <c r="M335" s="18" t="e">
        <f t="shared" si="118"/>
        <v>#NUM!</v>
      </c>
      <c r="N335" s="18" t="e">
        <f t="shared" si="119"/>
        <v>#NUM!</v>
      </c>
      <c r="O335" s="18" t="e">
        <f t="shared" si="120"/>
        <v>#NUM!</v>
      </c>
      <c r="P335" s="18" t="e">
        <f t="shared" si="121"/>
        <v>#NUM!</v>
      </c>
      <c r="Q335" s="18">
        <f t="shared" si="133"/>
        <v>6.3281027010282216E-7</v>
      </c>
      <c r="R335" s="18">
        <f t="shared" si="111"/>
        <v>-2.6583763099314797</v>
      </c>
      <c r="S335" s="18">
        <f t="shared" si="112"/>
        <v>7.7644361727153529E-3</v>
      </c>
      <c r="T335" s="18" t="e">
        <f t="shared" si="122"/>
        <v>#NUM!</v>
      </c>
      <c r="U335" s="18" t="e">
        <f t="shared" si="123"/>
        <v>#NUM!</v>
      </c>
      <c r="V335" s="40" t="str">
        <f t="shared" si="113"/>
        <v>Y</v>
      </c>
      <c r="W335" s="18"/>
      <c r="X335" s="18" t="str">
        <f t="shared" si="110"/>
        <v/>
      </c>
      <c r="Y335" s="18" t="s">
        <v>110</v>
      </c>
      <c r="Z335" s="18" t="s">
        <v>110</v>
      </c>
      <c r="AA335" s="18" t="str">
        <f t="shared" si="124"/>
        <v/>
      </c>
      <c r="AB335" s="18" t="str">
        <f t="shared" si="125"/>
        <v/>
      </c>
      <c r="AC335" s="18" t="str">
        <f t="shared" si="126"/>
        <v/>
      </c>
    </row>
    <row r="336" spans="1:29" ht="13.8" thickBot="1" x14ac:dyDescent="0.3">
      <c r="T336" s="18"/>
      <c r="U336" s="18"/>
    </row>
    <row r="337" spans="1:21" ht="13.8" thickBot="1" x14ac:dyDescent="0.3">
      <c r="C337" s="9"/>
      <c r="D337" s="10"/>
      <c r="E337" s="9"/>
      <c r="N337" s="134" t="s">
        <v>55</v>
      </c>
      <c r="O337" s="135"/>
      <c r="P337" s="135"/>
      <c r="Q337" s="136"/>
      <c r="R337" s="9"/>
    </row>
    <row r="338" spans="1:21" x14ac:dyDescent="0.25">
      <c r="A338" s="5" t="s">
        <v>26</v>
      </c>
      <c r="C338" s="9"/>
      <c r="D338" s="38" t="e">
        <f>DGET(DB,3,Crit)</f>
        <v>#VALUE!</v>
      </c>
      <c r="E338" s="38" t="e">
        <f>DGET(DB,4,Crit)</f>
        <v>#VALUE!</v>
      </c>
      <c r="G338" s="37" t="e">
        <f>DGET(DB,6,Crit)</f>
        <v>#VALUE!</v>
      </c>
      <c r="N338" s="145" t="s">
        <v>1</v>
      </c>
      <c r="O338" s="146"/>
      <c r="P338" s="146"/>
      <c r="Q338" s="147"/>
      <c r="R338" s="9"/>
      <c r="T338" s="11" t="e">
        <f>DGET(DB,13,Crit)</f>
        <v>#VALUE!</v>
      </c>
      <c r="U338" s="11" t="e">
        <f>DGET(DB,14,Crit)</f>
        <v>#VALUE!</v>
      </c>
    </row>
    <row r="339" spans="1:21" ht="13.8" thickBot="1" x14ac:dyDescent="0.3">
      <c r="B339" s="3" t="s">
        <v>25</v>
      </c>
      <c r="C339" s="9"/>
      <c r="D339" s="10">
        <v>0</v>
      </c>
      <c r="E339" s="9"/>
      <c r="G339" s="37" t="e">
        <f>DGET(DB,6,Crit)</f>
        <v>#VALUE!</v>
      </c>
      <c r="N339" s="131">
        <f>N</f>
        <v>366</v>
      </c>
      <c r="O339" s="132"/>
      <c r="P339" s="132"/>
      <c r="Q339" s="133"/>
      <c r="R339" s="9"/>
      <c r="T339" s="11" t="e">
        <f>DGET(DB,13,Crit)</f>
        <v>#VALUE!</v>
      </c>
      <c r="U339" s="11" t="e">
        <f>DGET(DB,14,Crit)</f>
        <v>#VALUE!</v>
      </c>
    </row>
    <row r="340" spans="1:21" x14ac:dyDescent="0.25">
      <c r="B340" s="3" t="s">
        <v>24</v>
      </c>
      <c r="D340" s="38" t="e">
        <f>DGET(DB,3,Crit)</f>
        <v>#VALUE!</v>
      </c>
      <c r="N340" s="137" t="s">
        <v>54</v>
      </c>
      <c r="O340" s="138"/>
      <c r="P340" s="138"/>
      <c r="Q340" s="139"/>
    </row>
    <row r="341" spans="1:21" ht="13.8" thickBot="1" x14ac:dyDescent="0.3">
      <c r="D341" s="10">
        <v>0</v>
      </c>
      <c r="N341" s="140" t="str">
        <f>"Y"</f>
        <v>Y</v>
      </c>
      <c r="O341" s="141"/>
      <c r="P341" s="141"/>
      <c r="Q341" s="142"/>
    </row>
    <row r="342" spans="1:21" ht="13.8" thickBot="1" x14ac:dyDescent="0.3">
      <c r="N342" s="134" t="s">
        <v>52</v>
      </c>
      <c r="O342" s="135"/>
      <c r="P342" s="135"/>
      <c r="Q342" s="136"/>
    </row>
  </sheetData>
  <sheetProtection sheet="1" objects="1" scenarios="1"/>
  <sortState xmlns:xlrd2="http://schemas.microsoft.com/office/spreadsheetml/2017/richdata2" ref="Z35:Z335">
    <sortCondition ref="Z35"/>
  </sortState>
  <mergeCells count="31">
    <mergeCell ref="A14:B14"/>
    <mergeCell ref="A16:B16"/>
    <mergeCell ref="A17:B17"/>
    <mergeCell ref="A30:B30"/>
    <mergeCell ref="A26:B26"/>
    <mergeCell ref="A27:B27"/>
    <mergeCell ref="A28:B28"/>
    <mergeCell ref="A29:B29"/>
    <mergeCell ref="A1:T3"/>
    <mergeCell ref="A25:B25"/>
    <mergeCell ref="A23:B23"/>
    <mergeCell ref="A18:B18"/>
    <mergeCell ref="A19:B19"/>
    <mergeCell ref="A20:B20"/>
    <mergeCell ref="A15:B15"/>
    <mergeCell ref="A24:B24"/>
    <mergeCell ref="A6:B6"/>
    <mergeCell ref="A7:B7"/>
    <mergeCell ref="A9:B9"/>
    <mergeCell ref="A8:B8"/>
    <mergeCell ref="A11:B11"/>
    <mergeCell ref="A12:B12"/>
    <mergeCell ref="A13:B13"/>
    <mergeCell ref="A10:B10"/>
    <mergeCell ref="N339:Q339"/>
    <mergeCell ref="N342:Q342"/>
    <mergeCell ref="N340:Q340"/>
    <mergeCell ref="N341:Q341"/>
    <mergeCell ref="A22:B22"/>
    <mergeCell ref="N337:Q337"/>
    <mergeCell ref="N338:Q338"/>
  </mergeCells>
  <phoneticPr fontId="0" type="noConversion"/>
  <conditionalFormatting sqref="A36:A335 C36:S335 T36:U336 AA35:AC35 V36:AC335">
    <cfRule type="expression" dxfId="4" priority="5" stopIfTrue="1">
      <formula>NOT(ISNUMBER($B35))</formula>
    </cfRule>
  </conditionalFormatting>
  <conditionalFormatting sqref="B36:B335">
    <cfRule type="expression" dxfId="3" priority="6" stopIfTrue="1">
      <formula>NOT(ISNUMBER($B36))</formula>
    </cfRule>
  </conditionalFormatting>
  <conditionalFormatting sqref="C30">
    <cfRule type="cellIs" dxfId="2" priority="1" stopIfTrue="1" operator="lessThanOrEqual">
      <formula>0.757</formula>
    </cfRule>
    <cfRule type="cellIs" dxfId="1" priority="2" stopIfTrue="1" operator="greaterThan">
      <formula>0.757</formula>
    </cfRule>
  </conditionalFormatting>
  <pageMargins left="0.75" right="0.75" top="1" bottom="1" header="0.5" footer="0.5"/>
  <pageSetup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I52"/>
  <sheetViews>
    <sheetView showGridLines="0" workbookViewId="0">
      <selection activeCell="C8" sqref="C8"/>
    </sheetView>
  </sheetViews>
  <sheetFormatPr defaultRowHeight="13.2" x14ac:dyDescent="0.25"/>
  <cols>
    <col min="2" max="2" width="16.77734375" style="67" customWidth="1"/>
    <col min="3" max="5" width="16.77734375" customWidth="1"/>
    <col min="6" max="6" width="16.77734375" style="67" customWidth="1"/>
    <col min="7" max="7" width="16.77734375" customWidth="1"/>
  </cols>
  <sheetData>
    <row r="1" spans="1:9" ht="14.1" customHeight="1" x14ac:dyDescent="0.35">
      <c r="A1" s="160" t="s">
        <v>92</v>
      </c>
      <c r="B1" s="161"/>
      <c r="C1" s="161"/>
      <c r="D1" s="161"/>
      <c r="E1" s="161"/>
      <c r="F1" s="161"/>
      <c r="G1" s="162"/>
      <c r="H1" s="86"/>
      <c r="I1" s="86"/>
    </row>
    <row r="2" spans="1:9" ht="14.1" customHeight="1" x14ac:dyDescent="0.35">
      <c r="A2" s="163"/>
      <c r="B2" s="164"/>
      <c r="C2" s="164"/>
      <c r="D2" s="164"/>
      <c r="E2" s="164"/>
      <c r="F2" s="164"/>
      <c r="G2" s="165"/>
      <c r="H2" s="86"/>
      <c r="I2" s="86"/>
    </row>
    <row r="3" spans="1:9" ht="20.399999999999999" x14ac:dyDescent="0.35">
      <c r="C3" s="86"/>
      <c r="D3" s="86"/>
      <c r="E3" s="86"/>
      <c r="F3" s="93"/>
      <c r="G3" s="86"/>
      <c r="H3" s="86"/>
      <c r="I3" s="86"/>
    </row>
    <row r="4" spans="1:9" x14ac:dyDescent="0.25">
      <c r="B4" s="67" t="str">
        <f>Name</f>
        <v>2E-3021</v>
      </c>
    </row>
    <row r="5" spans="1:9" x14ac:dyDescent="0.25">
      <c r="B5" s="88" t="s">
        <v>90</v>
      </c>
      <c r="C5" s="96">
        <v>42278</v>
      </c>
      <c r="D5" s="87"/>
    </row>
    <row r="6" spans="1:9" x14ac:dyDescent="0.25">
      <c r="B6" s="88" t="s">
        <v>94</v>
      </c>
      <c r="C6" s="97">
        <f>Torig</f>
        <v>2.41</v>
      </c>
      <c r="D6" s="88" t="s">
        <v>124</v>
      </c>
    </row>
    <row r="7" spans="1:9" x14ac:dyDescent="0.25">
      <c r="B7" s="88" t="s">
        <v>91</v>
      </c>
      <c r="C7" s="96">
        <v>43009</v>
      </c>
      <c r="D7" s="87"/>
    </row>
    <row r="8" spans="1:9" ht="26.4" x14ac:dyDescent="0.25">
      <c r="B8" s="90" t="s">
        <v>95</v>
      </c>
      <c r="C8" s="101">
        <v>0.5</v>
      </c>
      <c r="D8" s="90" t="s">
        <v>124</v>
      </c>
    </row>
    <row r="9" spans="1:9" x14ac:dyDescent="0.25">
      <c r="C9" s="6"/>
      <c r="D9" s="85"/>
      <c r="E9" s="57"/>
    </row>
    <row r="10" spans="1:9" ht="48.75" customHeight="1" x14ac:dyDescent="0.25">
      <c r="B10" s="158" t="s">
        <v>89</v>
      </c>
      <c r="C10" s="156" t="s">
        <v>83</v>
      </c>
      <c r="D10" s="91" t="s">
        <v>51</v>
      </c>
      <c r="E10" s="90" t="s">
        <v>84</v>
      </c>
      <c r="F10" s="156" t="s">
        <v>96</v>
      </c>
    </row>
    <row r="11" spans="1:9" x14ac:dyDescent="0.25">
      <c r="B11" s="159"/>
      <c r="C11" s="157"/>
      <c r="D11" s="89" t="s">
        <v>123</v>
      </c>
      <c r="E11" s="88" t="s">
        <v>125</v>
      </c>
      <c r="F11" s="157"/>
    </row>
    <row r="12" spans="1:9" x14ac:dyDescent="0.25">
      <c r="B12" s="94" t="s">
        <v>85</v>
      </c>
      <c r="C12" s="92">
        <v>0.99</v>
      </c>
      <c r="D12" s="95">
        <f>T_99</f>
        <v>1.7270364529004307</v>
      </c>
      <c r="E12" s="95">
        <f>($C$6-(Teva-'EVA Calcs'!C13*'EVA Calcs'!C20))/(Date_I-Date_S)*365.25</f>
        <v>0.34124820188525001</v>
      </c>
      <c r="F12" s="118">
        <f>Date_S+($C$6-$C$8)/(E12)*365.25</f>
        <v>44322.34044236983</v>
      </c>
    </row>
    <row r="13" spans="1:9" x14ac:dyDescent="0.25">
      <c r="B13" s="94" t="s">
        <v>86</v>
      </c>
      <c r="C13" s="92">
        <v>0.95</v>
      </c>
      <c r="D13" s="95">
        <f>T_95</f>
        <v>1.7391404034886366</v>
      </c>
      <c r="E13" s="95">
        <f>($C$6-(Teva-'EVA Calcs'!C12*'EVA Calcs'!C20))/(Date_I-Date_S)*365.25</f>
        <v>0.33520036610913201</v>
      </c>
      <c r="F13" s="102">
        <f>Date_S+($C$6-$C$8)/(E13)*365.25</f>
        <v>44359.225352161076</v>
      </c>
    </row>
    <row r="14" spans="1:9" x14ac:dyDescent="0.25">
      <c r="B14" s="94" t="s">
        <v>87</v>
      </c>
      <c r="C14" s="92">
        <v>0.9</v>
      </c>
      <c r="D14" s="95">
        <f>T_90</f>
        <v>1.7452993454096577</v>
      </c>
      <c r="E14" s="95">
        <f>($C$6-(Teva-'EVA Calcs'!C11*'EVA Calcs'!C20))/(Date_I-Date_S)*365.25</f>
        <v>0.33212300148990781</v>
      </c>
      <c r="F14" s="102">
        <f>Date_S+($C$6-$C$8)/(E14)*365.25</f>
        <v>44378.50944038936</v>
      </c>
    </row>
    <row r="15" spans="1:9" x14ac:dyDescent="0.25">
      <c r="B15" s="94" t="s">
        <v>88</v>
      </c>
      <c r="C15" s="92">
        <v>0.8</v>
      </c>
      <c r="D15" s="95">
        <f>T_80</f>
        <v>1.7523974487299978</v>
      </c>
      <c r="E15" s="95">
        <f>($C$6-(Teva-'EVA Calcs'!C10*'EVA Calcs'!C20))/(Date_I-Date_S)*365.25</f>
        <v>0.32857637736165302</v>
      </c>
      <c r="F15" s="102">
        <f>Date_S+($C$6-$C$8)/(E15)*365.25</f>
        <v>44401.1821520515</v>
      </c>
    </row>
    <row r="16" spans="1:9" x14ac:dyDescent="0.25">
      <c r="C16" s="3"/>
      <c r="D16" s="85"/>
      <c r="E16" s="31"/>
    </row>
    <row r="17" spans="3:5" x14ac:dyDescent="0.25">
      <c r="C17" s="70"/>
    </row>
    <row r="18" spans="3:5" x14ac:dyDescent="0.25">
      <c r="D18" s="67"/>
      <c r="E18" s="6"/>
    </row>
    <row r="20" spans="3:5" x14ac:dyDescent="0.25">
      <c r="C20" s="6"/>
      <c r="D20" s="67"/>
    </row>
    <row r="21" spans="3:5" x14ac:dyDescent="0.25">
      <c r="C21" s="6"/>
      <c r="D21" s="67"/>
    </row>
    <row r="22" spans="3:5" x14ac:dyDescent="0.25">
      <c r="C22" s="6"/>
      <c r="D22" s="67"/>
    </row>
    <row r="23" spans="3:5" x14ac:dyDescent="0.25">
      <c r="C23" s="64"/>
      <c r="D23" s="67"/>
    </row>
    <row r="24" spans="3:5" x14ac:dyDescent="0.25">
      <c r="C24" s="6"/>
      <c r="D24" s="67"/>
      <c r="E24" s="24"/>
    </row>
    <row r="25" spans="3:5" x14ac:dyDescent="0.25">
      <c r="C25" s="64"/>
      <c r="D25" s="67"/>
    </row>
    <row r="26" spans="3:5" x14ac:dyDescent="0.25">
      <c r="C26" s="9"/>
      <c r="D26" s="67"/>
    </row>
    <row r="27" spans="3:5" x14ac:dyDescent="0.25">
      <c r="C27" s="6"/>
      <c r="D27" s="67"/>
    </row>
    <row r="28" spans="3:5" x14ac:dyDescent="0.25">
      <c r="C28" s="6"/>
      <c r="D28" s="67"/>
    </row>
    <row r="29" spans="3:5" x14ac:dyDescent="0.25">
      <c r="C29" s="6"/>
      <c r="D29" s="67"/>
    </row>
    <row r="30" spans="3:5" x14ac:dyDescent="0.25">
      <c r="C30" s="6"/>
      <c r="D30" s="67"/>
    </row>
    <row r="31" spans="3:5" x14ac:dyDescent="0.25">
      <c r="C31" s="6"/>
      <c r="D31" s="67"/>
    </row>
    <row r="32" spans="3:5" x14ac:dyDescent="0.25">
      <c r="D32" s="67"/>
    </row>
    <row r="33" spans="4:4" x14ac:dyDescent="0.25">
      <c r="D33" s="67"/>
    </row>
    <row r="34" spans="4:4" x14ac:dyDescent="0.25">
      <c r="D34" s="67"/>
    </row>
    <row r="35" spans="4:4" x14ac:dyDescent="0.25">
      <c r="D35" s="67"/>
    </row>
    <row r="36" spans="4:4" x14ac:dyDescent="0.25">
      <c r="D36" s="67"/>
    </row>
    <row r="37" spans="4:4" x14ac:dyDescent="0.25">
      <c r="D37" s="67"/>
    </row>
    <row r="38" spans="4:4" x14ac:dyDescent="0.25">
      <c r="D38" s="67"/>
    </row>
    <row r="52" spans="2:5" ht="26.4" x14ac:dyDescent="0.25">
      <c r="B52" s="98" t="s">
        <v>93</v>
      </c>
      <c r="C52" s="100">
        <f>COUNT(Main!B:B)</f>
        <v>366</v>
      </c>
      <c r="D52" s="99"/>
      <c r="E52" s="57"/>
    </row>
  </sheetData>
  <mergeCells count="4">
    <mergeCell ref="C10:C11"/>
    <mergeCell ref="B10:B11"/>
    <mergeCell ref="A1:G2"/>
    <mergeCell ref="F10:F11"/>
  </mergeCells>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B5:C19"/>
  <sheetViews>
    <sheetView showGridLines="0" showRowColHeaders="0" workbookViewId="0">
      <selection activeCell="C11" sqref="C11"/>
    </sheetView>
  </sheetViews>
  <sheetFormatPr defaultRowHeight="13.2" x14ac:dyDescent="0.25"/>
  <cols>
    <col min="1" max="1" width="4.5546875" customWidth="1"/>
    <col min="2" max="2" width="5.21875" customWidth="1"/>
    <col min="3" max="3" width="119.44140625" style="25" customWidth="1"/>
  </cols>
  <sheetData>
    <row r="5" spans="2:3" s="28" customFormat="1" ht="16.2" thickBot="1" x14ac:dyDescent="0.35">
      <c r="B5" s="32"/>
      <c r="C5" s="44"/>
    </row>
    <row r="6" spans="2:3" s="28" customFormat="1" ht="21" x14ac:dyDescent="0.4">
      <c r="B6" s="49"/>
      <c r="C6" s="50" t="s">
        <v>63</v>
      </c>
    </row>
    <row r="7" spans="2:3" s="28" customFormat="1" ht="47.4" thickBot="1" x14ac:dyDescent="0.35">
      <c r="B7" s="47"/>
      <c r="C7" s="48" t="s">
        <v>67</v>
      </c>
    </row>
    <row r="8" spans="2:3" s="28" customFormat="1" ht="15.6" x14ac:dyDescent="0.3">
      <c r="B8" s="45">
        <v>1</v>
      </c>
      <c r="C8" s="46" t="s">
        <v>64</v>
      </c>
    </row>
    <row r="9" spans="2:3" s="28" customFormat="1" ht="15.6" x14ac:dyDescent="0.3">
      <c r="B9" s="45"/>
      <c r="C9" s="46"/>
    </row>
    <row r="10" spans="2:3" s="28" customFormat="1" ht="260.10000000000002" customHeight="1" thickBot="1" x14ac:dyDescent="0.3">
      <c r="B10" s="53"/>
      <c r="C10" s="54"/>
    </row>
    <row r="11" spans="2:3" s="28" customFormat="1" ht="15.6" x14ac:dyDescent="0.3">
      <c r="B11" s="45">
        <v>2</v>
      </c>
      <c r="C11" s="46" t="s">
        <v>65</v>
      </c>
    </row>
    <row r="12" spans="2:3" s="28" customFormat="1" ht="260.10000000000002" customHeight="1" thickBot="1" x14ac:dyDescent="0.3">
      <c r="B12" s="47"/>
      <c r="C12" s="55"/>
    </row>
    <row r="13" spans="2:3" s="28" customFormat="1" ht="15.6" x14ac:dyDescent="0.25">
      <c r="B13" s="45">
        <v>3</v>
      </c>
      <c r="C13" s="51" t="s">
        <v>66</v>
      </c>
    </row>
    <row r="14" spans="2:3" s="28" customFormat="1" ht="233.25" customHeight="1" thickBot="1" x14ac:dyDescent="0.35">
      <c r="B14" s="47"/>
      <c r="C14" s="52"/>
    </row>
    <row r="15" spans="2:3" s="28" customFormat="1" ht="15.6" x14ac:dyDescent="0.25">
      <c r="B15" s="45">
        <v>4</v>
      </c>
      <c r="C15" s="51" t="s">
        <v>71</v>
      </c>
    </row>
    <row r="16" spans="2:3" s="28" customFormat="1" ht="100.05" customHeight="1" thickBot="1" x14ac:dyDescent="0.35">
      <c r="B16" s="47"/>
      <c r="C16" s="52"/>
    </row>
    <row r="17" spans="2:3" s="28" customFormat="1" ht="15.6" x14ac:dyDescent="0.3">
      <c r="B17" s="32"/>
      <c r="C17" s="27"/>
    </row>
    <row r="18" spans="2:3" s="28" customFormat="1" ht="15.6" x14ac:dyDescent="0.25">
      <c r="B18" s="32"/>
      <c r="C18" s="25"/>
    </row>
    <row r="19" spans="2:3" s="28" customFormat="1" ht="15.6" x14ac:dyDescent="0.25">
      <c r="B19" s="32"/>
      <c r="C19" s="25"/>
    </row>
  </sheetData>
  <sheetProtection sheet="1" objects="1" scenarios="1"/>
  <phoneticPr fontId="0" type="noConversion"/>
  <pageMargins left="0.35" right="0.46" top="1" bottom="1" header="0.5" footer="0.5"/>
  <pageSetup scale="43" orientation="landscape"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B5:C20"/>
  <sheetViews>
    <sheetView showGridLines="0" showRowColHeaders="0" tabSelected="1" workbookViewId="0">
      <selection activeCell="B13" sqref="B13"/>
    </sheetView>
  </sheetViews>
  <sheetFormatPr defaultRowHeight="13.2" x14ac:dyDescent="0.25"/>
  <cols>
    <col min="1" max="1" width="4.5546875" customWidth="1"/>
    <col min="2" max="2" width="5.21875" customWidth="1"/>
    <col min="3" max="3" width="119.44140625" style="25" customWidth="1"/>
  </cols>
  <sheetData>
    <row r="5" spans="2:3" s="28" customFormat="1" ht="16.2" thickBot="1" x14ac:dyDescent="0.35">
      <c r="B5" s="32"/>
      <c r="C5" s="44"/>
    </row>
    <row r="6" spans="2:3" s="28" customFormat="1" ht="21" x14ac:dyDescent="0.4">
      <c r="B6" s="49"/>
      <c r="C6" s="50" t="s">
        <v>97</v>
      </c>
    </row>
    <row r="7" spans="2:3" s="28" customFormat="1" ht="47.4" thickBot="1" x14ac:dyDescent="0.35">
      <c r="B7" s="47"/>
      <c r="C7" s="48" t="s">
        <v>67</v>
      </c>
    </row>
    <row r="8" spans="2:3" s="28" customFormat="1" ht="31.2" x14ac:dyDescent="0.3">
      <c r="B8" s="105">
        <v>1</v>
      </c>
      <c r="C8" s="46" t="s">
        <v>99</v>
      </c>
    </row>
    <row r="9" spans="2:3" s="28" customFormat="1" ht="15.6" x14ac:dyDescent="0.3">
      <c r="B9" s="45"/>
      <c r="C9" s="46"/>
    </row>
    <row r="10" spans="2:3" s="28" customFormat="1" ht="260.10000000000002" customHeight="1" thickBot="1" x14ac:dyDescent="0.3">
      <c r="B10" s="53"/>
      <c r="C10" s="54"/>
    </row>
    <row r="11" spans="2:3" s="28" customFormat="1" ht="31.2" x14ac:dyDescent="0.3">
      <c r="B11" s="105">
        <v>2</v>
      </c>
      <c r="C11" s="46" t="s">
        <v>100</v>
      </c>
    </row>
    <row r="12" spans="2:3" s="28" customFormat="1" ht="260.10000000000002" customHeight="1" thickBot="1" x14ac:dyDescent="0.3">
      <c r="B12" s="47"/>
      <c r="C12" s="55"/>
    </row>
    <row r="13" spans="2:3" s="28" customFormat="1" ht="78" x14ac:dyDescent="0.25">
      <c r="B13" s="106">
        <v>3</v>
      </c>
      <c r="C13" s="103" t="s">
        <v>98</v>
      </c>
    </row>
    <row r="14" spans="2:3" s="28" customFormat="1" ht="233.25" customHeight="1" x14ac:dyDescent="0.3">
      <c r="B14" s="45"/>
      <c r="C14" s="104"/>
    </row>
    <row r="15" spans="2:3" s="28" customFormat="1" ht="233.25" customHeight="1" thickBot="1" x14ac:dyDescent="0.35">
      <c r="B15" s="47"/>
      <c r="C15" s="52"/>
    </row>
    <row r="16" spans="2:3" s="28" customFormat="1" ht="15.6" x14ac:dyDescent="0.25">
      <c r="B16" s="45">
        <v>4</v>
      </c>
      <c r="C16" s="51" t="s">
        <v>71</v>
      </c>
    </row>
    <row r="17" spans="2:3" s="28" customFormat="1" ht="100.05" customHeight="1" thickBot="1" x14ac:dyDescent="0.35">
      <c r="B17" s="47"/>
      <c r="C17" s="52"/>
    </row>
    <row r="18" spans="2:3" s="28" customFormat="1" ht="15.6" x14ac:dyDescent="0.3">
      <c r="B18" s="32"/>
      <c r="C18" s="27"/>
    </row>
    <row r="19" spans="2:3" s="28" customFormat="1" ht="15.6" x14ac:dyDescent="0.25">
      <c r="B19" s="32"/>
      <c r="C19" s="25"/>
    </row>
    <row r="20" spans="2:3" s="28" customFormat="1" ht="15.6" x14ac:dyDescent="0.25">
      <c r="B20" s="32"/>
      <c r="C20" s="25"/>
    </row>
  </sheetData>
  <pageMargins left="0.35" right="0.46" top="1" bottom="1" header="0.5" footer="0.5"/>
  <pageSetup scale="43"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E201"/>
  <sheetViews>
    <sheetView workbookViewId="0">
      <selection activeCell="D15" sqref="D15"/>
    </sheetView>
  </sheetViews>
  <sheetFormatPr defaultRowHeight="13.2" x14ac:dyDescent="0.25"/>
  <cols>
    <col min="1" max="1" width="10.77734375" style="31" customWidth="1"/>
    <col min="2" max="3" width="14.21875" style="31" customWidth="1"/>
    <col min="4" max="4" width="14.77734375" style="31" customWidth="1"/>
    <col min="5" max="5" width="14.21875" style="31" customWidth="1"/>
  </cols>
  <sheetData>
    <row r="1" spans="1:5" ht="52.8" x14ac:dyDescent="0.25">
      <c r="A1" s="35" t="s">
        <v>48</v>
      </c>
      <c r="B1" s="35" t="s">
        <v>47</v>
      </c>
      <c r="C1" s="35" t="s">
        <v>49</v>
      </c>
      <c r="D1" s="35" t="s">
        <v>50</v>
      </c>
      <c r="E1" s="35" t="s">
        <v>51</v>
      </c>
    </row>
    <row r="2" spans="1:5" x14ac:dyDescent="0.25">
      <c r="A2" s="36">
        <v>1</v>
      </c>
      <c r="B2" s="18">
        <f>A2*'EVA Calcs'!$C$19/200</f>
        <v>3.1631699694412928E-3</v>
      </c>
      <c r="C2" s="18">
        <f xml:space="preserve"> (1/'EVA Calcs'!$C$16)*EXP(-(B2-'EVA Calcs'!$C$17)/'EVA Calcs'!$C$16)*EXP(-EXP(-(B2-'EVA Calcs'!$C$17)/'EVA Calcs'!$C$16))</f>
        <v>2.1291447777629487E-4</v>
      </c>
      <c r="D2" s="18">
        <f>EXP(-EXP(-(B2-'EVA Calcs'!$C$17)/'EVA Calcs'!$C$16))</f>
        <v>1.1507235018741677E-6</v>
      </c>
      <c r="E2" s="18">
        <f>Main!$D$15-'PDF and CDF'!B2</f>
        <v>2.4068368300305587</v>
      </c>
    </row>
    <row r="3" spans="1:5" x14ac:dyDescent="0.25">
      <c r="A3" s="36">
        <v>2</v>
      </c>
      <c r="B3" s="18">
        <f>A3*'EVA Calcs'!$C$19/200</f>
        <v>6.3263399388825857E-3</v>
      </c>
      <c r="C3" s="18">
        <f xml:space="preserve"> (1/'EVA Calcs'!$C$16)*EXP(-(B3-'EVA Calcs'!$C$17)/'EVA Calcs'!$C$16)*EXP(-EXP(-(B3-'EVA Calcs'!$C$17)/'EVA Calcs'!$C$16))</f>
        <v>3.6177248246235528E-4</v>
      </c>
      <c r="D3" s="18">
        <f>EXP(-EXP(-(B3-'EVA Calcs'!$C$17)/'EVA Calcs'!$C$16))</f>
        <v>2.040743142178905E-6</v>
      </c>
      <c r="E3" s="18">
        <f>Main!$D$15-'PDF and CDF'!B3</f>
        <v>2.4036736600611177</v>
      </c>
    </row>
    <row r="4" spans="1:5" x14ac:dyDescent="0.25">
      <c r="A4" s="36">
        <v>3</v>
      </c>
      <c r="B4" s="18">
        <f>A4*'EVA Calcs'!$C$19/200</f>
        <v>9.4895099083238781E-3</v>
      </c>
      <c r="C4" s="18">
        <f xml:space="preserve"> (1/'EVA Calcs'!$C$16)*EXP(-(B4-'EVA Calcs'!$C$17)/'EVA Calcs'!$C$16)*EXP(-EXP(-(B4-'EVA Calcs'!$C$17)/'EVA Calcs'!$C$16))</f>
        <v>6.0012482171680425E-4</v>
      </c>
      <c r="D4" s="18">
        <f>EXP(-EXP(-(B4-'EVA Calcs'!$C$17)/'EVA Calcs'!$C$16))</f>
        <v>3.5333074740298214E-6</v>
      </c>
      <c r="E4" s="18">
        <f>Main!$D$15-'PDF and CDF'!B4</f>
        <v>2.4005104900916763</v>
      </c>
    </row>
    <row r="5" spans="1:5" x14ac:dyDescent="0.25">
      <c r="A5" s="36">
        <v>4</v>
      </c>
      <c r="B5" s="18">
        <f>A5*'EVA Calcs'!$C$19/200</f>
        <v>1.2652679877765171E-2</v>
      </c>
      <c r="C5" s="18">
        <f xml:space="preserve"> (1/'EVA Calcs'!$C$16)*EXP(-(B5-'EVA Calcs'!$C$17)/'EVA Calcs'!$C$16)*EXP(-EXP(-(B5-'EVA Calcs'!$C$17)/'EVA Calcs'!$C$16))</f>
        <v>9.7288185075490303E-4</v>
      </c>
      <c r="D5" s="18">
        <f>EXP(-EXP(-(B5-'EVA Calcs'!$C$17)/'EVA Calcs'!$C$16))</f>
        <v>5.9784275436772645E-6</v>
      </c>
      <c r="E5" s="18">
        <f>Main!$D$15-'PDF and CDF'!B5</f>
        <v>2.3973473201222348</v>
      </c>
    </row>
    <row r="6" spans="1:5" x14ac:dyDescent="0.25">
      <c r="A6" s="36">
        <v>5</v>
      </c>
      <c r="B6" s="18">
        <f>A6*'EVA Calcs'!$C$19/200</f>
        <v>1.5815849847206465E-2</v>
      </c>
      <c r="C6" s="18">
        <f xml:space="preserve"> (1/'EVA Calcs'!$C$16)*EXP(-(B6-'EVA Calcs'!$C$17)/'EVA Calcs'!$C$16)*EXP(-EXP(-(B6-'EVA Calcs'!$C$17)/'EVA Calcs'!$C$16))</f>
        <v>1.5427995244145351E-3</v>
      </c>
      <c r="D6" s="18">
        <f>EXP(-EXP(-(B6-'EVA Calcs'!$C$17)/'EVA Calcs'!$C$16))</f>
        <v>9.8951729923289995E-6</v>
      </c>
      <c r="E6" s="18">
        <f>Main!$D$15-'PDF and CDF'!B6</f>
        <v>2.3941841501527938</v>
      </c>
    </row>
    <row r="7" spans="1:5" x14ac:dyDescent="0.25">
      <c r="A7" s="36">
        <v>6</v>
      </c>
      <c r="B7" s="18">
        <f>A7*'EVA Calcs'!$C$19/200</f>
        <v>1.8979019816647756E-2</v>
      </c>
      <c r="C7" s="18">
        <f xml:space="preserve"> (1/'EVA Calcs'!$C$16)*EXP(-(B7-'EVA Calcs'!$C$17)/'EVA Calcs'!$C$16)*EXP(-EXP(-(B7-'EVA Calcs'!$C$17)/'EVA Calcs'!$C$16))</f>
        <v>2.3954696616655061E-3</v>
      </c>
      <c r="D7" s="18">
        <f>EXP(-EXP(-(B7-'EVA Calcs'!$C$17)/'EVA Calcs'!$C$16))</f>
        <v>1.603583563507424E-5</v>
      </c>
      <c r="E7" s="18">
        <f>Main!$D$15-'PDF and CDF'!B7</f>
        <v>2.3910209801833524</v>
      </c>
    </row>
    <row r="8" spans="1:5" x14ac:dyDescent="0.25">
      <c r="A8" s="36">
        <v>7</v>
      </c>
      <c r="B8" s="18">
        <f>A8*'EVA Calcs'!$C$19/200</f>
        <v>2.2142189786089048E-2</v>
      </c>
      <c r="C8" s="18">
        <f xml:space="preserve"> (1/'EVA Calcs'!$C$16)*EXP(-(B8-'EVA Calcs'!$C$17)/'EVA Calcs'!$C$16)*EXP(-EXP(-(B8-'EVA Calcs'!$C$17)/'EVA Calcs'!$C$16))</f>
        <v>3.644917833903747E-3</v>
      </c>
      <c r="D8" s="18">
        <f>EXP(-EXP(-(B8-'EVA Calcs'!$C$17)/'EVA Calcs'!$C$16))</f>
        <v>2.5466876966936816E-5</v>
      </c>
      <c r="E8" s="18">
        <f>Main!$D$15-'PDF and CDF'!B8</f>
        <v>2.387857810213911</v>
      </c>
    </row>
    <row r="9" spans="1:5" x14ac:dyDescent="0.25">
      <c r="A9" s="36">
        <v>8</v>
      </c>
      <c r="B9" s="18">
        <f>A9*'EVA Calcs'!$C$19/200</f>
        <v>2.5305359755530343E-2</v>
      </c>
      <c r="C9" s="18">
        <f xml:space="preserve"> (1/'EVA Calcs'!$C$16)*EXP(-(B9-'EVA Calcs'!$C$17)/'EVA Calcs'!$C$16)*EXP(-EXP(-(B9-'EVA Calcs'!$C$17)/'EVA Calcs'!$C$16))</f>
        <v>5.4396218832509112E-3</v>
      </c>
      <c r="D9" s="18">
        <f>EXP(-EXP(-(B9-'EVA Calcs'!$C$17)/'EVA Calcs'!$C$16))</f>
        <v>3.9668308874742115E-5</v>
      </c>
      <c r="E9" s="18">
        <f>Main!$D$15-'PDF and CDF'!B9</f>
        <v>2.38469464024447</v>
      </c>
    </row>
    <row r="10" spans="1:5" x14ac:dyDescent="0.25">
      <c r="A10" s="36">
        <v>9</v>
      </c>
      <c r="B10" s="18">
        <f>A10*'EVA Calcs'!$C$19/200</f>
        <v>2.8468529724971638E-2</v>
      </c>
      <c r="C10" s="18">
        <f xml:space="preserve"> (1/'EVA Calcs'!$C$16)*EXP(-(B10-'EVA Calcs'!$C$17)/'EVA Calcs'!$C$16)*EXP(-EXP(-(B10-'EVA Calcs'!$C$17)/'EVA Calcs'!$C$16))</f>
        <v>7.9686761764262183E-3</v>
      </c>
      <c r="D10" s="18">
        <f>EXP(-EXP(-(B10-'EVA Calcs'!$C$17)/'EVA Calcs'!$C$16))</f>
        <v>6.0652426334244107E-5</v>
      </c>
      <c r="E10" s="18">
        <f>Main!$D$15-'PDF and CDF'!B10</f>
        <v>2.3815314702750285</v>
      </c>
    </row>
    <row r="11" spans="1:5" x14ac:dyDescent="0.25">
      <c r="A11" s="36">
        <v>10</v>
      </c>
      <c r="B11" s="18">
        <f>A11*'EVA Calcs'!$C$19/200</f>
        <v>3.1631699694412929E-2</v>
      </c>
      <c r="C11" s="18">
        <f xml:space="preserve"> (1/'EVA Calcs'!$C$16)*EXP(-(B11-'EVA Calcs'!$C$17)/'EVA Calcs'!$C$16)*EXP(-EXP(-(B11-'EVA Calcs'!$C$17)/'EVA Calcs'!$C$16))</f>
        <v>1.1467743352595103E-2</v>
      </c>
      <c r="D11" s="18">
        <f>EXP(-EXP(-(B11-'EVA Calcs'!$C$17)/'EVA Calcs'!$C$16))</f>
        <v>9.1101807060431012E-5</v>
      </c>
      <c r="E11" s="18">
        <f>Main!$D$15-'PDF and CDF'!B11</f>
        <v>2.3783683003055871</v>
      </c>
    </row>
    <row r="12" spans="1:5" x14ac:dyDescent="0.25">
      <c r="A12" s="36">
        <v>11</v>
      </c>
      <c r="B12" s="18">
        <f>A12*'EVA Calcs'!$C$19/200</f>
        <v>3.4794869663854221E-2</v>
      </c>
      <c r="C12" s="18">
        <f xml:space="preserve"> (1/'EVA Calcs'!$C$16)*EXP(-(B12-'EVA Calcs'!$C$17)/'EVA Calcs'!$C$16)*EXP(-EXP(-(B12-'EVA Calcs'!$C$17)/'EVA Calcs'!$C$16))</f>
        <v>1.6224366206348168E-2</v>
      </c>
      <c r="D12" s="18">
        <f>EXP(-EXP(-(B12-'EVA Calcs'!$C$17)/'EVA Calcs'!$C$16))</f>
        <v>1.3452524554089423E-4</v>
      </c>
      <c r="E12" s="18">
        <f>Main!$D$15-'PDF and CDF'!B12</f>
        <v>2.3752051303361461</v>
      </c>
    </row>
    <row r="13" spans="1:5" x14ac:dyDescent="0.25">
      <c r="A13" s="36">
        <v>12</v>
      </c>
      <c r="B13" s="18">
        <f>A13*'EVA Calcs'!$C$19/200</f>
        <v>3.7958039633295512E-2</v>
      </c>
      <c r="C13" s="18">
        <f xml:space="preserve"> (1/'EVA Calcs'!$C$16)*EXP(-(B13-'EVA Calcs'!$C$17)/'EVA Calcs'!$C$16)*EXP(-EXP(-(B13-'EVA Calcs'!$C$17)/'EVA Calcs'!$C$16))</f>
        <v>2.2582166991372603E-2</v>
      </c>
      <c r="D13" s="18">
        <f>EXP(-EXP(-(B13-'EVA Calcs'!$C$17)/'EVA Calcs'!$C$16))</f>
        <v>1.9542885790596549E-4</v>
      </c>
      <c r="E13" s="18">
        <f>Main!$D$15-'PDF and CDF'!B13</f>
        <v>2.3720419603667047</v>
      </c>
    </row>
    <row r="14" spans="1:5" x14ac:dyDescent="0.25">
      <c r="A14" s="36">
        <v>13</v>
      </c>
      <c r="B14" s="18">
        <f>A14*'EVA Calcs'!$C$19/200</f>
        <v>4.1121209602736811E-2</v>
      </c>
      <c r="C14" s="18">
        <f xml:space="preserve"> (1/'EVA Calcs'!$C$16)*EXP(-(B14-'EVA Calcs'!$C$17)/'EVA Calcs'!$C$16)*EXP(-EXP(-(B14-'EVA Calcs'!$C$17)/'EVA Calcs'!$C$16))</f>
        <v>3.0943447982994692E-2</v>
      </c>
      <c r="D14" s="18">
        <f>EXP(-EXP(-(B14-'EVA Calcs'!$C$17)/'EVA Calcs'!$C$16))</f>
        <v>2.7949806824719087E-4</v>
      </c>
      <c r="E14" s="18">
        <f>Main!$D$15-'PDF and CDF'!B14</f>
        <v>2.3688787903972632</v>
      </c>
    </row>
    <row r="15" spans="1:5" x14ac:dyDescent="0.25">
      <c r="A15" s="36">
        <v>14</v>
      </c>
      <c r="B15" s="18">
        <f>A15*'EVA Calcs'!$C$19/200</f>
        <v>4.4284379572178095E-2</v>
      </c>
      <c r="C15" s="18">
        <f xml:space="preserve"> (1/'EVA Calcs'!$C$16)*EXP(-(B15-'EVA Calcs'!$C$17)/'EVA Calcs'!$C$16)*EXP(-EXP(-(B15-'EVA Calcs'!$C$17)/'EVA Calcs'!$C$16))</f>
        <v>4.1769731211245109E-2</v>
      </c>
      <c r="D15" s="18">
        <f>EXP(-EXP(-(B15-'EVA Calcs'!$C$17)/'EVA Calcs'!$C$16))</f>
        <v>3.9378467689621909E-4</v>
      </c>
      <c r="E15" s="18">
        <f>Main!$D$15-'PDF and CDF'!B15</f>
        <v>2.3657156204278222</v>
      </c>
    </row>
    <row r="16" spans="1:5" x14ac:dyDescent="0.25">
      <c r="A16" s="36">
        <v>15</v>
      </c>
      <c r="B16" s="18">
        <f>A16*'EVA Calcs'!$C$19/200</f>
        <v>4.7447549541619394E-2</v>
      </c>
      <c r="C16" s="18">
        <f xml:space="preserve"> (1/'EVA Calcs'!$C$16)*EXP(-(B16-'EVA Calcs'!$C$17)/'EVA Calcs'!$C$16)*EXP(-EXP(-(B16-'EVA Calcs'!$C$17)/'EVA Calcs'!$C$16))</f>
        <v>5.5579839069806958E-2</v>
      </c>
      <c r="D16" s="18">
        <f>EXP(-EXP(-(B16-'EVA Calcs'!$C$17)/'EVA Calcs'!$C$16))</f>
        <v>5.4689183996696684E-4</v>
      </c>
      <c r="E16" s="18">
        <f>Main!$D$15-'PDF and CDF'!B16</f>
        <v>2.3625524504583808</v>
      </c>
    </row>
    <row r="17" spans="1:5" x14ac:dyDescent="0.25">
      <c r="A17" s="36">
        <v>16</v>
      </c>
      <c r="B17" s="18">
        <f>A17*'EVA Calcs'!$C$19/200</f>
        <v>5.0610719511060685E-2</v>
      </c>
      <c r="C17" s="18">
        <f xml:space="preserve"> (1/'EVA Calcs'!$C$16)*EXP(-(B17-'EVA Calcs'!$C$17)/'EVA Calcs'!$C$16)*EXP(-EXP(-(B17-'EVA Calcs'!$C$17)/'EVA Calcs'!$C$16))</f>
        <v>7.2945219332565286E-2</v>
      </c>
      <c r="D17" s="18">
        <f>EXP(-EXP(-(B17-'EVA Calcs'!$C$17)/'EVA Calcs'!$C$16))</f>
        <v>7.4914868116561625E-4</v>
      </c>
      <c r="E17" s="18">
        <f>Main!$D$15-'PDF and CDF'!B17</f>
        <v>2.3593892804889394</v>
      </c>
    </row>
    <row r="18" spans="1:5" x14ac:dyDescent="0.25">
      <c r="A18" s="36">
        <v>17</v>
      </c>
      <c r="B18" s="18">
        <f>A18*'EVA Calcs'!$C$19/200</f>
        <v>5.3773889480501984E-2</v>
      </c>
      <c r="C18" s="18">
        <f xml:space="preserve"> (1/'EVA Calcs'!$C$16)*EXP(-(B18-'EVA Calcs'!$C$17)/'EVA Calcs'!$C$16)*EXP(-EXP(-(B18-'EVA Calcs'!$C$17)/'EVA Calcs'!$C$16))</f>
        <v>9.4482352398617256E-2</v>
      </c>
      <c r="D18" s="18">
        <f>EXP(-EXP(-(B18-'EVA Calcs'!$C$17)/'EVA Calcs'!$C$16))</f>
        <v>1.0127655239618228E-3</v>
      </c>
      <c r="E18" s="18">
        <f>Main!$D$15-'PDF and CDF'!B18</f>
        <v>2.3562261105194984</v>
      </c>
    </row>
    <row r="19" spans="1:5" x14ac:dyDescent="0.25">
      <c r="A19" s="36">
        <v>18</v>
      </c>
      <c r="B19" s="18">
        <f>A19*'EVA Calcs'!$C$19/200</f>
        <v>5.6937059449943275E-2</v>
      </c>
      <c r="C19" s="18">
        <f xml:space="preserve"> (1/'EVA Calcs'!$C$16)*EXP(-(B19-'EVA Calcs'!$C$17)/'EVA Calcs'!$C$16)*EXP(-EXP(-(B19-'EVA Calcs'!$C$17)/'EVA Calcs'!$C$16))</f>
        <v>0.12084223636825835</v>
      </c>
      <c r="D19" s="18">
        <f>EXP(-EXP(-(B19-'EVA Calcs'!$C$17)/'EVA Calcs'!$C$16))</f>
        <v>1.3519604639851135E-3</v>
      </c>
      <c r="E19" s="18">
        <f>Main!$D$15-'PDF and CDF'!B19</f>
        <v>2.3530629405500569</v>
      </c>
    </row>
    <row r="20" spans="1:5" x14ac:dyDescent="0.25">
      <c r="A20" s="36">
        <v>19</v>
      </c>
      <c r="B20" s="18">
        <f>A20*'EVA Calcs'!$C$19/200</f>
        <v>6.010022941938456E-2</v>
      </c>
      <c r="C20" s="18">
        <f xml:space="preserve"> (1/'EVA Calcs'!$C$16)*EXP(-(B20-'EVA Calcs'!$C$17)/'EVA Calcs'!$C$16)*EXP(-EXP(-(B20-'EVA Calcs'!$C$17)/'EVA Calcs'!$C$16))</f>
        <v>0.15269711534347341</v>
      </c>
      <c r="D20" s="18">
        <f>EXP(-EXP(-(B20-'EVA Calcs'!$C$17)/'EVA Calcs'!$C$16))</f>
        <v>1.7830482546302433E-3</v>
      </c>
      <c r="E20" s="18">
        <f>Main!$D$15-'PDF and CDF'!B20</f>
        <v>2.3498997705806155</v>
      </c>
    </row>
    <row r="21" spans="1:5" x14ac:dyDescent="0.25">
      <c r="A21" s="36">
        <v>20</v>
      </c>
      <c r="B21" s="18">
        <f>A21*'EVA Calcs'!$C$19/200</f>
        <v>6.3263399388825858E-2</v>
      </c>
      <c r="C21" s="18">
        <f xml:space="preserve"> (1/'EVA Calcs'!$C$16)*EXP(-(B21-'EVA Calcs'!$C$17)/'EVA Calcs'!$C$16)*EXP(-EXP(-(B21-'EVA Calcs'!$C$17)/'EVA Calcs'!$C$16))</f>
        <v>0.1907247853179975</v>
      </c>
      <c r="D21" s="18">
        <f>EXP(-EXP(-(B21-'EVA Calcs'!$C$17)/'EVA Calcs'!$C$16))</f>
        <v>2.3244832712088774E-3</v>
      </c>
      <c r="E21" s="18">
        <f>Main!$D$15-'PDF and CDF'!B21</f>
        <v>2.3467366006111741</v>
      </c>
    </row>
    <row r="22" spans="1:5" x14ac:dyDescent="0.25">
      <c r="A22" s="36">
        <v>21</v>
      </c>
      <c r="B22" s="18">
        <f>A22*'EVA Calcs'!$C$19/200</f>
        <v>6.6426569358267157E-2</v>
      </c>
      <c r="C22" s="18">
        <f xml:space="preserve"> (1/'EVA Calcs'!$C$16)*EXP(-(B22-'EVA Calcs'!$C$17)/'EVA Calcs'!$C$16)*EXP(-EXP(-(B22-'EVA Calcs'!$C$17)/'EVA Calcs'!$C$16))</f>
        <v>0.23559096728847512</v>
      </c>
      <c r="D22" s="18">
        <f>EXP(-EXP(-(B22-'EVA Calcs'!$C$17)/'EVA Calcs'!$C$16))</f>
        <v>2.9968496274453485E-3</v>
      </c>
      <c r="E22" s="18">
        <f>Main!$D$15-'PDF and CDF'!B22</f>
        <v>2.3435734306417331</v>
      </c>
    </row>
    <row r="23" spans="1:5" x14ac:dyDescent="0.25">
      <c r="A23" s="36">
        <v>22</v>
      </c>
      <c r="B23" s="18">
        <f>A23*'EVA Calcs'!$C$19/200</f>
        <v>6.9589739327708441E-2</v>
      </c>
      <c r="C23" s="18">
        <f xml:space="preserve"> (1/'EVA Calcs'!$C$16)*EXP(-(B23-'EVA Calcs'!$C$17)/'EVA Calcs'!$C$16)*EXP(-EXP(-(B23-'EVA Calcs'!$C$17)/'EVA Calcs'!$C$16))</f>
        <v>0.28793036708489617</v>
      </c>
      <c r="D23" s="18">
        <f>EXP(-EXP(-(B23-'EVA Calcs'!$C$17)/'EVA Calcs'!$C$16))</f>
        <v>3.8227932803676099E-3</v>
      </c>
      <c r="E23" s="18">
        <f>Main!$D$15-'PDF and CDF'!B23</f>
        <v>2.3404102606722916</v>
      </c>
    </row>
    <row r="24" spans="1:5" x14ac:dyDescent="0.25">
      <c r="A24" s="36">
        <v>23</v>
      </c>
      <c r="B24" s="18">
        <f>A24*'EVA Calcs'!$C$19/200</f>
        <v>7.275290929714974E-2</v>
      </c>
      <c r="C24" s="18">
        <f xml:space="preserve"> (1/'EVA Calcs'!$C$16)*EXP(-(B24-'EVA Calcs'!$C$17)/'EVA Calcs'!$C$16)*EXP(-EXP(-(B24-'EVA Calcs'!$C$17)/'EVA Calcs'!$C$16))</f>
        <v>0.34832713644310953</v>
      </c>
      <c r="D24" s="18">
        <f>EXP(-EXP(-(B24-'EVA Calcs'!$C$17)/'EVA Calcs'!$C$16))</f>
        <v>4.8268930797023659E-3</v>
      </c>
      <c r="E24" s="18">
        <f>Main!$D$15-'PDF and CDF'!B24</f>
        <v>2.3372470907028502</v>
      </c>
    </row>
    <row r="25" spans="1:5" x14ac:dyDescent="0.25">
      <c r="A25" s="36">
        <v>24</v>
      </c>
      <c r="B25" s="18">
        <f>A25*'EVA Calcs'!$C$19/200</f>
        <v>7.5916079266591024E-2</v>
      </c>
      <c r="C25" s="18">
        <f xml:space="preserve"> (1/'EVA Calcs'!$C$16)*EXP(-(B25-'EVA Calcs'!$C$17)/'EVA Calcs'!$C$16)*EXP(-EXP(-(B25-'EVA Calcs'!$C$17)/'EVA Calcs'!$C$16))</f>
        <v>0.41729550360287332</v>
      </c>
      <c r="D25" s="18">
        <f>EXP(-EXP(-(B25-'EVA Calcs'!$C$17)/'EVA Calcs'!$C$16))</f>
        <v>6.0354700745092133E-3</v>
      </c>
      <c r="E25" s="18">
        <f>Main!$D$15-'PDF and CDF'!B25</f>
        <v>2.3340839207334092</v>
      </c>
    </row>
    <row r="26" spans="1:5" x14ac:dyDescent="0.25">
      <c r="A26" s="36">
        <v>25</v>
      </c>
      <c r="B26" s="18">
        <f>A26*'EVA Calcs'!$C$19/200</f>
        <v>7.9079249236032323E-2</v>
      </c>
      <c r="C26" s="18">
        <f xml:space="preserve"> (1/'EVA Calcs'!$C$16)*EXP(-(B26-'EVA Calcs'!$C$17)/'EVA Calcs'!$C$16)*EXP(-EXP(-(B26-'EVA Calcs'!$C$17)/'EVA Calcs'!$C$16))</f>
        <v>0.49526135122329018</v>
      </c>
      <c r="D26" s="18">
        <f>EXP(-EXP(-(B26-'EVA Calcs'!$C$17)/'EVA Calcs'!$C$16))</f>
        <v>7.4763368468020782E-3</v>
      </c>
      <c r="E26" s="18">
        <f>Main!$D$15-'PDF and CDF'!B26</f>
        <v>2.3309207507639678</v>
      </c>
    </row>
    <row r="27" spans="1:5" x14ac:dyDescent="0.25">
      <c r="A27" s="36">
        <v>26</v>
      </c>
      <c r="B27" s="18">
        <f>A27*'EVA Calcs'!$C$19/200</f>
        <v>8.2242419205473621E-2</v>
      </c>
      <c r="C27" s="18">
        <f xml:space="preserve"> (1/'EVA Calcs'!$C$16)*EXP(-(B27-'EVA Calcs'!$C$17)/'EVA Calcs'!$C$16)*EXP(-EXP(-(B27-'EVA Calcs'!$C$17)/'EVA Calcs'!$C$16))</f>
        <v>0.58254548515664839</v>
      </c>
      <c r="D27" s="18">
        <f>EXP(-EXP(-(B27-'EVA Calcs'!$C$17)/'EVA Calcs'!$C$16))</f>
        <v>9.1784910592157074E-3</v>
      </c>
      <c r="E27" s="18">
        <f>Main!$D$15-'PDF and CDF'!B27</f>
        <v>2.3277575807945263</v>
      </c>
    </row>
    <row r="28" spans="1:5" x14ac:dyDescent="0.25">
      <c r="A28" s="36">
        <v>27</v>
      </c>
      <c r="B28" s="18">
        <f>A28*'EVA Calcs'!$C$19/200</f>
        <v>8.540558917491492E-2</v>
      </c>
      <c r="C28" s="18">
        <f xml:space="preserve"> (1/'EVA Calcs'!$C$16)*EXP(-(B28-'EVA Calcs'!$C$17)/'EVA Calcs'!$C$16)*EXP(-EXP(-(B28-'EVA Calcs'!$C$17)/'EVA Calcs'!$C$16))</f>
        <v>0.67934926330057133</v>
      </c>
      <c r="D28" s="18">
        <f>EXP(-EXP(-(B28-'EVA Calcs'!$C$17)/'EVA Calcs'!$C$16))</f>
        <v>1.117175964801541E-2</v>
      </c>
      <c r="E28" s="18">
        <f>Main!$D$15-'PDF and CDF'!B28</f>
        <v>2.3245944108250853</v>
      </c>
    </row>
    <row r="29" spans="1:5" x14ac:dyDescent="0.25">
      <c r="A29" s="36">
        <v>28</v>
      </c>
      <c r="B29" s="18">
        <f>A29*'EVA Calcs'!$C$19/200</f>
        <v>8.8568759144356191E-2</v>
      </c>
      <c r="C29" s="18">
        <f xml:space="preserve"> (1/'EVA Calcs'!$C$16)*EXP(-(B29-'EVA Calcs'!$C$17)/'EVA Calcs'!$C$16)*EXP(-EXP(-(B29-'EVA Calcs'!$C$17)/'EVA Calcs'!$C$16))</f>
        <v>0.78574314569020975</v>
      </c>
      <c r="D29" s="18">
        <f>EXP(-EXP(-(B29-'EVA Calcs'!$C$17)/'EVA Calcs'!$C$16))</f>
        <v>1.3486402046580732E-2</v>
      </c>
      <c r="E29" s="18">
        <f>Main!$D$15-'PDF and CDF'!B29</f>
        <v>2.3214312408556439</v>
      </c>
    </row>
    <row r="30" spans="1:5" x14ac:dyDescent="0.25">
      <c r="A30" s="36">
        <v>29</v>
      </c>
      <c r="B30" s="18">
        <f>A30*'EVA Calcs'!$C$19/200</f>
        <v>9.1731929113797489E-2</v>
      </c>
      <c r="C30" s="18">
        <f xml:space="preserve"> (1/'EVA Calcs'!$C$16)*EXP(-(B30-'EVA Calcs'!$C$17)/'EVA Calcs'!$C$16)*EXP(-EXP(-(B30-'EVA Calcs'!$C$17)/'EVA Calcs'!$C$16))</f>
        <v>0.90165859344324739</v>
      </c>
      <c r="D30" s="18">
        <f>EXP(-EXP(-(B30-'EVA Calcs'!$C$17)/'EVA Calcs'!$C$16))</f>
        <v>1.6152682393845475E-2</v>
      </c>
      <c r="E30" s="18">
        <f>Main!$D$15-'PDF and CDF'!B30</f>
        <v>2.3182680708862025</v>
      </c>
    </row>
    <row r="31" spans="1:5" x14ac:dyDescent="0.25">
      <c r="A31" s="36">
        <v>30</v>
      </c>
      <c r="B31" s="18">
        <f>A31*'EVA Calcs'!$C$19/200</f>
        <v>9.4895099083238788E-2</v>
      </c>
      <c r="C31" s="18">
        <f xml:space="preserve"> (1/'EVA Calcs'!$C$16)*EXP(-(B31-'EVA Calcs'!$C$17)/'EVA Calcs'!$C$16)*EXP(-EXP(-(B31-'EVA Calcs'!$C$17)/'EVA Calcs'!$C$16))</f>
        <v>1.0268835944734798</v>
      </c>
      <c r="D31" s="18">
        <f>EXP(-EXP(-(B31-'EVA Calcs'!$C$17)/'EVA Calcs'!$C$16))</f>
        <v>1.9200421801012422E-2</v>
      </c>
      <c r="E31" s="18">
        <f>Main!$D$15-'PDF and CDF'!B31</f>
        <v>2.3151049009167615</v>
      </c>
    </row>
    <row r="32" spans="1:5" x14ac:dyDescent="0.25">
      <c r="A32" s="36">
        <v>31</v>
      </c>
      <c r="B32" s="18">
        <f>A32*'EVA Calcs'!$C$19/200</f>
        <v>9.8058269052680072E-2</v>
      </c>
      <c r="C32" s="18">
        <f xml:space="preserve"> (1/'EVA Calcs'!$C$16)*EXP(-(B32-'EVA Calcs'!$C$17)/'EVA Calcs'!$C$16)*EXP(-EXP(-(B32-'EVA Calcs'!$C$17)/'EVA Calcs'!$C$16))</f>
        <v>1.1610619376695996</v>
      </c>
      <c r="D32" s="18">
        <f>EXP(-EXP(-(B32-'EVA Calcs'!$C$17)/'EVA Calcs'!$C$16))</f>
        <v>2.2658542382354409E-2</v>
      </c>
      <c r="E32" s="18">
        <f>Main!$D$15-'PDF and CDF'!B32</f>
        <v>2.31194173094732</v>
      </c>
    </row>
    <row r="33" spans="1:5" x14ac:dyDescent="0.25">
      <c r="A33" s="36">
        <v>32</v>
      </c>
      <c r="B33" s="18">
        <f>A33*'EVA Calcs'!$C$19/200</f>
        <v>0.10122143902212137</v>
      </c>
      <c r="C33" s="18">
        <f xml:space="preserve"> (1/'EVA Calcs'!$C$16)*EXP(-(B33-'EVA Calcs'!$C$17)/'EVA Calcs'!$C$16)*EXP(-EXP(-(B33-'EVA Calcs'!$C$17)/'EVA Calcs'!$C$16))</f>
        <v>1.3036962036683604</v>
      </c>
      <c r="D33" s="18">
        <f>EXP(-EXP(-(B33-'EVA Calcs'!$C$17)/'EVA Calcs'!$C$16))</f>
        <v>2.6554614896148288E-2</v>
      </c>
      <c r="E33" s="18">
        <f>Main!$D$15-'PDF and CDF'!B33</f>
        <v>2.3087785609778786</v>
      </c>
    </row>
    <row r="34" spans="1:5" x14ac:dyDescent="0.25">
      <c r="A34" s="36">
        <v>33</v>
      </c>
      <c r="B34" s="18">
        <f>A34*'EVA Calcs'!$C$19/200</f>
        <v>0.10438460899156267</v>
      </c>
      <c r="C34" s="18">
        <f xml:space="preserve"> (1/'EVA Calcs'!$C$16)*EXP(-(B34-'EVA Calcs'!$C$17)/'EVA Calcs'!$C$16)*EXP(-EXP(-(B34-'EVA Calcs'!$C$17)/'EVA Calcs'!$C$16))</f>
        <v>1.4541542975544519</v>
      </c>
      <c r="D34" s="18">
        <f>EXP(-EXP(-(B34-'EVA Calcs'!$C$17)/'EVA Calcs'!$C$16))</f>
        <v>3.0914421511336772E-2</v>
      </c>
      <c r="E34" s="18">
        <f>Main!$D$15-'PDF and CDF'!B34</f>
        <v>2.3056153910084376</v>
      </c>
    </row>
    <row r="35" spans="1:5" x14ac:dyDescent="0.25">
      <c r="A35" s="36">
        <v>34</v>
      </c>
      <c r="B35" s="18">
        <f>A35*'EVA Calcs'!$C$19/200</f>
        <v>0.10754777896100397</v>
      </c>
      <c r="C35" s="18">
        <f xml:space="preserve"> (1/'EVA Calcs'!$C$16)*EXP(-(B35-'EVA Calcs'!$C$17)/'EVA Calcs'!$C$16)*EXP(-EXP(-(B35-'EVA Calcs'!$C$17)/'EVA Calcs'!$C$16))</f>
        <v>1.6116792234198685</v>
      </c>
      <c r="D35" s="18">
        <f>EXP(-EXP(-(B35-'EVA Calcs'!$C$17)/'EVA Calcs'!$C$16))</f>
        <v>3.5761544459364254E-2</v>
      </c>
      <c r="E35" s="18">
        <f>Main!$D$15-'PDF and CDF'!B35</f>
        <v>2.3024522210389962</v>
      </c>
    </row>
    <row r="36" spans="1:5" x14ac:dyDescent="0.25">
      <c r="A36" s="36">
        <v>35</v>
      </c>
      <c r="B36" s="18">
        <f>A36*'EVA Calcs'!$C$19/200</f>
        <v>0.11071094893044525</v>
      </c>
      <c r="C36" s="18">
        <f xml:space="preserve"> (1/'EVA Calcs'!$C$16)*EXP(-(B36-'EVA Calcs'!$C$17)/'EVA Calcs'!$C$16)*EXP(-EXP(-(B36-'EVA Calcs'!$C$17)/'EVA Calcs'!$C$16))</f>
        <v>1.7754016975862137</v>
      </c>
      <c r="D36" s="18">
        <f>EXP(-EXP(-(B36-'EVA Calcs'!$C$17)/'EVA Calcs'!$C$16))</f>
        <v>4.1116990212000847E-2</v>
      </c>
      <c r="E36" s="18">
        <f>Main!$D$15-'PDF and CDF'!B36</f>
        <v>2.2992890510695547</v>
      </c>
    </row>
    <row r="37" spans="1:5" x14ac:dyDescent="0.25">
      <c r="A37" s="36">
        <v>36</v>
      </c>
      <c r="B37" s="18">
        <f>A37*'EVA Calcs'!$C$19/200</f>
        <v>0.11387411889988655</v>
      </c>
      <c r="C37" s="18">
        <f xml:space="preserve"> (1/'EVA Calcs'!$C$16)*EXP(-(B37-'EVA Calcs'!$C$17)/'EVA Calcs'!$C$16)*EXP(-EXP(-(B37-'EVA Calcs'!$C$17)/'EVA Calcs'!$C$16))</f>
        <v>1.944355119462118</v>
      </c>
      <c r="D37" s="18">
        <f>EXP(-EXP(-(B37-'EVA Calcs'!$C$17)/'EVA Calcs'!$C$16))</f>
        <v>4.6998857420579847E-2</v>
      </c>
      <c r="E37" s="18">
        <f>Main!$D$15-'PDF and CDF'!B37</f>
        <v>2.2961258811001137</v>
      </c>
    </row>
    <row r="38" spans="1:5" x14ac:dyDescent="0.25">
      <c r="A38" s="36">
        <v>37</v>
      </c>
      <c r="B38" s="18">
        <f>A38*'EVA Calcs'!$C$19/200</f>
        <v>0.11703728886932784</v>
      </c>
      <c r="C38" s="18">
        <f xml:space="preserve"> (1/'EVA Calcs'!$C$16)*EXP(-(B38-'EVA Calcs'!$C$17)/'EVA Calcs'!$C$16)*EXP(-EXP(-(B38-'EVA Calcs'!$C$17)/'EVA Calcs'!$C$16))</f>
        <v>2.1174923677130302</v>
      </c>
      <c r="D38" s="18">
        <f>EXP(-EXP(-(B38-'EVA Calcs'!$C$17)/'EVA Calcs'!$C$16))</f>
        <v>5.3422055242354008E-2</v>
      </c>
      <c r="E38" s="18">
        <f>Main!$D$15-'PDF and CDF'!B38</f>
        <v>2.2929627111306723</v>
      </c>
    </row>
    <row r="39" spans="1:5" x14ac:dyDescent="0.25">
      <c r="A39" s="36">
        <v>38</v>
      </c>
      <c r="B39" s="18">
        <f>A39*'EVA Calcs'!$C$19/200</f>
        <v>0.12020045883876912</v>
      </c>
      <c r="C39" s="18">
        <f xml:space="preserve"> (1/'EVA Calcs'!$C$16)*EXP(-(B39-'EVA Calcs'!$C$17)/'EVA Calcs'!$C$16)*EXP(-EXP(-(B39-'EVA Calcs'!$C$17)/'EVA Calcs'!$C$16))</f>
        <v>2.2937038642860457</v>
      </c>
      <c r="D39" s="18">
        <f>EXP(-EXP(-(B39-'EVA Calcs'!$C$17)/'EVA Calcs'!$C$16))</f>
        <v>6.0398076949372319E-2</v>
      </c>
      <c r="E39" s="18">
        <f>Main!$D$15-'PDF and CDF'!B39</f>
        <v>2.2897995411612309</v>
      </c>
    </row>
    <row r="40" spans="1:5" x14ac:dyDescent="0.25">
      <c r="A40" s="36">
        <v>39</v>
      </c>
      <c r="B40" s="18">
        <f>A40*'EVA Calcs'!$C$19/200</f>
        <v>0.12336362880821042</v>
      </c>
      <c r="C40" s="18">
        <f xml:space="preserve"> (1/'EVA Calcs'!$C$16)*EXP(-(B40-'EVA Calcs'!$C$17)/'EVA Calcs'!$C$16)*EXP(-EXP(-(B40-'EVA Calcs'!$C$17)/'EVA Calcs'!$C$16))</f>
        <v>2.4718363481246048</v>
      </c>
      <c r="D40" s="18">
        <f>EXP(-EXP(-(B40-'EVA Calcs'!$C$17)/'EVA Calcs'!$C$16))</f>
        <v>6.7934831944710894E-2</v>
      </c>
      <c r="E40" s="18">
        <f>Main!$D$15-'PDF and CDF'!B40</f>
        <v>2.2866363711917899</v>
      </c>
    </row>
    <row r="41" spans="1:5" x14ac:dyDescent="0.25">
      <c r="A41" s="36">
        <v>40</v>
      </c>
      <c r="B41" s="18">
        <f>A41*'EVA Calcs'!$C$19/200</f>
        <v>0.12652679877765172</v>
      </c>
      <c r="C41" s="18">
        <f xml:space="preserve"> (1/'EVA Calcs'!$C$16)*EXP(-(B41-'EVA Calcs'!$C$17)/'EVA Calcs'!$C$16)*EXP(-EXP(-(B41-'EVA Calcs'!$C$17)/'EVA Calcs'!$C$16))</f>
        <v>2.6507118213434988</v>
      </c>
      <c r="D41" s="18">
        <f>EXP(-EXP(-(B41-'EVA Calcs'!$C$17)/'EVA Calcs'!$C$16))</f>
        <v>7.6036537573161964E-2</v>
      </c>
      <c r="E41" s="18">
        <f>Main!$D$15-'PDF and CDF'!B41</f>
        <v>2.2834732012223484</v>
      </c>
    </row>
    <row r="42" spans="1:5" x14ac:dyDescent="0.25">
      <c r="A42" s="36">
        <v>41</v>
      </c>
      <c r="B42" s="18">
        <f>A42*'EVA Calcs'!$C$19/200</f>
        <v>0.12968996874709302</v>
      </c>
      <c r="C42" s="18">
        <f xml:space="preserve"> (1/'EVA Calcs'!$C$16)*EXP(-(B42-'EVA Calcs'!$C$17)/'EVA Calcs'!$C$16)*EXP(-EXP(-(B42-'EVA Calcs'!$C$17)/'EVA Calcs'!$C$16))</f>
        <v>2.829146169703574</v>
      </c>
      <c r="D42" s="18">
        <f>EXP(-EXP(-(B42-'EVA Calcs'!$C$17)/'EVA Calcs'!$C$16))</f>
        <v>8.4703670471652934E-2</v>
      </c>
      <c r="E42" s="18">
        <f>Main!$D$15-'PDF and CDF'!B42</f>
        <v>2.280310031252907</v>
      </c>
    </row>
    <row r="43" spans="1:5" x14ac:dyDescent="0.25">
      <c r="A43" s="36">
        <v>42</v>
      </c>
      <c r="B43" s="18">
        <f>A43*'EVA Calcs'!$C$19/200</f>
        <v>0.13285313871653431</v>
      </c>
      <c r="C43" s="18">
        <f xml:space="preserve"> (1/'EVA Calcs'!$C$16)*EXP(-(B43-'EVA Calcs'!$C$17)/'EVA Calcs'!$C$16)*EXP(-EXP(-(B43-'EVA Calcs'!$C$17)/'EVA Calcs'!$C$16))</f>
        <v>3.0059670125057867</v>
      </c>
      <c r="D43" s="18">
        <f>EXP(-EXP(-(B43-'EVA Calcs'!$C$17)/'EVA Calcs'!$C$16))</f>
        <v>9.3932975709954347E-2</v>
      </c>
      <c r="E43" s="18">
        <f>Main!$D$15-'PDF and CDF'!B43</f>
        <v>2.277146861283466</v>
      </c>
    </row>
    <row r="44" spans="1:5" x14ac:dyDescent="0.25">
      <c r="A44" s="36">
        <v>43</v>
      </c>
      <c r="B44" s="18">
        <f>A44*'EVA Calcs'!$C$19/200</f>
        <v>0.13601630868597561</v>
      </c>
      <c r="C44" s="18">
        <f xml:space="preserve"> (1/'EVA Calcs'!$C$16)*EXP(-(B44-'EVA Calcs'!$C$17)/'EVA Calcs'!$C$16)*EXP(-EXP(-(B44-'EVA Calcs'!$C$17)/'EVA Calcs'!$C$16))</f>
        <v>3.1800304004664035</v>
      </c>
      <c r="D44" s="18">
        <f>EXP(-EXP(-(B44-'EVA Calcs'!$C$17)/'EVA Calcs'!$C$16))</f>
        <v>0.10371753066319431</v>
      </c>
      <c r="E44" s="18">
        <f>Main!$D$15-'PDF and CDF'!B44</f>
        <v>2.2739836913140246</v>
      </c>
    </row>
    <row r="45" spans="1:5" x14ac:dyDescent="0.25">
      <c r="A45" s="36">
        <v>44</v>
      </c>
      <c r="B45" s="18">
        <f>A45*'EVA Calcs'!$C$19/200</f>
        <v>0.13917947865541688</v>
      </c>
      <c r="C45" s="18">
        <f xml:space="preserve"> (1/'EVA Calcs'!$C$16)*EXP(-(B45-'EVA Calcs'!$C$17)/'EVA Calcs'!$C$16)*EXP(-EXP(-(B45-'EVA Calcs'!$C$17)/'EVA Calcs'!$C$16))</f>
        <v>3.3502360498033488</v>
      </c>
      <c r="D45" s="18">
        <f>EXP(-EXP(-(B45-'EVA Calcs'!$C$17)/'EVA Calcs'!$C$16))</f>
        <v>0.11404685946018456</v>
      </c>
      <c r="E45" s="18">
        <f>Main!$D$15-'PDF and CDF'!B45</f>
        <v>2.2708205213445831</v>
      </c>
    </row>
    <row r="46" spans="1:5" x14ac:dyDescent="0.25">
      <c r="A46" s="36">
        <v>45</v>
      </c>
      <c r="B46" s="18">
        <f>A46*'EVA Calcs'!$C$19/200</f>
        <v>0.14234264862485818</v>
      </c>
      <c r="C46" s="18">
        <f xml:space="preserve"> (1/'EVA Calcs'!$C$16)*EXP(-(B46-'EVA Calcs'!$C$17)/'EVA Calcs'!$C$16)*EXP(-EXP(-(B46-'EVA Calcs'!$C$17)/'EVA Calcs'!$C$16))</f>
        <v>3.51554087302583</v>
      </c>
      <c r="D46" s="18">
        <f>EXP(-EXP(-(B46-'EVA Calcs'!$C$17)/'EVA Calcs'!$C$16))</f>
        <v>0.12490709297943295</v>
      </c>
      <c r="E46" s="18">
        <f>Main!$D$15-'PDF and CDF'!B46</f>
        <v>2.2676573513751421</v>
      </c>
    </row>
    <row r="47" spans="1:5" x14ac:dyDescent="0.25">
      <c r="A47" s="36">
        <v>46</v>
      </c>
      <c r="B47" s="18">
        <f>A47*'EVA Calcs'!$C$19/200</f>
        <v>0.14550581859429948</v>
      </c>
      <c r="C47" s="18">
        <f xml:space="preserve"> (1/'EVA Calcs'!$C$16)*EXP(-(B47-'EVA Calcs'!$C$17)/'EVA Calcs'!$C$16)*EXP(-EXP(-(B47-'EVA Calcs'!$C$17)/'EVA Calcs'!$C$16))</f>
        <v>3.6749706385838068</v>
      </c>
      <c r="D47" s="18">
        <f>EXP(-EXP(-(B47-'EVA Calcs'!$C$17)/'EVA Calcs'!$C$16))</f>
        <v>0.13628116872098847</v>
      </c>
      <c r="E47" s="18">
        <f>Main!$D$15-'PDF and CDF'!B47</f>
        <v>2.2644941814057007</v>
      </c>
    </row>
    <row r="48" spans="1:5" x14ac:dyDescent="0.25">
      <c r="A48" s="36">
        <v>47</v>
      </c>
      <c r="B48" s="18">
        <f>A48*'EVA Calcs'!$C$19/200</f>
        <v>0.14866898856374078</v>
      </c>
      <c r="C48" s="18">
        <f xml:space="preserve"> (1/'EVA Calcs'!$C$16)*EXP(-(B48-'EVA Calcs'!$C$17)/'EVA Calcs'!$C$16)*EXP(-EXP(-(B48-'EVA Calcs'!$C$17)/'EVA Calcs'!$C$16))</f>
        <v>3.8276296599352295</v>
      </c>
      <c r="D48" s="18">
        <f>EXP(-EXP(-(B48-'EVA Calcs'!$C$17)/'EVA Calcs'!$C$16))</f>
        <v>0.14814906446069978</v>
      </c>
      <c r="E48" s="18">
        <f>Main!$D$15-'PDF and CDF'!B48</f>
        <v>2.2613310114362593</v>
      </c>
    </row>
    <row r="49" spans="1:5" x14ac:dyDescent="0.25">
      <c r="A49" s="36">
        <v>48</v>
      </c>
      <c r="B49" s="18">
        <f>A49*'EVA Calcs'!$C$19/200</f>
        <v>0.15183215853318205</v>
      </c>
      <c r="C49" s="18">
        <f xml:space="preserve"> (1/'EVA Calcs'!$C$16)*EXP(-(B49-'EVA Calcs'!$C$17)/'EVA Calcs'!$C$16)*EXP(-EXP(-(B49-'EVA Calcs'!$C$17)/'EVA Calcs'!$C$16))</f>
        <v>3.9727084776275654</v>
      </c>
      <c r="D49" s="18">
        <f>EXP(-EXP(-(B49-'EVA Calcs'!$C$17)/'EVA Calcs'!$C$16))</f>
        <v>0.16048805938025484</v>
      </c>
      <c r="E49" s="18">
        <f>Main!$D$15-'PDF and CDF'!B49</f>
        <v>2.2581678414668183</v>
      </c>
    </row>
    <row r="50" spans="1:5" x14ac:dyDescent="0.25">
      <c r="A50" s="36">
        <v>49</v>
      </c>
      <c r="B50" s="18">
        <f>A50*'EVA Calcs'!$C$19/200</f>
        <v>0.15499532850262335</v>
      </c>
      <c r="C50" s="18">
        <f xml:space="preserve"> (1/'EVA Calcs'!$C$16)*EXP(-(B50-'EVA Calcs'!$C$17)/'EVA Calcs'!$C$16)*EXP(-EXP(-(B50-'EVA Calcs'!$C$17)/'EVA Calcs'!$C$16))</f>
        <v>4.1094895541334546</v>
      </c>
      <c r="D50" s="18">
        <f>EXP(-EXP(-(B50-'EVA Calcs'!$C$17)/'EVA Calcs'!$C$16))</f>
        <v>0.17327301634199169</v>
      </c>
      <c r="E50" s="18">
        <f>Main!$D$15-'PDF and CDF'!B50</f>
        <v>2.2550046714973768</v>
      </c>
    </row>
    <row r="51" spans="1:5" x14ac:dyDescent="0.25">
      <c r="A51" s="36">
        <v>50</v>
      </c>
      <c r="B51" s="18">
        <f>A51*'EVA Calcs'!$C$19/200</f>
        <v>0.15815849847206465</v>
      </c>
      <c r="C51" s="18">
        <f xml:space="preserve"> (1/'EVA Calcs'!$C$16)*EXP(-(B51-'EVA Calcs'!$C$17)/'EVA Calcs'!$C$16)*EXP(-EXP(-(B51-'EVA Calcs'!$C$17)/'EVA Calcs'!$C$16))</f>
        <v>4.2373510494329309</v>
      </c>
      <c r="D51" s="18">
        <f>EXP(-EXP(-(B51-'EVA Calcs'!$C$17)/'EVA Calcs'!$C$16))</f>
        <v>0.18647667911839141</v>
      </c>
      <c r="E51" s="18">
        <f>Main!$D$15-'PDF and CDF'!B51</f>
        <v>2.2518415015279354</v>
      </c>
    </row>
    <row r="52" spans="1:5" x14ac:dyDescent="0.25">
      <c r="A52" s="36">
        <v>51</v>
      </c>
      <c r="B52" s="18">
        <f>A52*'EVA Calcs'!$C$19/200</f>
        <v>0.16132166844150592</v>
      </c>
      <c r="C52" s="18">
        <f xml:space="preserve"> (1/'EVA Calcs'!$C$16)*EXP(-(B52-'EVA Calcs'!$C$17)/'EVA Calcs'!$C$16)*EXP(-EXP(-(B52-'EVA Calcs'!$C$17)/'EVA Calcs'!$C$16))</f>
        <v>4.3557687851867586</v>
      </c>
      <c r="D52" s="18">
        <f>EXP(-EXP(-(B52-'EVA Calcs'!$C$17)/'EVA Calcs'!$C$16))</f>
        <v>0.20006997866651524</v>
      </c>
      <c r="E52" s="18">
        <f>Main!$D$15-'PDF and CDF'!B52</f>
        <v>2.2486783315584944</v>
      </c>
    </row>
    <row r="53" spans="1:5" x14ac:dyDescent="0.25">
      <c r="A53" s="36">
        <v>52</v>
      </c>
      <c r="B53" s="18">
        <f>A53*'EVA Calcs'!$C$19/200</f>
        <v>0.16448483841094724</v>
      </c>
      <c r="C53" s="18">
        <f xml:space="preserve"> (1/'EVA Calcs'!$C$16)*EXP(-(B53-'EVA Calcs'!$C$17)/'EVA Calcs'!$C$16)*EXP(-EXP(-(B53-'EVA Calcs'!$C$17)/'EVA Calcs'!$C$16))</f>
        <v>4.4643165367058675</v>
      </c>
      <c r="D53" s="18">
        <f>EXP(-EXP(-(B53-'EVA Calcs'!$C$17)/'EVA Calcs'!$C$16))</f>
        <v>0.21402234293059411</v>
      </c>
      <c r="E53" s="18">
        <f>Main!$D$15-'PDF and CDF'!B53</f>
        <v>2.245515161589053</v>
      </c>
    </row>
    <row r="54" spans="1:5" x14ac:dyDescent="0.25">
      <c r="A54" s="36">
        <v>53</v>
      </c>
      <c r="B54" s="18">
        <f>A54*'EVA Calcs'!$C$19/200</f>
        <v>0.16764800838038851</v>
      </c>
      <c r="C54" s="18">
        <f xml:space="preserve"> (1/'EVA Calcs'!$C$16)*EXP(-(B54-'EVA Calcs'!$C$17)/'EVA Calcs'!$C$16)*EXP(-EXP(-(B54-'EVA Calcs'!$C$17)/'EVA Calcs'!$C$16))</f>
        <v>4.5626648150447595</v>
      </c>
      <c r="D54" s="18">
        <f>EXP(-EXP(-(B54-'EVA Calcs'!$C$17)/'EVA Calcs'!$C$16))</f>
        <v>0.22830200513499083</v>
      </c>
      <c r="E54" s="18">
        <f>Main!$D$15-'PDF and CDF'!B54</f>
        <v>2.2423519916196115</v>
      </c>
    </row>
    <row r="55" spans="1:5" x14ac:dyDescent="0.25">
      <c r="A55" s="36">
        <v>54</v>
      </c>
      <c r="B55" s="18">
        <f>A55*'EVA Calcs'!$C$19/200</f>
        <v>0.17081117834982984</v>
      </c>
      <c r="C55" s="18">
        <f xml:space="preserve"> (1/'EVA Calcs'!$C$16)*EXP(-(B55-'EVA Calcs'!$C$17)/'EVA Calcs'!$C$16)*EXP(-EXP(-(B55-'EVA Calcs'!$C$17)/'EVA Calcs'!$C$16))</f>
        <v>4.6505783169550421</v>
      </c>
      <c r="D55" s="18">
        <f>EXP(-EXP(-(B55-'EVA Calcs'!$C$17)/'EVA Calcs'!$C$16))</f>
        <v>0.24287630606954957</v>
      </c>
      <c r="E55" s="18">
        <f>Main!$D$15-'PDF and CDF'!B55</f>
        <v>2.2391888216501705</v>
      </c>
    </row>
    <row r="56" spans="1:5" x14ac:dyDescent="0.25">
      <c r="A56" s="36">
        <v>55</v>
      </c>
      <c r="B56" s="18">
        <f>A56*'EVA Calcs'!$C$19/200</f>
        <v>0.17397434831927111</v>
      </c>
      <c r="C56" s="18">
        <f xml:space="preserve"> (1/'EVA Calcs'!$C$16)*EXP(-(B56-'EVA Calcs'!$C$17)/'EVA Calcs'!$C$16)*EXP(-EXP(-(B56-'EVA Calcs'!$C$17)/'EVA Calcs'!$C$16))</f>
        <v>4.7279122288473765</v>
      </c>
      <c r="D56" s="18">
        <f>EXP(-EXP(-(B56-'EVA Calcs'!$C$17)/'EVA Calcs'!$C$16))</f>
        <v>0.25771198644658566</v>
      </c>
      <c r="E56" s="18">
        <f>Main!$D$15-'PDF and CDF'!B56</f>
        <v>2.2360256516807291</v>
      </c>
    </row>
    <row r="57" spans="1:5" x14ac:dyDescent="0.25">
      <c r="A57" s="36">
        <v>56</v>
      </c>
      <c r="B57" s="18">
        <f>A57*'EVA Calcs'!$C$19/200</f>
        <v>0.17713751828871238</v>
      </c>
      <c r="C57" s="18">
        <f xml:space="preserve"> (1/'EVA Calcs'!$C$16)*EXP(-(B57-'EVA Calcs'!$C$17)/'EVA Calcs'!$C$16)*EXP(-EXP(-(B57-'EVA Calcs'!$C$17)/'EVA Calcs'!$C$16))</f>
        <v>4.7946075731735602</v>
      </c>
      <c r="D57" s="18">
        <f>EXP(-EXP(-(B57-'EVA Calcs'!$C$17)/'EVA Calcs'!$C$16))</f>
        <v>0.27277546600268526</v>
      </c>
      <c r="E57" s="18">
        <f>Main!$D$15-'PDF and CDF'!B57</f>
        <v>2.2328624817112876</v>
      </c>
    </row>
    <row r="58" spans="1:5" x14ac:dyDescent="0.25">
      <c r="A58" s="36">
        <v>57</v>
      </c>
      <c r="B58" s="18">
        <f>A58*'EVA Calcs'!$C$19/200</f>
        <v>0.18030068825815371</v>
      </c>
      <c r="C58" s="18">
        <f xml:space="preserve"> (1/'EVA Calcs'!$C$16)*EXP(-(B58-'EVA Calcs'!$C$17)/'EVA Calcs'!$C$16)*EXP(-EXP(-(B58-'EVA Calcs'!$C$17)/'EVA Calcs'!$C$16))</f>
        <v>4.8506857826709115</v>
      </c>
      <c r="D58" s="18">
        <f>EXP(-EXP(-(B58-'EVA Calcs'!$C$17)/'EVA Calcs'!$C$16))</f>
        <v>0.28803310661100712</v>
      </c>
      <c r="E58" s="18">
        <f>Main!$D$15-'PDF and CDF'!B58</f>
        <v>2.2296993117418467</v>
      </c>
    </row>
    <row r="59" spans="1:5" x14ac:dyDescent="0.25">
      <c r="A59" s="36">
        <v>58</v>
      </c>
      <c r="B59" s="18">
        <f>A59*'EVA Calcs'!$C$19/200</f>
        <v>0.18346385822759498</v>
      </c>
      <c r="C59" s="18">
        <f xml:space="preserve"> (1/'EVA Calcs'!$C$16)*EXP(-(B59-'EVA Calcs'!$C$17)/'EVA Calcs'!$C$16)*EXP(-EXP(-(B59-'EVA Calcs'!$C$17)/'EVA Calcs'!$C$16))</f>
        <v>4.8962426806444279</v>
      </c>
      <c r="D59" s="18">
        <f>EXP(-EXP(-(B59-'EVA Calcs'!$C$17)/'EVA Calcs'!$C$16))</f>
        <v>0.30345145724589007</v>
      </c>
      <c r="E59" s="18">
        <f>Main!$D$15-'PDF and CDF'!B59</f>
        <v>2.2265361417724052</v>
      </c>
    </row>
    <row r="60" spans="1:5" x14ac:dyDescent="0.25">
      <c r="A60" s="36">
        <v>59</v>
      </c>
      <c r="B60" s="18">
        <f>A60*'EVA Calcs'!$C$19/200</f>
        <v>0.18662702819703628</v>
      </c>
      <c r="C60" s="18">
        <f xml:space="preserve"> (1/'EVA Calcs'!$C$16)*EXP(-(B60-'EVA Calcs'!$C$17)/'EVA Calcs'!$C$16)*EXP(-EXP(-(B60-'EVA Calcs'!$C$17)/'EVA Calcs'!$C$16))</f>
        <v>4.931442034812263</v>
      </c>
      <c r="D60" s="18">
        <f>EXP(-EXP(-(B60-'EVA Calcs'!$C$17)/'EVA Calcs'!$C$16))</f>
        <v>0.31899747918910143</v>
      </c>
      <c r="E60" s="18">
        <f>Main!$D$15-'PDF and CDF'!B60</f>
        <v>2.2233729718029638</v>
      </c>
    </row>
    <row r="61" spans="1:5" x14ac:dyDescent="0.25">
      <c r="A61" s="36">
        <v>60</v>
      </c>
      <c r="B61" s="18">
        <f>A61*'EVA Calcs'!$C$19/200</f>
        <v>0.18979019816647758</v>
      </c>
      <c r="C61" s="18">
        <f xml:space="preserve"> (1/'EVA Calcs'!$C$16)*EXP(-(B61-'EVA Calcs'!$C$17)/'EVA Calcs'!$C$16)*EXP(-EXP(-(B61-'EVA Calcs'!$C$17)/'EVA Calcs'!$C$16))</f>
        <v>4.9565088390693894</v>
      </c>
      <c r="D61" s="18">
        <f>EXP(-EXP(-(B61-'EVA Calcs'!$C$17)/'EVA Calcs'!$C$16))</f>
        <v>0.33463875037668983</v>
      </c>
      <c r="E61" s="18">
        <f>Main!$D$15-'PDF and CDF'!B61</f>
        <v>2.2202098018335228</v>
      </c>
    </row>
    <row r="62" spans="1:5" x14ac:dyDescent="0.25">
      <c r="A62" s="36">
        <v>61</v>
      </c>
      <c r="B62" s="18">
        <f>A62*'EVA Calcs'!$C$19/200</f>
        <v>0.19295336813591887</v>
      </c>
      <c r="C62" s="18">
        <f xml:space="preserve"> (1/'EVA Calcs'!$C$16)*EXP(-(B62-'EVA Calcs'!$C$17)/'EVA Calcs'!$C$16)*EXP(-EXP(-(B62-'EVA Calcs'!$C$17)/'EVA Calcs'!$C$16))</f>
        <v>4.9717224626211296</v>
      </c>
      <c r="D62" s="18">
        <f>EXP(-EXP(-(B62-'EVA Calcs'!$C$17)/'EVA Calcs'!$C$16))</f>
        <v>0.35034364825045822</v>
      </c>
      <c r="E62" s="18">
        <f>Main!$D$15-'PDF and CDF'!B62</f>
        <v>2.2170466318640814</v>
      </c>
    </row>
    <row r="63" spans="1:5" x14ac:dyDescent="0.25">
      <c r="A63" s="36">
        <v>62</v>
      </c>
      <c r="B63" s="18">
        <f>A63*'EVA Calcs'!$C$19/200</f>
        <v>0.19611653810536014</v>
      </c>
      <c r="C63" s="18">
        <f xml:space="preserve"> (1/'EVA Calcs'!$C$16)*EXP(-(B63-'EVA Calcs'!$C$17)/'EVA Calcs'!$C$16)*EXP(-EXP(-(B63-'EVA Calcs'!$C$17)/'EVA Calcs'!$C$16))</f>
        <v>4.9774097900023557</v>
      </c>
      <c r="D63" s="18">
        <f>EXP(-EXP(-(B63-'EVA Calcs'!$C$17)/'EVA Calcs'!$C$16))</f>
        <v>0.36608151089415575</v>
      </c>
      <c r="E63" s="18">
        <f>Main!$D$15-'PDF and CDF'!B63</f>
        <v>2.2138834618946399</v>
      </c>
    </row>
    <row r="64" spans="1:5" x14ac:dyDescent="0.25">
      <c r="A64" s="36">
        <v>63</v>
      </c>
      <c r="B64" s="18">
        <f>A64*'EVA Calcs'!$C$19/200</f>
        <v>0.19927970807480147</v>
      </c>
      <c r="C64" s="18">
        <f xml:space="preserve"> (1/'EVA Calcs'!$C$16)*EXP(-(B64-'EVA Calcs'!$C$17)/'EVA Calcs'!$C$16)*EXP(-EXP(-(B64-'EVA Calcs'!$C$17)/'EVA Calcs'!$C$16))</f>
        <v>4.9739384591337616</v>
      </c>
      <c r="D64" s="18">
        <f>EXP(-EXP(-(B64-'EVA Calcs'!$C$17)/'EVA Calcs'!$C$16))</f>
        <v>0.38182277659935698</v>
      </c>
      <c r="E64" s="18">
        <f>Main!$D$15-'PDF and CDF'!B64</f>
        <v>2.2107202919251985</v>
      </c>
    </row>
    <row r="65" spans="1:5" x14ac:dyDescent="0.25">
      <c r="A65" s="36">
        <v>64</v>
      </c>
      <c r="B65" s="18">
        <f>A65*'EVA Calcs'!$C$19/200</f>
        <v>0.20244287804424274</v>
      </c>
      <c r="C65" s="18">
        <f xml:space="preserve"> (1/'EVA Calcs'!$C$16)*EXP(-(B65-'EVA Calcs'!$C$17)/'EVA Calcs'!$C$16)*EXP(-EXP(-(B65-'EVA Calcs'!$C$17)/'EVA Calcs'!$C$16))</f>
        <v>4.9617102882793382</v>
      </c>
      <c r="D65" s="18">
        <f>EXP(-EXP(-(B65-'EVA Calcs'!$C$17)/'EVA Calcs'!$C$16))</f>
        <v>0.3975391023190864</v>
      </c>
      <c r="E65" s="18">
        <f>Main!$D$15-'PDF and CDF'!B65</f>
        <v>2.2075571219557575</v>
      </c>
    </row>
    <row r="66" spans="1:5" x14ac:dyDescent="0.25">
      <c r="A66" s="36">
        <v>65</v>
      </c>
      <c r="B66" s="18">
        <f>A66*'EVA Calcs'!$C$19/200</f>
        <v>0.20560604801368401</v>
      </c>
      <c r="C66" s="18">
        <f xml:space="preserve"> (1/'EVA Calcs'!$C$16)*EXP(-(B66-'EVA Calcs'!$C$17)/'EVA Calcs'!$C$16)*EXP(-EXP(-(B66-'EVA Calcs'!$C$17)/'EVA Calcs'!$C$16))</f>
        <v>4.9411549669692691</v>
      </c>
      <c r="D66" s="18">
        <f>EXP(-EXP(-(B66-'EVA Calcs'!$C$17)/'EVA Calcs'!$C$16))</f>
        <v>0.41320346172951528</v>
      </c>
      <c r="E66" s="18">
        <f>Main!$D$15-'PDF and CDF'!B66</f>
        <v>2.204393951986316</v>
      </c>
    </row>
    <row r="67" spans="1:5" x14ac:dyDescent="0.25">
      <c r="A67" s="36">
        <v>66</v>
      </c>
      <c r="B67" s="18">
        <f>A67*'EVA Calcs'!$C$19/200</f>
        <v>0.20876921798312534</v>
      </c>
      <c r="C67" s="18">
        <f xml:space="preserve"> (1/'EVA Calcs'!$C$16)*EXP(-(B67-'EVA Calcs'!$C$17)/'EVA Calcs'!$C$16)*EXP(-EXP(-(B67-'EVA Calcs'!$C$17)/'EVA Calcs'!$C$16))</f>
        <v>4.9127240709590927</v>
      </c>
      <c r="D67" s="18">
        <f>EXP(-EXP(-(B67-'EVA Calcs'!$C$17)/'EVA Calcs'!$C$16))</f>
        <v>0.42879022383352217</v>
      </c>
      <c r="E67" s="18">
        <f>Main!$D$15-'PDF and CDF'!B67</f>
        <v>2.2012307820168746</v>
      </c>
    </row>
    <row r="68" spans="1:5" x14ac:dyDescent="0.25">
      <c r="A68" s="36">
        <v>67</v>
      </c>
      <c r="B68" s="18">
        <f>A68*'EVA Calcs'!$C$19/200</f>
        <v>0.21193238795256661</v>
      </c>
      <c r="C68" s="18">
        <f xml:space="preserve"> (1/'EVA Calcs'!$C$16)*EXP(-(B68-'EVA Calcs'!$C$17)/'EVA Calcs'!$C$16)*EXP(-EXP(-(B68-'EVA Calcs'!$C$17)/'EVA Calcs'!$C$16))</f>
        <v>4.8768854473458614</v>
      </c>
      <c r="D68" s="18">
        <f>EXP(-EXP(-(B68-'EVA Calcs'!$C$17)/'EVA Calcs'!$C$16))</f>
        <v>0.4442752132075703</v>
      </c>
      <c r="E68" s="18">
        <f>Main!$D$15-'PDF and CDF'!B68</f>
        <v>2.1980676120474336</v>
      </c>
    </row>
    <row r="69" spans="1:5" x14ac:dyDescent="0.25">
      <c r="A69" s="36">
        <v>68</v>
      </c>
      <c r="B69" s="18">
        <f>A69*'EVA Calcs'!$C$19/200</f>
        <v>0.21509555792200794</v>
      </c>
      <c r="C69" s="18">
        <f xml:space="preserve"> (1/'EVA Calcs'!$C$16)*EXP(-(B69-'EVA Calcs'!$C$17)/'EVA Calcs'!$C$16)*EXP(-EXP(-(B69-'EVA Calcs'!$C$17)/'EVA Calcs'!$C$16))</f>
        <v>4.8341180032178181</v>
      </c>
      <c r="D69" s="18">
        <f>EXP(-EXP(-(B69-'EVA Calcs'!$C$17)/'EVA Calcs'!$C$16))</f>
        <v>0.45963575311875293</v>
      </c>
      <c r="E69" s="18">
        <f>Main!$D$15-'PDF and CDF'!B69</f>
        <v>2.1949044420779922</v>
      </c>
    </row>
    <row r="70" spans="1:5" x14ac:dyDescent="0.25">
      <c r="A70" s="36">
        <v>69</v>
      </c>
      <c r="B70" s="18">
        <f>A70*'EVA Calcs'!$C$19/200</f>
        <v>0.21825872789144921</v>
      </c>
      <c r="C70" s="18">
        <f xml:space="preserve"> (1/'EVA Calcs'!$C$16)*EXP(-(B70-'EVA Calcs'!$C$17)/'EVA Calcs'!$C$16)*EXP(-EXP(-(B70-'EVA Calcs'!$C$17)/'EVA Calcs'!$C$16))</f>
        <v>4.7849069197743317</v>
      </c>
      <c r="D70" s="18">
        <f>EXP(-EXP(-(B70-'EVA Calcs'!$C$17)/'EVA Calcs'!$C$16))</f>
        <v>0.47485069282597797</v>
      </c>
      <c r="E70" s="18">
        <f>Main!$D$15-'PDF and CDF'!B70</f>
        <v>2.1917412721085507</v>
      </c>
    </row>
    <row r="71" spans="1:5" x14ac:dyDescent="0.25">
      <c r="A71" s="36">
        <v>70</v>
      </c>
      <c r="B71" s="18">
        <f>A71*'EVA Calcs'!$C$19/200</f>
        <v>0.2214218978608905</v>
      </c>
      <c r="C71" s="18">
        <f xml:space="preserve"> (1/'EVA Calcs'!$C$16)*EXP(-(B71-'EVA Calcs'!$C$17)/'EVA Calcs'!$C$16)*EXP(-EXP(-(B71-'EVA Calcs'!$C$17)/'EVA Calcs'!$C$16))</f>
        <v>4.7297393037620035</v>
      </c>
      <c r="D71" s="18">
        <f>EXP(-EXP(-(B71-'EVA Calcs'!$C$17)/'EVA Calcs'!$C$16))</f>
        <v>0.48990042043235194</v>
      </c>
      <c r="E71" s="18">
        <f>Main!$D$15-'PDF and CDF'!B71</f>
        <v>2.1885781021391097</v>
      </c>
    </row>
    <row r="72" spans="1:5" x14ac:dyDescent="0.25">
      <c r="A72" s="36">
        <v>71</v>
      </c>
      <c r="B72" s="18">
        <f>A72*'EVA Calcs'!$C$19/200</f>
        <v>0.2245850678303318</v>
      </c>
      <c r="C72" s="18">
        <f xml:space="preserve"> (1/'EVA Calcs'!$C$16)*EXP(-(B72-'EVA Calcs'!$C$17)/'EVA Calcs'!$C$16)*EXP(-EXP(-(B72-'EVA Calcs'!$C$17)/'EVA Calcs'!$C$16))</f>
        <v>4.6691002793308769</v>
      </c>
      <c r="D72" s="18">
        <f>EXP(-EXP(-(B72-'EVA Calcs'!$C$17)/'EVA Calcs'!$C$16))</f>
        <v>0.50476686267909809</v>
      </c>
      <c r="E72" s="18">
        <f>Main!$D$15-'PDF and CDF'!B72</f>
        <v>2.1854149321696683</v>
      </c>
    </row>
    <row r="73" spans="1:5" x14ac:dyDescent="0.25">
      <c r="A73" s="36">
        <v>72</v>
      </c>
      <c r="B73" s="18">
        <f>A73*'EVA Calcs'!$C$19/200</f>
        <v>0.2277482377997731</v>
      </c>
      <c r="C73" s="18">
        <f xml:space="preserve"> (1/'EVA Calcs'!$C$16)*EXP(-(B73-'EVA Calcs'!$C$17)/'EVA Calcs'!$C$16)*EXP(-EXP(-(B73-'EVA Calcs'!$C$17)/'EVA Calcs'!$C$16))</f>
        <v>4.6034695159858359</v>
      </c>
      <c r="D73" s="18">
        <f>EXP(-EXP(-(B73-'EVA Calcs'!$C$17)/'EVA Calcs'!$C$16))</f>
        <v>0.51943347306908894</v>
      </c>
      <c r="E73" s="18">
        <f>Main!$D$15-'PDF and CDF'!B73</f>
        <v>2.1822517622002269</v>
      </c>
    </row>
    <row r="74" spans="1:5" x14ac:dyDescent="0.25">
      <c r="A74" s="36">
        <v>73</v>
      </c>
      <c r="B74" s="18">
        <f>A74*'EVA Calcs'!$C$19/200</f>
        <v>0.23091140776921437</v>
      </c>
      <c r="C74" s="18">
        <f xml:space="preserve"> (1/'EVA Calcs'!$C$16)*EXP(-(B74-'EVA Calcs'!$C$17)/'EVA Calcs'!$C$16)*EXP(-EXP(-(B74-'EVA Calcs'!$C$17)/'EVA Calcs'!$C$16))</f>
        <v>4.5333181821301087</v>
      </c>
      <c r="D74" s="18">
        <f>EXP(-EXP(-(B74-'EVA Calcs'!$C$17)/'EVA Calcs'!$C$16))</f>
        <v>0.53388520968429076</v>
      </c>
      <c r="E74" s="18">
        <f>Main!$D$15-'PDF and CDF'!B74</f>
        <v>2.1790885922307859</v>
      </c>
    </row>
    <row r="75" spans="1:5" x14ac:dyDescent="0.25">
      <c r="A75" s="36">
        <v>74</v>
      </c>
      <c r="B75" s="18">
        <f>A75*'EVA Calcs'!$C$19/200</f>
        <v>0.23407457773865567</v>
      </c>
      <c r="C75" s="18">
        <f xml:space="preserve"> (1/'EVA Calcs'!$C$16)*EXP(-(B75-'EVA Calcs'!$C$17)/'EVA Calcs'!$C$16)*EXP(-EXP(-(B75-'EVA Calcs'!$C$17)/'EVA Calcs'!$C$16))</f>
        <v>4.459106308687371</v>
      </c>
      <c r="D75" s="18">
        <f>EXP(-EXP(-(B75-'EVA Calcs'!$C$17)/'EVA Calcs'!$C$16))</f>
        <v>0.54810850401998079</v>
      </c>
      <c r="E75" s="18">
        <f>Main!$D$15-'PDF and CDF'!B75</f>
        <v>2.1759254222613444</v>
      </c>
    </row>
    <row r="76" spans="1:5" x14ac:dyDescent="0.25">
      <c r="A76" s="36">
        <v>75</v>
      </c>
      <c r="B76" s="18">
        <f>A76*'EVA Calcs'!$C$19/200</f>
        <v>0.23723774770809697</v>
      </c>
      <c r="C76" s="18">
        <f xml:space="preserve"> (1/'EVA Calcs'!$C$16)*EXP(-(B76-'EVA Calcs'!$C$17)/'EVA Calcs'!$C$16)*EXP(-EXP(-(B76-'EVA Calcs'!$C$17)/'EVA Calcs'!$C$16))</f>
        <v>4.3812805433506812</v>
      </c>
      <c r="D76" s="18">
        <f>EXP(-EXP(-(B76-'EVA Calcs'!$C$17)/'EVA Calcs'!$C$16))</f>
        <v>0.56209122210302498</v>
      </c>
      <c r="E76" s="18">
        <f>Main!$D$15-'PDF and CDF'!B76</f>
        <v>2.172762252291903</v>
      </c>
    </row>
    <row r="77" spans="1:5" x14ac:dyDescent="0.25">
      <c r="A77" s="36">
        <v>76</v>
      </c>
      <c r="B77" s="18">
        <f>A77*'EVA Calcs'!$C$19/200</f>
        <v>0.24040091767753824</v>
      </c>
      <c r="C77" s="18">
        <f xml:space="preserve"> (1/'EVA Calcs'!$C$16)*EXP(-(B77-'EVA Calcs'!$C$17)/'EVA Calcs'!$C$16)*EXP(-EXP(-(B77-'EVA Calcs'!$C$17)/'EVA Calcs'!$C$16))</f>
        <v>4.3002722730360849</v>
      </c>
      <c r="D77" s="18">
        <f>EXP(-EXP(-(B77-'EVA Calcs'!$C$17)/'EVA Calcs'!$C$16))</f>
        <v>0.57582261909503862</v>
      </c>
      <c r="E77" s="18">
        <f>Main!$D$15-'PDF and CDF'!B77</f>
        <v>2.169599082322462</v>
      </c>
    </row>
    <row r="78" spans="1:5" x14ac:dyDescent="0.25">
      <c r="A78" s="36">
        <v>77</v>
      </c>
      <c r="B78" s="18">
        <f>A78*'EVA Calcs'!$C$19/200</f>
        <v>0.24356408764697957</v>
      </c>
      <c r="C78" s="18">
        <f xml:space="preserve"> (1/'EVA Calcs'!$C$16)*EXP(-(B78-'EVA Calcs'!$C$17)/'EVA Calcs'!$C$16)*EXP(-EXP(-(B78-'EVA Calcs'!$C$17)/'EVA Calcs'!$C$16))</f>
        <v>4.2164960900089987</v>
      </c>
      <c r="D78" s="18">
        <f>EXP(-EXP(-(B78-'EVA Calcs'!$C$17)/'EVA Calcs'!$C$16))</f>
        <v>0.58929328850677576</v>
      </c>
      <c r="E78" s="18">
        <f>Main!$D$15-'PDF and CDF'!B78</f>
        <v>2.1664359123530206</v>
      </c>
    </row>
    <row r="79" spans="1:5" x14ac:dyDescent="0.25">
      <c r="A79" s="36">
        <v>78</v>
      </c>
      <c r="B79" s="18">
        <f>A79*'EVA Calcs'!$C$19/200</f>
        <v>0.24672725761642084</v>
      </c>
      <c r="C79" s="18">
        <f xml:space="preserve"> (1/'EVA Calcs'!$C$16)*EXP(-(B79-'EVA Calcs'!$C$17)/'EVA Calcs'!$C$16)*EXP(-EXP(-(B79-'EVA Calcs'!$C$17)/'EVA Calcs'!$C$16))</f>
        <v>4.1303485757949012</v>
      </c>
      <c r="D79" s="18">
        <f>EXP(-EXP(-(B79-'EVA Calcs'!$C$17)/'EVA Calcs'!$C$16))</f>
        <v>0.60249510707016329</v>
      </c>
      <c r="E79" s="18">
        <f>Main!$D$15-'PDF and CDF'!B79</f>
        <v>2.1632727423835791</v>
      </c>
    </row>
    <row r="80" spans="1:5" x14ac:dyDescent="0.25">
      <c r="A80" s="36">
        <v>79</v>
      </c>
      <c r="B80" s="18">
        <f>A80*'EVA Calcs'!$C$19/200</f>
        <v>0.24989042758586216</v>
      </c>
      <c r="C80" s="18">
        <f xml:space="preserve"> (1/'EVA Calcs'!$C$16)*EXP(-(B80-'EVA Calcs'!$C$17)/'EVA Calcs'!$C$16)*EXP(-EXP(-(B80-'EVA Calcs'!$C$17)/'EVA Calcs'!$C$16))</f>
        <v>4.042207376278145</v>
      </c>
      <c r="D80" s="18">
        <f>EXP(-EXP(-(B80-'EVA Calcs'!$C$17)/'EVA Calcs'!$C$16))</f>
        <v>0.6154211762312346</v>
      </c>
      <c r="E80" s="18">
        <f>Main!$D$15-'PDF and CDF'!B80</f>
        <v>2.1601095724141381</v>
      </c>
    </row>
    <row r="81" spans="1:5" x14ac:dyDescent="0.25">
      <c r="A81" s="36">
        <v>80</v>
      </c>
      <c r="B81" s="18">
        <f>A81*'EVA Calcs'!$C$19/200</f>
        <v>0.25305359755530343</v>
      </c>
      <c r="C81" s="18">
        <f xml:space="preserve"> (1/'EVA Calcs'!$C$16)*EXP(-(B81-'EVA Calcs'!$C$17)/'EVA Calcs'!$C$16)*EXP(-EXP(-(B81-'EVA Calcs'!$C$17)/'EVA Calcs'!$C$16))</f>
        <v>3.9524305412345417</v>
      </c>
      <c r="D81" s="18">
        <f>EXP(-EXP(-(B81-'EVA Calcs'!$C$17)/'EVA Calcs'!$C$16))</f>
        <v>0.62806576114269852</v>
      </c>
      <c r="E81" s="18">
        <f>Main!$D$15-'PDF and CDF'!B81</f>
        <v>2.1569464024446967</v>
      </c>
    </row>
    <row r="82" spans="1:5" x14ac:dyDescent="0.25">
      <c r="A82" s="36">
        <v>81</v>
      </c>
      <c r="B82" s="18">
        <f>A82*'EVA Calcs'!$C$19/200</f>
        <v>0.2562167675247447</v>
      </c>
      <c r="C82" s="18">
        <f xml:space="preserve"> (1/'EVA Calcs'!$C$16)*EXP(-(B82-'EVA Calcs'!$C$17)/'EVA Calcs'!$C$16)*EXP(-EXP(-(B82-'EVA Calcs'!$C$17)/'EVA Calcs'!$C$16))</f>
        <v>3.8613561018418112</v>
      </c>
      <c r="D82" s="18">
        <f>EXP(-EXP(-(B82-'EVA Calcs'!$C$17)/'EVA Calcs'!$C$16))</f>
        <v>0.64042422795062404</v>
      </c>
      <c r="E82" s="18">
        <f>Main!$D$15-'PDF and CDF'!B82</f>
        <v>2.1537832324752553</v>
      </c>
    </row>
    <row r="83" spans="1:5" x14ac:dyDescent="0.25">
      <c r="A83" s="36">
        <v>82</v>
      </c>
      <c r="B83" s="18">
        <f>A83*'EVA Calcs'!$C$19/200</f>
        <v>0.25937993749418603</v>
      </c>
      <c r="C83" s="18">
        <f xml:space="preserve"> (1/'EVA Calcs'!$C$16)*EXP(-(B83-'EVA Calcs'!$C$17)/'EVA Calcs'!$C$16)*EXP(-EXP(-(B83-'EVA Calcs'!$C$17)/'EVA Calcs'!$C$16))</f>
        <v>3.7693018603821771</v>
      </c>
      <c r="D83" s="18">
        <f>EXP(-EXP(-(B83-'EVA Calcs'!$C$17)/'EVA Calcs'!$C$16))</f>
        <v>0.65249298008699863</v>
      </c>
      <c r="E83" s="18">
        <f>Main!$D$15-'PDF and CDF'!B83</f>
        <v>2.1506200625058143</v>
      </c>
    </row>
    <row r="84" spans="1:5" x14ac:dyDescent="0.25">
      <c r="A84" s="36">
        <v>83</v>
      </c>
      <c r="B84" s="18">
        <f>A84*'EVA Calcs'!$C$19/200</f>
        <v>0.2625431074636273</v>
      </c>
      <c r="C84" s="18">
        <f xml:space="preserve"> (1/'EVA Calcs'!$C$16)*EXP(-(B84-'EVA Calcs'!$C$17)/'EVA Calcs'!$C$16)*EXP(-EXP(-(B84-'EVA Calcs'!$C$17)/'EVA Calcs'!$C$16))</f>
        <v>3.6765653673158982</v>
      </c>
      <c r="D84" s="18">
        <f>EXP(-EXP(-(B84-'EVA Calcs'!$C$17)/'EVA Calcs'!$C$16))</f>
        <v>0.6642693941998189</v>
      </c>
      <c r="E84" s="18">
        <f>Main!$D$15-'PDF and CDF'!B84</f>
        <v>2.1474568925363728</v>
      </c>
    </row>
    <row r="85" spans="1:5" x14ac:dyDescent="0.25">
      <c r="A85" s="36">
        <v>84</v>
      </c>
      <c r="B85" s="18">
        <f>A85*'EVA Calcs'!$C$19/200</f>
        <v>0.26570627743306863</v>
      </c>
      <c r="C85" s="18">
        <f xml:space="preserve"> (1/'EVA Calcs'!$C$16)*EXP(-(B85-'EVA Calcs'!$C$17)/'EVA Calcs'!$C$16)*EXP(-EXP(-(B85-'EVA Calcs'!$C$17)/'EVA Calcs'!$C$16))</f>
        <v>3.5834240620948767</v>
      </c>
      <c r="D85" s="18">
        <f>EXP(-EXP(-(B85-'EVA Calcs'!$C$17)/'EVA Calcs'!$C$16))</f>
        <v>0.67575175627568895</v>
      </c>
      <c r="E85" s="18">
        <f>Main!$D$15-'PDF and CDF'!B85</f>
        <v>2.1442937225669314</v>
      </c>
    </row>
    <row r="86" spans="1:5" x14ac:dyDescent="0.25">
      <c r="A86" s="36">
        <v>85</v>
      </c>
      <c r="B86" s="18">
        <f>A86*'EVA Calcs'!$C$19/200</f>
        <v>0.2688694474025099</v>
      </c>
      <c r="C86" s="18">
        <f xml:space="preserve"> (1/'EVA Calcs'!$C$16)*EXP(-(B86-'EVA Calcs'!$C$17)/'EVA Calcs'!$C$16)*EXP(-EXP(-(B86-'EVA Calcs'!$C$17)/'EVA Calcs'!$C$16))</f>
        <v>3.4901355554412099</v>
      </c>
      <c r="D86" s="18">
        <f>EXP(-EXP(-(B86-'EVA Calcs'!$C$17)/'EVA Calcs'!$C$16))</f>
        <v>0.68693919843725415</v>
      </c>
      <c r="E86" s="18">
        <f>Main!$D$15-'PDF and CDF'!B86</f>
        <v>2.1411305525974904</v>
      </c>
    </row>
    <row r="87" spans="1:5" x14ac:dyDescent="0.25">
      <c r="A87" s="36">
        <v>86</v>
      </c>
      <c r="B87" s="18">
        <f>A87*'EVA Calcs'!$C$19/200</f>
        <v>0.27203261737195122</v>
      </c>
      <c r="C87" s="18">
        <f xml:space="preserve"> (1/'EVA Calcs'!$C$16)*EXP(-(B87-'EVA Calcs'!$C$17)/'EVA Calcs'!$C$16)*EXP(-EXP(-(B87-'EVA Calcs'!$C$17)/'EVA Calcs'!$C$16))</f>
        <v>3.3969380322840879</v>
      </c>
      <c r="D87" s="18">
        <f>EXP(-EXP(-(B87-'EVA Calcs'!$C$17)/'EVA Calcs'!$C$16))</f>
        <v>0.69783163682964822</v>
      </c>
      <c r="E87" s="18">
        <f>Main!$D$15-'PDF and CDF'!B87</f>
        <v>2.137967382628049</v>
      </c>
    </row>
    <row r="88" spans="1:5" x14ac:dyDescent="0.25">
      <c r="A88" s="36">
        <v>87</v>
      </c>
      <c r="B88" s="18">
        <f>A88*'EVA Calcs'!$C$19/200</f>
        <v>0.27519578734139249</v>
      </c>
      <c r="C88" s="18">
        <f xml:space="preserve"> (1/'EVA Calcs'!$C$16)*EXP(-(B88-'EVA Calcs'!$C$17)/'EVA Calcs'!$C$16)*EXP(-EXP(-(B88-'EVA Calcs'!$C$17)/'EVA Calcs'!$C$16))</f>
        <v>3.3040507560852963</v>
      </c>
      <c r="D88" s="18">
        <f>EXP(-EXP(-(B88-'EVA Calcs'!$C$17)/'EVA Calcs'!$C$16))</f>
        <v>0.70842971094672491</v>
      </c>
      <c r="E88" s="18">
        <f>Main!$D$15-'PDF and CDF'!B88</f>
        <v>2.1348042126586075</v>
      </c>
    </row>
    <row r="89" spans="1:5" x14ac:dyDescent="0.25">
      <c r="A89" s="36">
        <v>88</v>
      </c>
      <c r="B89" s="18">
        <f>A89*'EVA Calcs'!$C$19/200</f>
        <v>0.27835895731083377</v>
      </c>
      <c r="C89" s="18">
        <f xml:space="preserve"> (1/'EVA Calcs'!$C$16)*EXP(-(B89-'EVA Calcs'!$C$17)/'EVA Calcs'!$C$16)*EXP(-EXP(-(B89-'EVA Calcs'!$C$17)/'EVA Calcs'!$C$16))</f>
        <v>3.2116746568506085</v>
      </c>
      <c r="D89" s="18">
        <f>EXP(-EXP(-(B89-'EVA Calcs'!$C$17)/'EVA Calcs'!$C$16))</f>
        <v>0.71873472468937349</v>
      </c>
      <c r="E89" s="18">
        <f>Main!$D$15-'PDF and CDF'!B89</f>
        <v>2.1316410426891665</v>
      </c>
    </row>
    <row r="90" spans="1:5" x14ac:dyDescent="0.25">
      <c r="A90" s="36">
        <v>89</v>
      </c>
      <c r="B90" s="18">
        <f>A90*'EVA Calcs'!$C$19/200</f>
        <v>0.28152212728027509</v>
      </c>
      <c r="C90" s="18">
        <f xml:space="preserve"> (1/'EVA Calcs'!$C$16)*EXP(-(B90-'EVA Calcs'!$C$17)/'EVA Calcs'!$C$16)*EXP(-EXP(-(B90-'EVA Calcs'!$C$17)/'EVA Calcs'!$C$16))</f>
        <v>3.1199929866908254</v>
      </c>
      <c r="D90" s="18">
        <f>EXP(-EXP(-(B90-'EVA Calcs'!$C$17)/'EVA Calcs'!$C$16))</f>
        <v>0.72874858939469844</v>
      </c>
      <c r="E90" s="18">
        <f>Main!$D$15-'PDF and CDF'!B90</f>
        <v>2.1284778727197251</v>
      </c>
    </row>
    <row r="91" spans="1:5" x14ac:dyDescent="0.25">
      <c r="A91" s="36">
        <v>90</v>
      </c>
      <c r="B91" s="18">
        <f>A91*'EVA Calcs'!$C$19/200</f>
        <v>0.28468529724971636</v>
      </c>
      <c r="C91" s="18">
        <f xml:space="preserve"> (1/'EVA Calcs'!$C$16)*EXP(-(B91-'EVA Calcs'!$C$17)/'EVA Calcs'!$C$16)*EXP(-EXP(-(B91-'EVA Calcs'!$C$17)/'EVA Calcs'!$C$16))</f>
        <v>3.0291720283363071</v>
      </c>
      <c r="D91" s="18">
        <f>EXP(-EXP(-(B91-'EVA Calcs'!$C$17)/'EVA Calcs'!$C$16))</f>
        <v>0.73847376902624706</v>
      </c>
      <c r="E91" s="18">
        <f>Main!$D$15-'PDF and CDF'!B91</f>
        <v>2.1253147027502837</v>
      </c>
    </row>
    <row r="92" spans="1:5" x14ac:dyDescent="0.25">
      <c r="A92" s="36">
        <v>91</v>
      </c>
      <c r="B92" s="18">
        <f>A92*'EVA Calcs'!$C$19/200</f>
        <v>0.28784846721915769</v>
      </c>
      <c r="C92" s="18">
        <f xml:space="preserve"> (1/'EVA Calcs'!$C$16)*EXP(-(B92-'EVA Calcs'!$C$17)/'EVA Calcs'!$C$16)*EXP(-EXP(-(B92-'EVA Calcs'!$C$17)/'EVA Calcs'!$C$16))</f>
        <v>2.9393618435027271</v>
      </c>
      <c r="D92" s="18">
        <f>EXP(-EXP(-(B92-'EVA Calcs'!$C$17)/'EVA Calcs'!$C$16))</f>
        <v>0.74791322767168122</v>
      </c>
      <c r="E92" s="18">
        <f>Main!$D$15-'PDF and CDF'!B92</f>
        <v>2.1221515327808422</v>
      </c>
    </row>
    <row r="93" spans="1:5" x14ac:dyDescent="0.25">
      <c r="A93" s="36">
        <v>92</v>
      </c>
      <c r="B93" s="18">
        <f>A93*'EVA Calcs'!$C$19/200</f>
        <v>0.29101163718859896</v>
      </c>
      <c r="C93" s="18">
        <f xml:space="preserve"> (1/'EVA Calcs'!$C$16)*EXP(-(B93-'EVA Calcs'!$C$17)/'EVA Calcs'!$C$16)*EXP(-EXP(-(B93-'EVA Calcs'!$C$17)/'EVA Calcs'!$C$16))</f>
        <v>2.8506970494378585</v>
      </c>
      <c r="D93" s="18">
        <f>EXP(-EXP(-(B93-'EVA Calcs'!$C$17)/'EVA Calcs'!$C$16))</f>
        <v>0.75707037945511868</v>
      </c>
      <c r="E93" s="18">
        <f>Main!$D$15-'PDF and CDF'!B93</f>
        <v>2.1189883628114012</v>
      </c>
    </row>
    <row r="94" spans="1:5" x14ac:dyDescent="0.25">
      <c r="A94" s="36">
        <v>93</v>
      </c>
      <c r="B94" s="18">
        <f>A94*'EVA Calcs'!$C$19/200</f>
        <v>0.29417480715804023</v>
      </c>
      <c r="C94" s="18">
        <f xml:space="preserve"> (1/'EVA Calcs'!$C$16)*EXP(-(B94-'EVA Calcs'!$C$17)/'EVA Calcs'!$C$16)*EXP(-EXP(-(B94-'EVA Calcs'!$C$17)/'EVA Calcs'!$C$16))</f>
        <v>2.7632976133378668</v>
      </c>
      <c r="D94" s="18">
        <f>EXP(-EXP(-(B94-'EVA Calcs'!$C$17)/'EVA Calcs'!$C$16))</f>
        <v>0.76594904093663396</v>
      </c>
      <c r="E94" s="18">
        <f>Main!$D$15-'PDF and CDF'!B94</f>
        <v>2.1158251928419598</v>
      </c>
    </row>
    <row r="95" spans="1:5" x14ac:dyDescent="0.25">
      <c r="A95" s="36">
        <v>94</v>
      </c>
      <c r="B95" s="18">
        <f>A95*'EVA Calcs'!$C$19/200</f>
        <v>0.29733797712748156</v>
      </c>
      <c r="C95" s="18">
        <f xml:space="preserve"> (1/'EVA Calcs'!$C$16)*EXP(-(B95-'EVA Calcs'!$C$17)/'EVA Calcs'!$C$16)*EXP(-EXP(-(B95-'EVA Calcs'!$C$17)/'EVA Calcs'!$C$16))</f>
        <v>2.6772696555989297</v>
      </c>
      <c r="D95" s="18">
        <f>EXP(-EXP(-(B95-'EVA Calcs'!$C$17)/'EVA Calcs'!$C$16))</f>
        <v>0.77455338604082546</v>
      </c>
      <c r="E95" s="18">
        <f>Main!$D$15-'PDF and CDF'!B95</f>
        <v>2.1126620228725184</v>
      </c>
    </row>
    <row r="96" spans="1:5" x14ac:dyDescent="0.25">
      <c r="A96" s="36">
        <v>95</v>
      </c>
      <c r="B96" s="18">
        <f>A96*'EVA Calcs'!$C$19/200</f>
        <v>0.30050114709692283</v>
      </c>
      <c r="C96" s="18">
        <f xml:space="preserve"> (1/'EVA Calcs'!$C$16)*EXP(-(B96-'EVA Calcs'!$C$17)/'EVA Calcs'!$C$16)*EXP(-EXP(-(B96-'EVA Calcs'!$C$17)/'EVA Calcs'!$C$16))</f>
        <v>2.5927062540607442</v>
      </c>
      <c r="D96" s="18">
        <f>EXP(-EXP(-(B96-'EVA Calcs'!$C$17)/'EVA Calcs'!$C$16))</f>
        <v>0.78288790352969084</v>
      </c>
      <c r="E96" s="18">
        <f>Main!$D$15-'PDF and CDF'!B96</f>
        <v>2.1094988529030774</v>
      </c>
    </row>
    <row r="97" spans="1:5" x14ac:dyDescent="0.25">
      <c r="A97" s="36">
        <v>96</v>
      </c>
      <c r="B97" s="18">
        <f>A97*'EVA Calcs'!$C$19/200</f>
        <v>0.3036643170663641</v>
      </c>
      <c r="C97" s="18">
        <f xml:space="preserve"> (1/'EVA Calcs'!$C$16)*EXP(-(B97-'EVA Calcs'!$C$17)/'EVA Calcs'!$C$16)*EXP(-EXP(-(B97-'EVA Calcs'!$C$17)/'EVA Calcs'!$C$16))</f>
        <v>2.5096882424999731</v>
      </c>
      <c r="D97" s="18">
        <f>EXP(-EXP(-(B97-'EVA Calcs'!$C$17)/'EVA Calcs'!$C$16))</f>
        <v>0.79095735701200764</v>
      </c>
      <c r="E97" s="18">
        <f>Main!$D$15-'PDF and CDF'!B97</f>
        <v>2.1063356829336359</v>
      </c>
    </row>
    <row r="98" spans="1:5" x14ac:dyDescent="0.25">
      <c r="A98" s="36">
        <v>97</v>
      </c>
      <c r="B98" s="18">
        <f>A98*'EVA Calcs'!$C$19/200</f>
        <v>0.30682748703580542</v>
      </c>
      <c r="C98" s="18">
        <f xml:space="preserve"> (1/'EVA Calcs'!$C$16)*EXP(-(B98-'EVA Calcs'!$C$17)/'EVA Calcs'!$C$16)*EXP(-EXP(-(B98-'EVA Calcs'!$C$17)/'EVA Calcs'!$C$16))</f>
        <v>2.4282849976432206</v>
      </c>
      <c r="D98" s="18">
        <f>EXP(-EXP(-(B98-'EVA Calcs'!$C$17)/'EVA Calcs'!$C$16))</f>
        <v>0.79876674746171095</v>
      </c>
      <c r="E98" s="18">
        <f>Main!$D$15-'PDF and CDF'!B98</f>
        <v>2.1031725129641945</v>
      </c>
    </row>
    <row r="99" spans="1:5" x14ac:dyDescent="0.25">
      <c r="A99" s="36">
        <v>98</v>
      </c>
      <c r="B99" s="18">
        <f>A99*'EVA Calcs'!$C$19/200</f>
        <v>0.30999065700524669</v>
      </c>
      <c r="C99" s="18">
        <f xml:space="preserve"> (1/'EVA Calcs'!$C$16)*EXP(-(B99-'EVA Calcs'!$C$17)/'EVA Calcs'!$C$16)*EXP(-EXP(-(B99-'EVA Calcs'!$C$17)/'EVA Calcs'!$C$16))</f>
        <v>2.3485552098916198</v>
      </c>
      <c r="D99" s="18">
        <f>EXP(-EXP(-(B99-'EVA Calcs'!$C$17)/'EVA Calcs'!$C$16))</f>
        <v>0.80632127820111787</v>
      </c>
      <c r="E99" s="18">
        <f>Main!$D$15-'PDF and CDF'!B99</f>
        <v>2.1000093429947535</v>
      </c>
    </row>
    <row r="100" spans="1:5" x14ac:dyDescent="0.25">
      <c r="A100" s="36">
        <v>99</v>
      </c>
      <c r="B100" s="18">
        <f>A100*'EVA Calcs'!$C$19/200</f>
        <v>0.31315382697468797</v>
      </c>
      <c r="C100" s="18">
        <f xml:space="preserve"> (1/'EVA Calcs'!$C$16)*EXP(-(B100-'EVA Calcs'!$C$17)/'EVA Calcs'!$C$16)*EXP(-EXP(-(B100-'EVA Calcs'!$C$17)/'EVA Calcs'!$C$16))</f>
        <v>2.270547633784743</v>
      </c>
      <c r="D100" s="18">
        <f>EXP(-EXP(-(B100-'EVA Calcs'!$C$17)/'EVA Calcs'!$C$16))</f>
        <v>0.81362632229098653</v>
      </c>
      <c r="E100" s="18">
        <f>Main!$D$15-'PDF and CDF'!B100</f>
        <v>2.0968461730253121</v>
      </c>
    </row>
    <row r="101" spans="1:5" x14ac:dyDescent="0.25">
      <c r="A101" s="36">
        <v>100</v>
      </c>
      <c r="B101" s="18">
        <f>A101*'EVA Calcs'!$C$19/200</f>
        <v>0.31631699694412929</v>
      </c>
      <c r="C101" s="18">
        <f xml:space="preserve"> (1/'EVA Calcs'!$C$16)*EXP(-(B101-'EVA Calcs'!$C$17)/'EVA Calcs'!$C$16)*EXP(-EXP(-(B101-'EVA Calcs'!$C$17)/'EVA Calcs'!$C$16))</f>
        <v>2.1943018149836053</v>
      </c>
      <c r="D101" s="18">
        <f>EXP(-EXP(-(B101-'EVA Calcs'!$C$17)/'EVA Calcs'!$C$16))</f>
        <v>0.82068739225803822</v>
      </c>
      <c r="E101" s="18">
        <f>Main!$D$15-'PDF and CDF'!B101</f>
        <v>2.0936830030558706</v>
      </c>
    </row>
    <row r="102" spans="1:5" x14ac:dyDescent="0.25">
      <c r="A102" s="36">
        <v>101</v>
      </c>
      <c r="B102" s="18">
        <f>A102*'EVA Calcs'!$C$19/200</f>
        <v>0.31948016691357056</v>
      </c>
      <c r="C102" s="18">
        <f xml:space="preserve"> (1/'EVA Calcs'!$C$16)*EXP(-(B102-'EVA Calcs'!$C$17)/'EVA Calcs'!$C$16)*EXP(-EXP(-(B102-'EVA Calcs'!$C$17)/'EVA Calcs'!$C$16))</f>
        <v>2.1198487912248725</v>
      </c>
      <c r="D102" s="18">
        <f>EXP(-EXP(-(B102-'EVA Calcs'!$C$17)/'EVA Calcs'!$C$16))</f>
        <v>0.82751011208147285</v>
      </c>
      <c r="E102" s="18">
        <f>Main!$D$15-'PDF and CDF'!B102</f>
        <v>2.0905198330864296</v>
      </c>
    </row>
    <row r="103" spans="1:5" x14ac:dyDescent="0.25">
      <c r="A103" s="36">
        <v>102</v>
      </c>
      <c r="B103" s="18">
        <f>A103*'EVA Calcs'!$C$19/200</f>
        <v>0.32264333688301183</v>
      </c>
      <c r="C103" s="18">
        <f xml:space="preserve"> (1/'EVA Calcs'!$C$16)*EXP(-(B103-'EVA Calcs'!$C$17)/'EVA Calcs'!$C$16)*EXP(-EXP(-(B103-'EVA Calcs'!$C$17)/'EVA Calcs'!$C$16))</f>
        <v>2.0472117652954482</v>
      </c>
      <c r="D103" s="18">
        <f>EXP(-EXP(-(B103-'EVA Calcs'!$C$17)/'EVA Calcs'!$C$16))</f>
        <v>0.83410019135291202</v>
      </c>
      <c r="E103" s="18">
        <f>Main!$D$15-'PDF and CDF'!B103</f>
        <v>2.0873566631169882</v>
      </c>
    </row>
    <row r="104" spans="1:5" x14ac:dyDescent="0.25">
      <c r="A104" s="36">
        <v>103</v>
      </c>
      <c r="B104" s="18">
        <f>A104*'EVA Calcs'!$C$19/200</f>
        <v>0.32580650685245316</v>
      </c>
      <c r="C104" s="18">
        <f xml:space="preserve"> (1/'EVA Calcs'!$C$16)*EXP(-(B104-'EVA Calcs'!$C$17)/'EVA Calcs'!$C$16)*EXP(-EXP(-(B104-'EVA Calcs'!$C$17)/'EVA Calcs'!$C$16))</f>
        <v>1.9764067486034134</v>
      </c>
      <c r="D104" s="18">
        <f>EXP(-EXP(-(B104-'EVA Calcs'!$C$17)/'EVA Calcs'!$C$16))</f>
        <v>0.84046340151888199</v>
      </c>
      <c r="E104" s="18">
        <f>Main!$D$15-'PDF and CDF'!B104</f>
        <v>2.0841934931475468</v>
      </c>
    </row>
    <row r="105" spans="1:5" x14ac:dyDescent="0.25">
      <c r="A105" s="36">
        <v>104</v>
      </c>
      <c r="B105" s="18">
        <f>A105*'EVA Calcs'!$C$19/200</f>
        <v>0.32896967682189449</v>
      </c>
      <c r="C105" s="18">
        <f xml:space="preserve"> (1/'EVA Calcs'!$C$16)*EXP(-(B105-'EVA Calcs'!$C$17)/'EVA Calcs'!$C$16)*EXP(-EXP(-(B105-'EVA Calcs'!$C$17)/'EVA Calcs'!$C$16))</f>
        <v>1.9074431743824705</v>
      </c>
      <c r="D105" s="18">
        <f>EXP(-EXP(-(B105-'EVA Calcs'!$C$17)/'EVA Calcs'!$C$16))</f>
        <v>0.84660555411119076</v>
      </c>
      <c r="E105" s="18">
        <f>Main!$D$15-'PDF and CDF'!B105</f>
        <v>2.0810303231781058</v>
      </c>
    </row>
    <row r="106" spans="1:5" x14ac:dyDescent="0.25">
      <c r="A106" s="36">
        <v>105</v>
      </c>
      <c r="B106" s="18">
        <f>A106*'EVA Calcs'!$C$19/200</f>
        <v>0.3321328467913357</v>
      </c>
      <c r="C106" s="18">
        <f xml:space="preserve"> (1/'EVA Calcs'!$C$16)*EXP(-(B106-'EVA Calcs'!$C$17)/'EVA Calcs'!$C$16)*EXP(-EXP(-(B106-'EVA Calcs'!$C$17)/'EVA Calcs'!$C$16))</f>
        <v>1.8403244799680707</v>
      </c>
      <c r="D106" s="18">
        <f>EXP(-EXP(-(B106-'EVA Calcs'!$C$17)/'EVA Calcs'!$C$16))</f>
        <v>0.85253248086816058</v>
      </c>
      <c r="E106" s="18">
        <f>Main!$D$15-'PDF and CDF'!B106</f>
        <v>2.0778671532086643</v>
      </c>
    </row>
    <row r="107" spans="1:5" x14ac:dyDescent="0.25">
      <c r="A107" s="36">
        <v>106</v>
      </c>
      <c r="B107" s="18">
        <f>A107*'EVA Calcs'!$C$19/200</f>
        <v>0.33529601676077703</v>
      </c>
      <c r="C107" s="18">
        <f xml:space="preserve"> (1/'EVA Calcs'!$C$16)*EXP(-(B107-'EVA Calcs'!$C$17)/'EVA Calcs'!$C$16)*EXP(-EXP(-(B107-'EVA Calcs'!$C$17)/'EVA Calcs'!$C$16))</f>
        <v>1.7750486579289642</v>
      </c>
      <c r="D107" s="18">
        <f>EXP(-EXP(-(B107-'EVA Calcs'!$C$17)/'EVA Calcs'!$C$16))</f>
        <v>0.85825001564845749</v>
      </c>
      <c r="E107" s="18">
        <f>Main!$D$15-'PDF and CDF'!B107</f>
        <v>2.0747039832392229</v>
      </c>
    </row>
    <row r="108" spans="1:5" x14ac:dyDescent="0.25">
      <c r="A108" s="36">
        <v>107</v>
      </c>
      <c r="B108" s="18">
        <f>A108*'EVA Calcs'!$C$19/200</f>
        <v>0.33845918673021835</v>
      </c>
      <c r="C108" s="18">
        <f xml:space="preserve"> (1/'EVA Calcs'!$C$16)*EXP(-(B108-'EVA Calcs'!$C$17)/'EVA Calcs'!$C$16)*EXP(-EXP(-(B108-'EVA Calcs'!$C$17)/'EVA Calcs'!$C$16))</f>
        <v>1.7116087761332339</v>
      </c>
      <c r="D108" s="18">
        <f>EXP(-EXP(-(B108-'EVA Calcs'!$C$17)/'EVA Calcs'!$C$16))</f>
        <v>0.86376397803905169</v>
      </c>
      <c r="E108" s="18">
        <f>Main!$D$15-'PDF and CDF'!B108</f>
        <v>2.0715408132697819</v>
      </c>
    </row>
    <row r="109" spans="1:5" x14ac:dyDescent="0.25">
      <c r="A109" s="36">
        <v>108</v>
      </c>
      <c r="B109" s="18">
        <f>A109*'EVA Calcs'!$C$19/200</f>
        <v>0.34162235669965968</v>
      </c>
      <c r="C109" s="18">
        <f xml:space="preserve"> (1/'EVA Calcs'!$C$16)*EXP(-(B109-'EVA Calcs'!$C$17)/'EVA Calcs'!$C$16)*EXP(-EXP(-(B109-'EVA Calcs'!$C$17)/'EVA Calcs'!$C$16))</f>
        <v>1.649993467077417</v>
      </c>
      <c r="D109" s="18">
        <f>EXP(-EXP(-(B109-'EVA Calcs'!$C$17)/'EVA Calcs'!$C$16))</f>
        <v>0.86908015855951071</v>
      </c>
      <c r="E109" s="18">
        <f>Main!$D$15-'PDF and CDF'!B109</f>
        <v>2.0683776433003405</v>
      </c>
    </row>
    <row r="110" spans="1:5" x14ac:dyDescent="0.25">
      <c r="A110" s="36">
        <v>109</v>
      </c>
      <c r="B110" s="18">
        <f>A110*'EVA Calcs'!$C$19/200</f>
        <v>0.34478552666910089</v>
      </c>
      <c r="C110" s="18">
        <f xml:space="preserve"> (1/'EVA Calcs'!$C$16)*EXP(-(B110-'EVA Calcs'!$C$17)/'EVA Calcs'!$C$16)*EXP(-EXP(-(B110-'EVA Calcs'!$C$17)/'EVA Calcs'!$C$16))</f>
        <v>1.5901873870159673</v>
      </c>
      <c r="D110" s="18">
        <f>EXP(-EXP(-(B110-'EVA Calcs'!$C$17)/'EVA Calcs'!$C$16))</f>
        <v>0.87420430536618998</v>
      </c>
      <c r="E110" s="18">
        <f>Main!$D$15-'PDF and CDF'!B110</f>
        <v>2.065214473330899</v>
      </c>
    </row>
    <row r="111" spans="1:5" x14ac:dyDescent="0.25">
      <c r="A111" s="36">
        <v>110</v>
      </c>
      <c r="B111" s="18">
        <f>A111*'EVA Calcs'!$C$19/200</f>
        <v>0.34794869663854222</v>
      </c>
      <c r="C111" s="18">
        <f xml:space="preserve"> (1/'EVA Calcs'!$C$16)*EXP(-(B111-'EVA Calcs'!$C$17)/'EVA Calcs'!$C$16)*EXP(-EXP(-(B111-'EVA Calcs'!$C$17)/'EVA Calcs'!$C$16))</f>
        <v>1.5321716456000518</v>
      </c>
      <c r="D111" s="18">
        <f>EXP(-EXP(-(B111-'EVA Calcs'!$C$17)/'EVA Calcs'!$C$16))</f>
        <v>0.879142112361884</v>
      </c>
      <c r="E111" s="18">
        <f>Main!$D$15-'PDF and CDF'!B111</f>
        <v>2.062051303361458</v>
      </c>
    </row>
    <row r="112" spans="1:5" x14ac:dyDescent="0.25">
      <c r="A112" s="36">
        <v>111</v>
      </c>
      <c r="B112" s="18">
        <f>A112*'EVA Calcs'!$C$19/200</f>
        <v>0.35111186660798355</v>
      </c>
      <c r="C112" s="18">
        <f xml:space="preserve"> (1/'EVA Calcs'!$C$16)*EXP(-(B112-'EVA Calcs'!$C$17)/'EVA Calcs'!$C$16)*EXP(-EXP(-(B112-'EVA Calcs'!$C$17)/'EVA Calcs'!$C$16))</f>
        <v>1.4759242068738188</v>
      </c>
      <c r="D112" s="18">
        <f>EXP(-EXP(-(B112-'EVA Calcs'!$C$17)/'EVA Calcs'!$C$16))</f>
        <v>0.88389920861895266</v>
      </c>
      <c r="E112" s="18">
        <f>Main!$D$15-'PDF and CDF'!B112</f>
        <v>2.0588881333920166</v>
      </c>
    </row>
    <row r="113" spans="1:5" x14ac:dyDescent="0.25">
      <c r="A113" s="36">
        <v>112</v>
      </c>
      <c r="B113" s="18">
        <f>A113*'EVA Calcs'!$C$19/200</f>
        <v>0.35427503657742476</v>
      </c>
      <c r="C113" s="18">
        <f xml:space="preserve"> (1/'EVA Calcs'!$C$16)*EXP(-(B113-'EVA Calcs'!$C$17)/'EVA Calcs'!$C$16)*EXP(-EXP(-(B113-'EVA Calcs'!$C$17)/'EVA Calcs'!$C$16))</f>
        <v>1.4214202625863157</v>
      </c>
      <c r="D113" s="18">
        <f>EXP(-EXP(-(B113-'EVA Calcs'!$C$17)/'EVA Calcs'!$C$16))</f>
        <v>0.88848114902682174</v>
      </c>
      <c r="E113" s="18">
        <f>Main!$D$15-'PDF and CDF'!B113</f>
        <v>2.0557249634225752</v>
      </c>
    </row>
    <row r="114" spans="1:5" x14ac:dyDescent="0.25">
      <c r="A114" s="36">
        <v>113</v>
      </c>
      <c r="B114" s="18">
        <f>A114*'EVA Calcs'!$C$19/200</f>
        <v>0.35743820654686609</v>
      </c>
      <c r="C114" s="18">
        <f xml:space="preserve"> (1/'EVA Calcs'!$C$16)*EXP(-(B114-'EVA Calcs'!$C$17)/'EVA Calcs'!$C$16)*EXP(-EXP(-(B114-'EVA Calcs'!$C$17)/'EVA Calcs'!$C$16))</f>
        <v>1.3686325788619571</v>
      </c>
      <c r="D114" s="18">
        <f>EXP(-EXP(-(B114-'EVA Calcs'!$C$17)/'EVA Calcs'!$C$16))</f>
        <v>0.89289340607791012</v>
      </c>
      <c r="E114" s="18">
        <f>Main!$D$15-'PDF and CDF'!B114</f>
        <v>2.0525617934531342</v>
      </c>
    </row>
    <row r="115" spans="1:5" x14ac:dyDescent="0.25">
      <c r="A115" s="36">
        <v>114</v>
      </c>
      <c r="B115" s="18">
        <f>A115*'EVA Calcs'!$C$19/200</f>
        <v>0.36060137651630741</v>
      </c>
      <c r="C115" s="18">
        <f xml:space="preserve"> (1/'EVA Calcs'!$C$16)*EXP(-(B115-'EVA Calcs'!$C$17)/'EVA Calcs'!$C$16)*EXP(-EXP(-(B115-'EVA Calcs'!$C$17)/'EVA Calcs'!$C$16))</f>
        <v>1.3175318173347865</v>
      </c>
      <c r="D115" s="18">
        <f>EXP(-EXP(-(B115-'EVA Calcs'!$C$17)/'EVA Calcs'!$C$16))</f>
        <v>0.89714136270944889</v>
      </c>
      <c r="E115" s="18">
        <f>Main!$D$15-'PDF and CDF'!B115</f>
        <v>2.0493986234836927</v>
      </c>
    </row>
    <row r="116" spans="1:5" x14ac:dyDescent="0.25">
      <c r="A116" s="36">
        <v>115</v>
      </c>
      <c r="B116" s="18">
        <f>A116*'EVA Calcs'!$C$19/200</f>
        <v>0.36376454648574869</v>
      </c>
      <c r="C116" s="18">
        <f xml:space="preserve"> (1/'EVA Calcs'!$C$16)*EXP(-(B116-'EVA Calcs'!$C$17)/'EVA Calcs'!$C$16)*EXP(-EXP(-(B116-'EVA Calcs'!$C$17)/'EVA Calcs'!$C$16))</f>
        <v>1.2680868318947536</v>
      </c>
      <c r="D116" s="18">
        <f>EXP(-EXP(-(B116-'EVA Calcs'!$C$17)/'EVA Calcs'!$C$16))</f>
        <v>0.9012303061222251</v>
      </c>
      <c r="E116" s="18">
        <f>Main!$D$15-'PDF and CDF'!B116</f>
        <v>2.0462354535142513</v>
      </c>
    </row>
    <row r="117" spans="1:5" x14ac:dyDescent="0.25">
      <c r="A117" s="36">
        <v>116</v>
      </c>
      <c r="B117" s="18">
        <f>A117*'EVA Calcs'!$C$19/200</f>
        <v>0.36692771645518996</v>
      </c>
      <c r="C117" s="18">
        <f xml:space="preserve"> (1/'EVA Calcs'!$C$16)*EXP(-(B117-'EVA Calcs'!$C$17)/'EVA Calcs'!$C$16)*EXP(-EXP(-(B117-'EVA Calcs'!$C$17)/'EVA Calcs'!$C$16))</f>
        <v>1.2202649422206124</v>
      </c>
      <c r="D117" s="18">
        <f>EXP(-EXP(-(B117-'EVA Calcs'!$C$17)/'EVA Calcs'!$C$16))</f>
        <v>0.90516542250095888</v>
      </c>
      <c r="E117" s="18">
        <f>Main!$D$15-'PDF and CDF'!B117</f>
        <v>2.0430722835448103</v>
      </c>
    </row>
    <row r="118" spans="1:5" x14ac:dyDescent="0.25">
      <c r="A118" s="36">
        <v>117</v>
      </c>
      <c r="B118" s="18">
        <f>A118*'EVA Calcs'!$C$19/200</f>
        <v>0.37009088642463128</v>
      </c>
      <c r="C118" s="18">
        <f xml:space="preserve"> (1/'EVA Calcs'!$C$16)*EXP(-(B118-'EVA Calcs'!$C$17)/'EVA Calcs'!$C$16)*EXP(-EXP(-(B118-'EVA Calcs'!$C$17)/'EVA Calcs'!$C$16))</f>
        <v>1.174032185286032</v>
      </c>
      <c r="D118" s="18">
        <f>EXP(-EXP(-(B118-'EVA Calcs'!$C$17)/'EVA Calcs'!$C$16))</f>
        <v>0.90895179256475978</v>
      </c>
      <c r="E118" s="18">
        <f>Main!$D$15-'PDF and CDF'!B118</f>
        <v>2.0399091135753689</v>
      </c>
    </row>
    <row r="119" spans="1:5" x14ac:dyDescent="0.25">
      <c r="A119" s="36">
        <v>118</v>
      </c>
      <c r="B119" s="18">
        <f>A119*'EVA Calcs'!$C$19/200</f>
        <v>0.37325405639407255</v>
      </c>
      <c r="C119" s="18">
        <f xml:space="preserve"> (1/'EVA Calcs'!$C$16)*EXP(-(B119-'EVA Calcs'!$C$17)/'EVA Calcs'!$C$16)*EXP(-EXP(-(B119-'EVA Calcs'!$C$17)/'EVA Calcs'!$C$16))</f>
        <v>1.1293535460254385</v>
      </c>
      <c r="D119" s="18">
        <f>EXP(-EXP(-(B119-'EVA Calcs'!$C$17)/'EVA Calcs'!$C$16))</f>
        <v>0.91259438787986802</v>
      </c>
      <c r="E119" s="18">
        <f>Main!$D$15-'PDF and CDF'!B119</f>
        <v>2.0367459436059274</v>
      </c>
    </row>
    <row r="120" spans="1:5" x14ac:dyDescent="0.25">
      <c r="A120" s="36">
        <v>119</v>
      </c>
      <c r="B120" s="18">
        <f>A120*'EVA Calcs'!$C$19/200</f>
        <v>0.37641722636351388</v>
      </c>
      <c r="C120" s="18">
        <f xml:space="preserve"> (1/'EVA Calcs'!$C$16)*EXP(-(B120-'EVA Calcs'!$C$17)/'EVA Calcs'!$C$16)*EXP(-EXP(-(B120-'EVA Calcs'!$C$17)/'EVA Calcs'!$C$16))</f>
        <v>1.0861931683357853</v>
      </c>
      <c r="D120" s="18">
        <f>EXP(-EXP(-(B120-'EVA Calcs'!$C$17)/'EVA Calcs'!$C$16))</f>
        <v>0.91609806787062276</v>
      </c>
      <c r="E120" s="18">
        <f>Main!$D$15-'PDF and CDF'!B120</f>
        <v>2.0335827736364864</v>
      </c>
    </row>
    <row r="121" spans="1:5" x14ac:dyDescent="0.25">
      <c r="A121" s="36">
        <v>120</v>
      </c>
      <c r="B121" s="18">
        <f>A121*'EVA Calcs'!$C$19/200</f>
        <v>0.37958039633295515</v>
      </c>
      <c r="C121" s="18">
        <f xml:space="preserve"> (1/'EVA Calcs'!$C$16)*EXP(-(B121-'EVA Calcs'!$C$17)/'EVA Calcs'!$C$16)*EXP(-EXP(-(B121-'EVA Calcs'!$C$17)/'EVA Calcs'!$C$16))</f>
        <v>1.0445145475717397</v>
      </c>
      <c r="D121" s="18">
        <f>EXP(-EXP(-(B121-'EVA Calcs'!$C$17)/'EVA Calcs'!$C$16))</f>
        <v>0.91946757746829277</v>
      </c>
      <c r="E121" s="18">
        <f>Main!$D$15-'PDF and CDF'!B121</f>
        <v>2.030419603667045</v>
      </c>
    </row>
    <row r="122" spans="1:5" x14ac:dyDescent="0.25">
      <c r="A122" s="36">
        <v>121</v>
      </c>
      <c r="B122" s="18">
        <f>A122*'EVA Calcs'!$C$19/200</f>
        <v>0.38274356630239642</v>
      </c>
      <c r="C122" s="18">
        <f xml:space="preserve"> (1/'EVA Calcs'!$C$16)*EXP(-(B122-'EVA Calcs'!$C$17)/'EVA Calcs'!$C$16)*EXP(-EXP(-(B122-'EVA Calcs'!$C$17)/'EVA Calcs'!$C$16))</f>
        <v>1.0042807056660157</v>
      </c>
      <c r="D122" s="18">
        <f>EXP(-EXP(-(B122-'EVA Calcs'!$C$17)/'EVA Calcs'!$C$16))</f>
        <v>0.92270754534102795</v>
      </c>
      <c r="E122" s="18">
        <f>Main!$D$15-'PDF and CDF'!B122</f>
        <v>2.0272564336976036</v>
      </c>
    </row>
    <row r="123" spans="1:5" x14ac:dyDescent="0.25">
      <c r="A123" s="36">
        <v>122</v>
      </c>
      <c r="B123" s="18">
        <f>A123*'EVA Calcs'!$C$19/200</f>
        <v>0.38590673627183775</v>
      </c>
      <c r="C123" s="18">
        <f xml:space="preserve"> (1/'EVA Calcs'!$C$16)*EXP(-(B123-'EVA Calcs'!$C$17)/'EVA Calcs'!$C$16)*EXP(-EXP(-(B123-'EVA Calcs'!$C$17)/'EVA Calcs'!$C$16))</f>
        <v>0.96545434997532775</v>
      </c>
      <c r="D123" s="18">
        <f>EXP(-EXP(-(B123-'EVA Calcs'!$C$17)/'EVA Calcs'!$C$16))</f>
        <v>0.9258224826517214</v>
      </c>
      <c r="E123" s="18">
        <f>Main!$D$15-'PDF and CDF'!B123</f>
        <v>2.0240932637281626</v>
      </c>
    </row>
    <row r="124" spans="1:5" x14ac:dyDescent="0.25">
      <c r="A124" s="36">
        <v>123</v>
      </c>
      <c r="B124" s="18">
        <f>A124*'EVA Calcs'!$C$19/200</f>
        <v>0.38906990624127902</v>
      </c>
      <c r="C124" s="18">
        <f xml:space="preserve"> (1/'EVA Calcs'!$C$16)*EXP(-(B124-'EVA Calcs'!$C$17)/'EVA Calcs'!$C$16)*EXP(-EXP(-(B124-'EVA Calcs'!$C$17)/'EVA Calcs'!$C$16))</f>
        <v>0.92799801691671613</v>
      </c>
      <c r="D124" s="18">
        <f>EXP(-EXP(-(B124-'EVA Calcs'!$C$17)/'EVA Calcs'!$C$16))</f>
        <v>0.92881678229399678</v>
      </c>
      <c r="E124" s="18">
        <f>Main!$D$15-'PDF and CDF'!B124</f>
        <v>2.0209300937587211</v>
      </c>
    </row>
    <row r="125" spans="1:5" x14ac:dyDescent="0.25">
      <c r="A125" s="36">
        <v>124</v>
      </c>
      <c r="B125" s="18">
        <f>A125*'EVA Calcs'!$C$19/200</f>
        <v>0.39223307621072029</v>
      </c>
      <c r="C125" s="18">
        <f xml:space="preserve"> (1/'EVA Calcs'!$C$16)*EXP(-(B125-'EVA Calcs'!$C$17)/'EVA Calcs'!$C$16)*EXP(-EXP(-(B125-'EVA Calcs'!$C$17)/'EVA Calcs'!$C$16))</f>
        <v>0.8918742014198987</v>
      </c>
      <c r="D125" s="18">
        <f>EXP(-EXP(-(B125-'EVA Calcs'!$C$17)/'EVA Calcs'!$C$16))</f>
        <v>0.93169471855984476</v>
      </c>
      <c r="E125" s="18">
        <f>Main!$D$15-'PDF and CDF'!B125</f>
        <v>2.0177669237892797</v>
      </c>
    </row>
    <row r="126" spans="1:5" x14ac:dyDescent="0.25">
      <c r="A126" s="36">
        <v>125</v>
      </c>
      <c r="B126" s="18">
        <f>A126*'EVA Calcs'!$C$19/200</f>
        <v>0.39539624618016161</v>
      </c>
      <c r="C126" s="18">
        <f xml:space="preserve"> (1/'EVA Calcs'!$C$16)*EXP(-(B126-'EVA Calcs'!$C$17)/'EVA Calcs'!$C$16)*EXP(-EXP(-(B126-'EVA Calcs'!$C$17)/'EVA Calcs'!$C$16))</f>
        <v>0.85704547317974544</v>
      </c>
      <c r="D126" s="18">
        <f>EXP(-EXP(-(B126-'EVA Calcs'!$C$17)/'EVA Calcs'!$C$16))</f>
        <v>0.93446044719560772</v>
      </c>
      <c r="E126" s="18">
        <f>Main!$D$15-'PDF and CDF'!B126</f>
        <v>2.0146037538198387</v>
      </c>
    </row>
    <row r="127" spans="1:5" x14ac:dyDescent="0.25">
      <c r="A127" s="36">
        <v>126</v>
      </c>
      <c r="B127" s="18">
        <f>A127*'EVA Calcs'!$C$19/200</f>
        <v>0.39855941614960294</v>
      </c>
      <c r="C127" s="18">
        <f xml:space="preserve"> (1/'EVA Calcs'!$C$16)*EXP(-(B127-'EVA Calcs'!$C$17)/'EVA Calcs'!$C$16)*EXP(-EXP(-(B127-'EVA Calcs'!$C$17)/'EVA Calcs'!$C$16))</f>
        <v>0.82347458064967194</v>
      </c>
      <c r="D127" s="18">
        <f>EXP(-EXP(-(B127-'EVA Calcs'!$C$17)/'EVA Calcs'!$C$16))</f>
        <v>0.93711800580605964</v>
      </c>
      <c r="E127" s="18">
        <f>Main!$D$15-'PDF and CDF'!B127</f>
        <v>2.0114405838503973</v>
      </c>
    </row>
    <row r="128" spans="1:5" x14ac:dyDescent="0.25">
      <c r="A128" s="36">
        <v>127</v>
      </c>
      <c r="B128" s="18">
        <f>A128*'EVA Calcs'!$C$19/200</f>
        <v>0.40172258611904416</v>
      </c>
      <c r="C128" s="18">
        <f xml:space="preserve"> (1/'EVA Calcs'!$C$16)*EXP(-(B128-'EVA Calcs'!$C$17)/'EVA Calcs'!$C$16)*EXP(-EXP(-(B128-'EVA Calcs'!$C$17)/'EVA Calcs'!$C$16))</f>
        <v>0.79112454367239471</v>
      </c>
      <c r="D128" s="18">
        <f>EXP(-EXP(-(B128-'EVA Calcs'!$C$17)/'EVA Calcs'!$C$16))</f>
        <v>0.93967131456923503</v>
      </c>
      <c r="E128" s="18">
        <f>Main!$D$15-'PDF and CDF'!B128</f>
        <v>2.0082774138809558</v>
      </c>
    </row>
    <row r="129" spans="1:5" x14ac:dyDescent="0.25">
      <c r="A129" s="36">
        <v>128</v>
      </c>
      <c r="B129" s="18">
        <f>A129*'EVA Calcs'!$C$19/200</f>
        <v>0.40488575608848548</v>
      </c>
      <c r="C129" s="18">
        <f xml:space="preserve"> (1/'EVA Calcs'!$C$16)*EXP(-(B129-'EVA Calcs'!$C$17)/'EVA Calcs'!$C$16)*EXP(-EXP(-(B129-'EVA Calcs'!$C$17)/'EVA Calcs'!$C$16))</f>
        <v>0.75995873559967464</v>
      </c>
      <c r="D129" s="18">
        <f>EXP(-EXP(-(B129-'EVA Calcs'!$C$17)/'EVA Calcs'!$C$16))</f>
        <v>0.94212417722742015</v>
      </c>
      <c r="E129" s="18">
        <f>Main!$D$15-'PDF and CDF'!B129</f>
        <v>2.0051142439115148</v>
      </c>
    </row>
    <row r="130" spans="1:5" x14ac:dyDescent="0.25">
      <c r="A130" s="36">
        <v>129</v>
      </c>
      <c r="B130" s="18">
        <f>A130*'EVA Calcs'!$C$19/200</f>
        <v>0.40804892605792681</v>
      </c>
      <c r="C130" s="18">
        <f xml:space="preserve"> (1/'EVA Calcs'!$C$16)*EXP(-(B130-'EVA Calcs'!$C$17)/'EVA Calcs'!$C$16)*EXP(-EXP(-(B130-'EVA Calcs'!$C$17)/'EVA Calcs'!$C$16))</f>
        <v>0.72994095570782103</v>
      </c>
      <c r="D130" s="18">
        <f>EXP(-EXP(-(B130-'EVA Calcs'!$C$17)/'EVA Calcs'!$C$16))</f>
        <v>0.94448028232234904</v>
      </c>
      <c r="E130" s="18">
        <f>Main!$D$15-'PDF and CDF'!B130</f>
        <v>2.0019510739420734</v>
      </c>
    </row>
    <row r="131" spans="1:5" x14ac:dyDescent="0.25">
      <c r="A131" s="36">
        <v>130</v>
      </c>
      <c r="B131" s="18">
        <f>A131*'EVA Calcs'!$C$19/200</f>
        <v>0.41121209602736802</v>
      </c>
      <c r="C131" s="18">
        <f xml:space="preserve"> (1/'EVA Calcs'!$C$16)*EXP(-(B131-'EVA Calcs'!$C$17)/'EVA Calcs'!$C$16)*EXP(-EXP(-(B131-'EVA Calcs'!$C$17)/'EVA Calcs'!$C$16))</f>
        <v>0.70103549267122367</v>
      </c>
      <c r="D131" s="18">
        <f>EXP(-EXP(-(B131-'EVA Calcs'!$C$17)/'EVA Calcs'!$C$16))</f>
        <v>0.94674320464512429</v>
      </c>
      <c r="E131" s="18">
        <f>Main!$D$15-'PDF and CDF'!B131</f>
        <v>1.9987879039726322</v>
      </c>
    </row>
    <row r="132" spans="1:5" x14ac:dyDescent="0.25">
      <c r="A132" s="36">
        <v>131</v>
      </c>
      <c r="B132" s="18">
        <f>A132*'EVA Calcs'!$C$19/200</f>
        <v>0.41437526599680935</v>
      </c>
      <c r="C132" s="18">
        <f xml:space="preserve"> (1/'EVA Calcs'!$C$16)*EXP(-(B132-'EVA Calcs'!$C$17)/'EVA Calcs'!$C$16)*EXP(-EXP(-(B132-'EVA Calcs'!$C$17)/'EVA Calcs'!$C$16))</f>
        <v>0.67320717981244838</v>
      </c>
      <c r="D132" s="18">
        <f>EXP(-EXP(-(B132-'EVA Calcs'!$C$17)/'EVA Calcs'!$C$16))</f>
        <v>0.94891640687372636</v>
      </c>
      <c r="E132" s="18">
        <f>Main!$D$15-'PDF and CDF'!B132</f>
        <v>1.9956247340031907</v>
      </c>
    </row>
    <row r="133" spans="1:5" x14ac:dyDescent="0.25">
      <c r="A133" s="36">
        <v>132</v>
      </c>
      <c r="B133" s="18">
        <f>A133*'EVA Calcs'!$C$19/200</f>
        <v>0.41753843596625068</v>
      </c>
      <c r="C133" s="18">
        <f xml:space="preserve"> (1/'EVA Calcs'!$C$16)*EXP(-(B133-'EVA Calcs'!$C$17)/'EVA Calcs'!$C$16)*EXP(-EXP(-(B133-'EVA Calcs'!$C$17)/'EVA Calcs'!$C$16))</f>
        <v>0.64642144280461666</v>
      </c>
      <c r="D133" s="18">
        <f>EXP(-EXP(-(B133-'EVA Calcs'!$C$17)/'EVA Calcs'!$C$16))</f>
        <v>0.95100324137317627</v>
      </c>
      <c r="E133" s="18">
        <f>Main!$D$15-'PDF and CDF'!B133</f>
        <v>1.9924615640337495</v>
      </c>
    </row>
    <row r="134" spans="1:5" x14ac:dyDescent="0.25">
      <c r="A134" s="36">
        <v>133</v>
      </c>
      <c r="B134" s="18">
        <f>A134*'EVA Calcs'!$C$19/200</f>
        <v>0.420701605935692</v>
      </c>
      <c r="C134" s="18">
        <f xml:space="preserve"> (1/'EVA Calcs'!$C$16)*EXP(-(B134-'EVA Calcs'!$C$17)/'EVA Calcs'!$C$16)*EXP(-EXP(-(B134-'EVA Calcs'!$C$17)/'EVA Calcs'!$C$16))</f>
        <v>0.62064434046015526</v>
      </c>
      <c r="D134" s="18">
        <f>EXP(-EXP(-(B134-'EVA Calcs'!$C$17)/'EVA Calcs'!$C$16))</f>
        <v>0.95300695213549569</v>
      </c>
      <c r="E134" s="18">
        <f>Main!$D$15-'PDF and CDF'!B134</f>
        <v>1.9892983940643081</v>
      </c>
    </row>
    <row r="135" spans="1:5" x14ac:dyDescent="0.25">
      <c r="A135" s="36">
        <v>134</v>
      </c>
      <c r="B135" s="18">
        <f>A135*'EVA Calcs'!$C$19/200</f>
        <v>0.42386477590513322</v>
      </c>
      <c r="C135" s="18">
        <f xml:space="preserve"> (1/'EVA Calcs'!$C$16)*EXP(-(B135-'EVA Calcs'!$C$17)/'EVA Calcs'!$C$16)*EXP(-EXP(-(B135-'EVA Calcs'!$C$17)/'EVA Calcs'!$C$16))</f>
        <v>0.59584259919977134</v>
      </c>
      <c r="D135" s="18">
        <f>EXP(-EXP(-(B135-'EVA Calcs'!$C$17)/'EVA Calcs'!$C$16))</f>
        <v>0.95493067683853949</v>
      </c>
      <c r="E135" s="18">
        <f>Main!$D$15-'PDF and CDF'!B135</f>
        <v>1.9861352240948669</v>
      </c>
    </row>
    <row r="136" spans="1:5" x14ac:dyDescent="0.25">
      <c r="A136" s="36">
        <v>135</v>
      </c>
      <c r="B136" s="18">
        <f>A136*'EVA Calcs'!$C$19/200</f>
        <v>0.42702794587457454</v>
      </c>
      <c r="C136" s="18">
        <f xml:space="preserve"> (1/'EVA Calcs'!$C$16)*EXP(-(B136-'EVA Calcs'!$C$17)/'EVA Calcs'!$C$16)*EXP(-EXP(-(B136-'EVA Calcs'!$C$17)/'EVA Calcs'!$C$16))</f>
        <v>0.57198364175668504</v>
      </c>
      <c r="D136" s="18">
        <f>EXP(-EXP(-(B136-'EVA Calcs'!$C$17)/'EVA Calcs'!$C$16))</f>
        <v>0.95677744900460315</v>
      </c>
      <c r="E136" s="18">
        <f>Main!$D$15-'PDF and CDF'!B136</f>
        <v>1.9829720541254257</v>
      </c>
    </row>
    <row r="137" spans="1:5" x14ac:dyDescent="0.25">
      <c r="A137" s="36">
        <v>136</v>
      </c>
      <c r="B137" s="18">
        <f>A137*'EVA Calcs'!$C$19/200</f>
        <v>0.43019111584401587</v>
      </c>
      <c r="C137" s="18">
        <f xml:space="preserve"> (1/'EVA Calcs'!$C$16)*EXP(-(B137-'EVA Calcs'!$C$17)/'EVA Calcs'!$C$16)*EXP(-EXP(-(B137-'EVA Calcs'!$C$17)/'EVA Calcs'!$C$16))</f>
        <v>0.54903561063396633</v>
      </c>
      <c r="D137" s="18">
        <f>EXP(-EXP(-(B137-'EVA Calcs'!$C$17)/'EVA Calcs'!$C$16))</f>
        <v>0.95855020024139381</v>
      </c>
      <c r="E137" s="18">
        <f>Main!$D$15-'PDF and CDF'!B137</f>
        <v>1.9798088841559842</v>
      </c>
    </row>
    <row r="138" spans="1:5" x14ac:dyDescent="0.25">
      <c r="A138" s="36">
        <v>137</v>
      </c>
      <c r="B138" s="18">
        <f>A138*'EVA Calcs'!$C$19/200</f>
        <v>0.43335428581345709</v>
      </c>
      <c r="C138" s="18">
        <f xml:space="preserve"> (1/'EVA Calcs'!$C$16)*EXP(-(B138-'EVA Calcs'!$C$17)/'EVA Calcs'!$C$16)*EXP(-EXP(-(B138-'EVA Calcs'!$C$17)/'EVA Calcs'!$C$16))</f>
        <v>0.52696738679720312</v>
      </c>
      <c r="D138" s="18">
        <f>EXP(-EXP(-(B138-'EVA Calcs'!$C$17)/'EVA Calcs'!$C$16))</f>
        <v>0.96025176254954492</v>
      </c>
      <c r="E138" s="18">
        <f>Main!$D$15-'PDF and CDF'!B138</f>
        <v>1.976645714186543</v>
      </c>
    </row>
    <row r="139" spans="1:5" x14ac:dyDescent="0.25">
      <c r="A139" s="36">
        <v>138</v>
      </c>
      <c r="B139" s="18">
        <f>A139*'EVA Calcs'!$C$19/200</f>
        <v>0.43651745578289841</v>
      </c>
      <c r="C139" s="18">
        <f xml:space="preserve"> (1/'EVA Calcs'!$C$16)*EXP(-(B139-'EVA Calcs'!$C$17)/'EVA Calcs'!$C$16)*EXP(-EXP(-(B139-'EVA Calcs'!$C$17)/'EVA Calcs'!$C$16))</f>
        <v>0.50574860405083455</v>
      </c>
      <c r="D139" s="18">
        <f>EXP(-EXP(-(B139-'EVA Calcs'!$C$17)/'EVA Calcs'!$C$16))</f>
        <v>0.96188487068231776</v>
      </c>
      <c r="E139" s="18">
        <f>Main!$D$15-'PDF and CDF'!B139</f>
        <v>1.9734825442171018</v>
      </c>
    </row>
    <row r="140" spans="1:5" x14ac:dyDescent="0.25">
      <c r="A140" s="36">
        <v>139</v>
      </c>
      <c r="B140" s="18">
        <f>A140*'EVA Calcs'!$C$19/200</f>
        <v>0.43968062575233974</v>
      </c>
      <c r="C140" s="18">
        <f xml:space="preserve"> (1/'EVA Calcs'!$C$16)*EXP(-(B140-'EVA Calcs'!$C$17)/'EVA Calcs'!$C$16)*EXP(-EXP(-(B140-'EVA Calcs'!$C$17)/'EVA Calcs'!$C$16))</f>
        <v>0.48534965951425463</v>
      </c>
      <c r="D140" s="18">
        <f>EXP(-EXP(-(B140-'EVA Calcs'!$C$17)/'EVA Calcs'!$C$16))</f>
        <v>0.963452164544502</v>
      </c>
      <c r="E140" s="18">
        <f>Main!$D$15-'PDF and CDF'!B140</f>
        <v>1.9703193742476603</v>
      </c>
    </row>
    <row r="141" spans="1:5" x14ac:dyDescent="0.25">
      <c r="A141" s="36">
        <v>140</v>
      </c>
      <c r="B141" s="18">
        <f>A141*'EVA Calcs'!$C$19/200</f>
        <v>0.44284379572178101</v>
      </c>
      <c r="C141" s="18">
        <f xml:space="preserve"> (1/'EVA Calcs'!$C$16)*EXP(-(B141-'EVA Calcs'!$C$17)/'EVA Calcs'!$C$16)*EXP(-EXP(-(B141-'EVA Calcs'!$C$17)/'EVA Calcs'!$C$16))</f>
        <v>0.46574172058322244</v>
      </c>
      <c r="D141" s="18">
        <f>EXP(-EXP(-(B141-'EVA Calcs'!$C$17)/'EVA Calcs'!$C$16))</f>
        <v>0.96495619161880031</v>
      </c>
      <c r="E141" s="18">
        <f>Main!$D$15-'PDF and CDF'!B141</f>
        <v>1.9671562042782191</v>
      </c>
    </row>
    <row r="142" spans="1:5" x14ac:dyDescent="0.25">
      <c r="A142" s="36">
        <v>141</v>
      </c>
      <c r="B142" s="18">
        <f>A142*'EVA Calcs'!$C$19/200</f>
        <v>0.44600696569122228</v>
      </c>
      <c r="C142" s="18">
        <f xml:space="preserve"> (1/'EVA Calcs'!$C$16)*EXP(-(B142-'EVA Calcs'!$C$17)/'EVA Calcs'!$C$16)*EXP(-EXP(-(B142-'EVA Calcs'!$C$17)/'EVA Calcs'!$C$16))</f>
        <v>0.44689672873327108</v>
      </c>
      <c r="D142" s="18">
        <f>EXP(-EXP(-(B142-'EVA Calcs'!$C$17)/'EVA Calcs'!$C$16))</f>
        <v>0.9663994094091457</v>
      </c>
      <c r="E142" s="18">
        <f>Main!$D$15-'PDF and CDF'!B142</f>
        <v>1.9639930343087779</v>
      </c>
    </row>
    <row r="143" spans="1:5" x14ac:dyDescent="0.25">
      <c r="A143" s="36">
        <v>142</v>
      </c>
      <c r="B143" s="18">
        <f>A143*'EVA Calcs'!$C$19/200</f>
        <v>0.44917013566066361</v>
      </c>
      <c r="C143" s="18">
        <f xml:space="preserve"> (1/'EVA Calcs'!$C$16)*EXP(-(B143-'EVA Calcs'!$C$17)/'EVA Calcs'!$C$16)*EXP(-EXP(-(B143-'EVA Calcs'!$C$17)/'EVA Calcs'!$C$16))</f>
        <v>0.42878740049455205</v>
      </c>
      <c r="D143" s="18">
        <f>EXP(-EXP(-(B143-'EVA Calcs'!$C$17)/'EVA Calcs'!$C$16))</f>
        <v>0.9677841878914939</v>
      </c>
      <c r="E143" s="18">
        <f>Main!$D$15-'PDF and CDF'!B143</f>
        <v>1.9608298643393365</v>
      </c>
    </row>
    <row r="144" spans="1:5" x14ac:dyDescent="0.25">
      <c r="A144" s="36">
        <v>143</v>
      </c>
      <c r="B144" s="18">
        <f>A144*'EVA Calcs'!$C$19/200</f>
        <v>0.45233330563010488</v>
      </c>
      <c r="C144" s="18">
        <f xml:space="preserve"> (1/'EVA Calcs'!$C$16)*EXP(-(B144-'EVA Calcs'!$C$17)/'EVA Calcs'!$C$16)*EXP(-EXP(-(B144-'EVA Calcs'!$C$17)/'EVA Calcs'!$C$16))</f>
        <v>0.411387225901928</v>
      </c>
      <c r="D144" s="18">
        <f>EXP(-EXP(-(B144-'EVA Calcs'!$C$17)/'EVA Calcs'!$C$16))</f>
        <v>0.96911281196362897</v>
      </c>
      <c r="E144" s="18">
        <f>Main!$D$15-'PDF and CDF'!B144</f>
        <v>1.9576666943698953</v>
      </c>
    </row>
    <row r="145" spans="1:5" x14ac:dyDescent="0.25">
      <c r="A145" s="36">
        <v>144</v>
      </c>
      <c r="B145" s="18">
        <f>A145*'EVA Calcs'!$C$19/200</f>
        <v>0.4554964755995462</v>
      </c>
      <c r="C145" s="18">
        <f xml:space="preserve"> (1/'EVA Calcs'!$C$16)*EXP(-(B145-'EVA Calcs'!$C$17)/'EVA Calcs'!$C$16)*EXP(-EXP(-(B145-'EVA Calcs'!$C$17)/'EVA Calcs'!$C$16))</f>
        <v>0.39467046470004874</v>
      </c>
      <c r="D145" s="18">
        <f>EXP(-EXP(-(B145-'EVA Calcs'!$C$17)/'EVA Calcs'!$C$16))</f>
        <v>0.97038748388644491</v>
      </c>
      <c r="E145" s="18">
        <f>Main!$D$15-'PDF and CDF'!B145</f>
        <v>1.9545035244004541</v>
      </c>
    </row>
    <row r="146" spans="1:5" x14ac:dyDescent="0.25">
      <c r="A146" s="36">
        <v>145</v>
      </c>
      <c r="B146" s="18">
        <f>A146*'EVA Calcs'!$C$19/200</f>
        <v>0.45865964556898747</v>
      </c>
      <c r="C146" s="18">
        <f xml:space="preserve"> (1/'EVA Calcs'!$C$16)*EXP(-(B146-'EVA Calcs'!$C$17)/'EVA Calcs'!$C$16)*EXP(-EXP(-(B146-'EVA Calcs'!$C$17)/'EVA Calcs'!$C$16))</f>
        <v>0.37861214056058418</v>
      </c>
      <c r="D146" s="18">
        <f>EXP(-EXP(-(B146-'EVA Calcs'!$C$17)/'EVA Calcs'!$C$16))</f>
        <v>0.97161032571001493</v>
      </c>
      <c r="E146" s="18">
        <f>Main!$D$15-'PDF and CDF'!B146</f>
        <v>1.9513403544310126</v>
      </c>
    </row>
    <row r="147" spans="1:5" x14ac:dyDescent="0.25">
      <c r="A147" s="36">
        <v>146</v>
      </c>
      <c r="B147" s="18">
        <f>A147*'EVA Calcs'!$C$19/200</f>
        <v>0.46182281553842874</v>
      </c>
      <c r="C147" s="18">
        <f xml:space="preserve"> (1/'EVA Calcs'!$C$16)*EXP(-(B147-'EVA Calcs'!$C$17)/'EVA Calcs'!$C$16)*EXP(-EXP(-(B147-'EVA Calcs'!$C$17)/'EVA Calcs'!$C$16))</f>
        <v>0.36318803354765661</v>
      </c>
      <c r="D147" s="18">
        <f>EXP(-EXP(-(B147-'EVA Calcs'!$C$17)/'EVA Calcs'!$C$16))</f>
        <v>0.97278338167853751</v>
      </c>
      <c r="E147" s="18">
        <f>Main!$D$15-'PDF and CDF'!B147</f>
        <v>1.9481771844615714</v>
      </c>
    </row>
    <row r="148" spans="1:5" x14ac:dyDescent="0.25">
      <c r="A148" s="36">
        <v>147</v>
      </c>
      <c r="B148" s="18">
        <f>A148*'EVA Calcs'!$C$19/200</f>
        <v>0.46498598550787007</v>
      </c>
      <c r="C148" s="18">
        <f xml:space="preserve"> (1/'EVA Calcs'!$C$16)*EXP(-(B148-'EVA Calcs'!$C$17)/'EVA Calcs'!$C$16)*EXP(-EXP(-(B148-'EVA Calcs'!$C$17)/'EVA Calcs'!$C$16))</f>
        <v>0.34837467104779685</v>
      </c>
      <c r="D148" s="18">
        <f>EXP(-EXP(-(B148-'EVA Calcs'!$C$17)/'EVA Calcs'!$C$16))</f>
        <v>0.97390862060896788</v>
      </c>
      <c r="E148" s="18">
        <f>Main!$D$15-'PDF and CDF'!B148</f>
        <v>1.9450140144921302</v>
      </c>
    </row>
    <row r="149" spans="1:5" x14ac:dyDescent="0.25">
      <c r="A149" s="36">
        <v>148</v>
      </c>
      <c r="B149" s="18">
        <f>A149*'EVA Calcs'!$C$19/200</f>
        <v>0.46814915547731134</v>
      </c>
      <c r="C149" s="18">
        <f xml:space="preserve"> (1/'EVA Calcs'!$C$16)*EXP(-(B149-'EVA Calcs'!$C$17)/'EVA Calcs'!$C$16)*EXP(-EXP(-(B149-'EVA Calcs'!$C$17)/'EVA Calcs'!$C$16))</f>
        <v>0.33414931736233949</v>
      </c>
      <c r="D149" s="18">
        <f>EXP(-EXP(-(B149-'EVA Calcs'!$C$17)/'EVA Calcs'!$C$16))</f>
        <v>0.9749879382387926</v>
      </c>
      <c r="E149" s="18">
        <f>Main!$D$15-'PDF and CDF'!B149</f>
        <v>1.9418508445226887</v>
      </c>
    </row>
    <row r="150" spans="1:5" x14ac:dyDescent="0.25">
      <c r="A150" s="36">
        <v>149</v>
      </c>
      <c r="B150" s="18">
        <f>A150*'EVA Calcs'!$C$19/200</f>
        <v>0.47131232544675261</v>
      </c>
      <c r="C150" s="18">
        <f xml:space="preserve"> (1/'EVA Calcs'!$C$16)*EXP(-(B150-'EVA Calcs'!$C$17)/'EVA Calcs'!$C$16)*EXP(-EXP(-(B150-'EVA Calcs'!$C$17)/'EVA Calcs'!$C$16))</f>
        <v>0.32048996214303743</v>
      </c>
      <c r="D150" s="18">
        <f>EXP(-EXP(-(B150-'EVA Calcs'!$C$17)/'EVA Calcs'!$C$16))</f>
        <v>0.97602315953900898</v>
      </c>
      <c r="E150" s="18">
        <f>Main!$D$15-'PDF and CDF'!B150</f>
        <v>1.9386876745532475</v>
      </c>
    </row>
    <row r="151" spans="1:5" x14ac:dyDescent="0.25">
      <c r="A151" s="36">
        <v>150</v>
      </c>
      <c r="B151" s="18">
        <f>A151*'EVA Calcs'!$C$19/200</f>
        <v>0.47447549541619394</v>
      </c>
      <c r="C151" s="18">
        <f xml:space="preserve"> (1/'EVA Calcs'!$C$16)*EXP(-(B151-'EVA Calcs'!$C$17)/'EVA Calcs'!$C$16)*EXP(-EXP(-(B151-'EVA Calcs'!$C$17)/'EVA Calcs'!$C$16))</f>
        <v>0.30737530783574557</v>
      </c>
      <c r="D151" s="18">
        <f>EXP(-EXP(-(B151-'EVA Calcs'!$C$17)/'EVA Calcs'!$C$16))</f>
        <v>0.97701604098891393</v>
      </c>
      <c r="E151" s="18">
        <f>Main!$D$15-'PDF and CDF'!B151</f>
        <v>1.9355245045838063</v>
      </c>
    </row>
    <row r="152" spans="1:5" x14ac:dyDescent="0.25">
      <c r="A152" s="36">
        <v>151</v>
      </c>
      <c r="B152" s="18">
        <f>A152*'EVA Calcs'!$C$19/200</f>
        <v>0.47763866538563526</v>
      </c>
      <c r="C152" s="18">
        <f xml:space="preserve"> (1/'EVA Calcs'!$C$16)*EXP(-(B152-'EVA Calcs'!$C$17)/'EVA Calcs'!$C$16)*EXP(-EXP(-(B152-'EVA Calcs'!$C$17)/'EVA Calcs'!$C$16))</f>
        <v>0.29478475628222461</v>
      </c>
      <c r="D152" s="18">
        <f>EXP(-EXP(-(B152-'EVA Calcs'!$C$17)/'EVA Calcs'!$C$16))</f>
        <v>0.97796827280980592</v>
      </c>
      <c r="E152" s="18">
        <f>Main!$D$15-'PDF and CDF'!B152</f>
        <v>1.9323613346143649</v>
      </c>
    </row>
    <row r="153" spans="1:5" x14ac:dyDescent="0.25">
      <c r="A153" s="36">
        <v>152</v>
      </c>
      <c r="B153" s="18">
        <f>A153*'EVA Calcs'!$C$19/200</f>
        <v>0.48080183535507648</v>
      </c>
      <c r="C153" s="18">
        <f xml:space="preserve"> (1/'EVA Calcs'!$C$16)*EXP(-(B153-'EVA Calcs'!$C$17)/'EVA Calcs'!$C$16)*EXP(-EXP(-(B153-'EVA Calcs'!$C$17)/'EVA Calcs'!$C$16))</f>
        <v>0.28269839461639856</v>
      </c>
      <c r="D153" s="18">
        <f>EXP(-EXP(-(B153-'EVA Calcs'!$C$17)/'EVA Calcs'!$C$16))</f>
        <v>0.97888148115515516</v>
      </c>
      <c r="E153" s="18">
        <f>Main!$D$15-'PDF and CDF'!B153</f>
        <v>1.9291981646449237</v>
      </c>
    </row>
    <row r="154" spans="1:5" x14ac:dyDescent="0.25">
      <c r="A154" s="36">
        <v>153</v>
      </c>
      <c r="B154" s="18">
        <f>A154*'EVA Calcs'!$C$19/200</f>
        <v>0.48396500532451781</v>
      </c>
      <c r="C154" s="18">
        <f xml:space="preserve"> (1/'EVA Calcs'!$C$16)*EXP(-(B154-'EVA Calcs'!$C$17)/'EVA Calcs'!$C$16)*EXP(-EXP(-(B154-'EVA Calcs'!$C$17)/'EVA Calcs'!$C$16))</f>
        <v>0.27109698057869519</v>
      </c>
      <c r="D154" s="18">
        <f>EXP(-EXP(-(B154-'EVA Calcs'!$C$17)/'EVA Calcs'!$C$16))</f>
        <v>0.979757230255212</v>
      </c>
      <c r="E154" s="18">
        <f>Main!$D$15-'PDF and CDF'!B154</f>
        <v>1.9260349946754824</v>
      </c>
    </row>
    <row r="155" spans="1:5" x14ac:dyDescent="0.25">
      <c r="A155" s="36">
        <v>154</v>
      </c>
      <c r="B155" s="18">
        <f>A155*'EVA Calcs'!$C$19/200</f>
        <v>0.48712817529395913</v>
      </c>
      <c r="C155" s="18">
        <f xml:space="preserve"> (1/'EVA Calcs'!$C$16)*EXP(-(B155-'EVA Calcs'!$C$17)/'EVA Calcs'!$C$16)*EXP(-EXP(-(B155-'EVA Calcs'!$C$17)/'EVA Calcs'!$C$16))</f>
        <v>0.2599619273603595</v>
      </c>
      <c r="D155" s="18">
        <f>EXP(-EXP(-(B155-'EVA Calcs'!$C$17)/'EVA Calcs'!$C$16))</f>
        <v>0.98059702451438802</v>
      </c>
      <c r="E155" s="18">
        <f>Main!$D$15-'PDF and CDF'!B155</f>
        <v>1.922871824706041</v>
      </c>
    </row>
    <row r="156" spans="1:5" x14ac:dyDescent="0.25">
      <c r="A156" s="36">
        <v>155</v>
      </c>
      <c r="B156" s="18">
        <f>A156*'EVA Calcs'!$C$19/200</f>
        <v>0.49029134526340035</v>
      </c>
      <c r="C156" s="18">
        <f xml:space="preserve"> (1/'EVA Calcs'!$C$16)*EXP(-(B156-'EVA Calcs'!$C$17)/'EVA Calcs'!$C$16)*EXP(-EXP(-(B156-'EVA Calcs'!$C$17)/'EVA Calcs'!$C$16))</f>
        <v>0.24927528807876945</v>
      </c>
      <c r="D156" s="18">
        <f>EXP(-EXP(-(B156-'EVA Calcs'!$C$17)/'EVA Calcs'!$C$16))</f>
        <v>0.98140231056009042</v>
      </c>
      <c r="E156" s="18">
        <f>Main!$D$15-'PDF and CDF'!B156</f>
        <v>1.9197086547365998</v>
      </c>
    </row>
    <row r="157" spans="1:5" x14ac:dyDescent="0.25">
      <c r="A157" s="36">
        <v>156</v>
      </c>
      <c r="B157" s="18">
        <f>A157*'EVA Calcs'!$C$19/200</f>
        <v>0.49345451523284167</v>
      </c>
      <c r="C157" s="18">
        <f xml:space="preserve"> (1/'EVA Calcs'!$C$16)*EXP(-(B157-'EVA Calcs'!$C$17)/'EVA Calcs'!$C$16)*EXP(-EXP(-(B157-'EVA Calcs'!$C$17)/'EVA Calcs'!$C$16))</f>
        <v>0.23901973997478429</v>
      </c>
      <c r="D157" s="18">
        <f>EXP(-EXP(-(B157-'EVA Calcs'!$C$17)/'EVA Calcs'!$C$16))</f>
        <v>0.98217447924198575</v>
      </c>
      <c r="E157" s="18">
        <f>Main!$D$15-'PDF and CDF'!B157</f>
        <v>1.9165454847671586</v>
      </c>
    </row>
    <row r="158" spans="1:5" x14ac:dyDescent="0.25">
      <c r="A158" s="36">
        <v>157</v>
      </c>
      <c r="B158" s="18">
        <f>A158*'EVA Calcs'!$C$19/200</f>
        <v>0.496617685202283</v>
      </c>
      <c r="C158" s="18">
        <f xml:space="preserve"> (1/'EVA Calcs'!$C$16)*EXP(-(B158-'EVA Calcs'!$C$17)/'EVA Calcs'!$C$16)*EXP(-EXP(-(B158-'EVA Calcs'!$C$17)/'EVA Calcs'!$C$16))</f>
        <v>0.22917856841394182</v>
      </c>
      <c r="D158" s="18">
        <f>EXP(-EXP(-(B158-'EVA Calcs'!$C$17)/'EVA Calcs'!$C$16))</f>
        <v>0.98291486758094637</v>
      </c>
      <c r="E158" s="18">
        <f>Main!$D$15-'PDF and CDF'!B158</f>
        <v>1.9133823147977171</v>
      </c>
    </row>
    <row r="159" spans="1:5" x14ac:dyDescent="0.25">
      <c r="A159" s="36">
        <v>158</v>
      </c>
      <c r="B159" s="18">
        <f>A159*'EVA Calcs'!$C$19/200</f>
        <v>0.49978085517172433</v>
      </c>
      <c r="C159" s="18">
        <f xml:space="preserve"> (1/'EVA Calcs'!$C$16)*EXP(-(B159-'EVA Calcs'!$C$17)/'EVA Calcs'!$C$16)*EXP(-EXP(-(B159-'EVA Calcs'!$C$17)/'EVA Calcs'!$C$16))</f>
        <v>0.21973565076483068</v>
      </c>
      <c r="D159" s="18">
        <f>EXP(-EXP(-(B159-'EVA Calcs'!$C$17)/'EVA Calcs'!$C$16))</f>
        <v>0.98362476066717863</v>
      </c>
      <c r="E159" s="18">
        <f>Main!$D$15-'PDF and CDF'!B159</f>
        <v>1.9102191448282757</v>
      </c>
    </row>
    <row r="160" spans="1:5" x14ac:dyDescent="0.25">
      <c r="A160" s="36">
        <v>159</v>
      </c>
      <c r="B160" s="18">
        <f>A160*'EVA Calcs'!$C$19/200</f>
        <v>0.50294402514116554</v>
      </c>
      <c r="C160" s="18">
        <f xml:space="preserve"> (1/'EVA Calcs'!$C$16)*EXP(-(B160-'EVA Calcs'!$C$17)/'EVA Calcs'!$C$16)*EXP(-EXP(-(B160-'EVA Calcs'!$C$17)/'EVA Calcs'!$C$16))</f>
        <v>0.21067544022017531</v>
      </c>
      <c r="D160" s="18">
        <f>EXP(-EXP(-(B160-'EVA Calcs'!$C$17)/'EVA Calcs'!$C$16))</f>
        <v>0.984305393507247</v>
      </c>
      <c r="E160" s="18">
        <f>Main!$D$15-'PDF and CDF'!B160</f>
        <v>1.9070559748588347</v>
      </c>
    </row>
    <row r="161" spans="1:5" x14ac:dyDescent="0.25">
      <c r="A161" s="36">
        <v>160</v>
      </c>
      <c r="B161" s="18">
        <f>A161*'EVA Calcs'!$C$19/200</f>
        <v>0.50610719511060687</v>
      </c>
      <c r="C161" s="18">
        <f xml:space="preserve"> (1/'EVA Calcs'!$C$16)*EXP(-(B161-'EVA Calcs'!$C$17)/'EVA Calcs'!$C$16)*EXP(-EXP(-(B161-'EVA Calcs'!$C$17)/'EVA Calcs'!$C$16))</f>
        <v>0.20198294961902466</v>
      </c>
      <c r="D161" s="18">
        <f>EXP(-EXP(-(B161-'EVA Calcs'!$C$17)/'EVA Calcs'!$C$16))</f>
        <v>0.98495795281991028</v>
      </c>
      <c r="E161" s="18">
        <f>Main!$D$15-'PDF and CDF'!B161</f>
        <v>1.9038928048893933</v>
      </c>
    </row>
    <row r="162" spans="1:5" x14ac:dyDescent="0.25">
      <c r="A162" s="36">
        <v>161</v>
      </c>
      <c r="B162" s="18">
        <f>A162*'EVA Calcs'!$C$19/200</f>
        <v>0.50927036508004819</v>
      </c>
      <c r="C162" s="18">
        <f xml:space="preserve"> (1/'EVA Calcs'!$C$16)*EXP(-(B162-'EVA Calcs'!$C$17)/'EVA Calcs'!$C$16)*EXP(-EXP(-(B162-'EVA Calcs'!$C$17)/'EVA Calcs'!$C$16))</f>
        <v>0.19364373532187834</v>
      </c>
      <c r="D162" s="18">
        <f>EXP(-EXP(-(B162-'EVA Calcs'!$C$17)/'EVA Calcs'!$C$16))</f>
        <v>0.98558357878085479</v>
      </c>
      <c r="E162" s="18">
        <f>Main!$D$15-'PDF and CDF'!B162</f>
        <v>1.9007296349199518</v>
      </c>
    </row>
    <row r="163" spans="1:5" x14ac:dyDescent="0.25">
      <c r="A163" s="36">
        <v>162</v>
      </c>
      <c r="B163" s="18">
        <f>A163*'EVA Calcs'!$C$19/200</f>
        <v>0.51243353504948941</v>
      </c>
      <c r="C163" s="18">
        <f xml:space="preserve"> (1/'EVA Calcs'!$C$16)*EXP(-(B163-'EVA Calcs'!$C$17)/'EVA Calcs'!$C$16)*EXP(-EXP(-(B163-'EVA Calcs'!$C$17)/'EVA Calcs'!$C$16))</f>
        <v>0.18564388118457745</v>
      </c>
      <c r="D163" s="18">
        <f>EXP(-EXP(-(B163-'EVA Calcs'!$C$17)/'EVA Calcs'!$C$16))</f>
        <v>0.98618336671656659</v>
      </c>
      <c r="E163" s="18">
        <f>Main!$D$15-'PDF and CDF'!B163</f>
        <v>1.8975664649505108</v>
      </c>
    </row>
    <row r="164" spans="1:5" x14ac:dyDescent="0.25">
      <c r="A164" s="36">
        <v>163</v>
      </c>
      <c r="B164" s="18">
        <f>A164*'EVA Calcs'!$C$19/200</f>
        <v>0.51559670501893073</v>
      </c>
      <c r="C164" s="18">
        <f xml:space="preserve"> (1/'EVA Calcs'!$C$16)*EXP(-(B164-'EVA Calcs'!$C$17)/'EVA Calcs'!$C$16)*EXP(-EXP(-(B164-'EVA Calcs'!$C$17)/'EVA Calcs'!$C$16))</f>
        <v>0.17796998267131636</v>
      </c>
      <c r="D164" s="18">
        <f>EXP(-EXP(-(B164-'EVA Calcs'!$C$17)/'EVA Calcs'!$C$16))</f>
        <v>0.98675836874772105</v>
      </c>
      <c r="E164" s="18">
        <f>Main!$D$15-'PDF and CDF'!B164</f>
        <v>1.8944032949810694</v>
      </c>
    </row>
    <row r="165" spans="1:5" x14ac:dyDescent="0.25">
      <c r="A165" s="36">
        <v>164</v>
      </c>
      <c r="B165" s="18">
        <f>A165*'EVA Calcs'!$C$19/200</f>
        <v>0.51875987498837206</v>
      </c>
      <c r="C165" s="18">
        <f xml:space="preserve"> (1/'EVA Calcs'!$C$16)*EXP(-(B165-'EVA Calcs'!$C$17)/'EVA Calcs'!$C$16)*EXP(-EXP(-(B165-'EVA Calcs'!$C$17)/'EVA Calcs'!$C$16))</f>
        <v>0.17060913114212023</v>
      </c>
      <c r="D165" s="18">
        <f>EXP(-EXP(-(B165-'EVA Calcs'!$C$17)/'EVA Calcs'!$C$16))</f>
        <v>0.98730959538258578</v>
      </c>
      <c r="E165" s="18">
        <f>Main!$D$15-'PDF and CDF'!B165</f>
        <v>1.891240125011628</v>
      </c>
    </row>
    <row r="166" spans="1:5" x14ac:dyDescent="0.25">
      <c r="A166" s="36">
        <v>165</v>
      </c>
      <c r="B166" s="18">
        <f>A166*'EVA Calcs'!$C$19/200</f>
        <v>0.52192304495781339</v>
      </c>
      <c r="C166" s="18">
        <f xml:space="preserve"> (1/'EVA Calcs'!$C$16)*EXP(-(B166-'EVA Calcs'!$C$17)/'EVA Calcs'!$C$16)*EXP(-EXP(-(B166-'EVA Calcs'!$C$17)/'EVA Calcs'!$C$16))</f>
        <v>0.16354889834556102</v>
      </c>
      <c r="D166" s="18">
        <f>EXP(-EXP(-(B166-'EVA Calcs'!$C$17)/'EVA Calcs'!$C$16))</f>
        <v>0.98783801706103991</v>
      </c>
      <c r="E166" s="18">
        <f>Main!$D$15-'PDF and CDF'!B166</f>
        <v>1.8880769550421868</v>
      </c>
    </row>
    <row r="167" spans="1:5" x14ac:dyDescent="0.25">
      <c r="A167" s="36">
        <v>166</v>
      </c>
      <c r="B167" s="18">
        <f>A167*'EVA Calcs'!$C$19/200</f>
        <v>0.5250862149272546</v>
      </c>
      <c r="C167" s="18">
        <f xml:space="preserve"> (1/'EVA Calcs'!$C$16)*EXP(-(B167-'EVA Calcs'!$C$17)/'EVA Calcs'!$C$16)*EXP(-EXP(-(B167-'EVA Calcs'!$C$17)/'EVA Calcs'!$C$16))</f>
        <v>0.15677732114334625</v>
      </c>
      <c r="D167" s="18">
        <f>EXP(-EXP(-(B167-'EVA Calcs'!$C$17)/'EVA Calcs'!$C$16))</f>
        <v>0.98834456564990081</v>
      </c>
      <c r="E167" s="18">
        <f>Main!$D$15-'PDF and CDF'!B167</f>
        <v>1.8849137850727455</v>
      </c>
    </row>
    <row r="168" spans="1:5" x14ac:dyDescent="0.25">
      <c r="A168" s="36">
        <v>167</v>
      </c>
      <c r="B168" s="18">
        <f>A168*'EVA Calcs'!$C$19/200</f>
        <v>0.52824938489669593</v>
      </c>
      <c r="C168" s="18">
        <f xml:space="preserve"> (1/'EVA Calcs'!$C$16)*EXP(-(B168-'EVA Calcs'!$C$17)/'EVA Calcs'!$C$16)*EXP(-EXP(-(B168-'EVA Calcs'!$C$17)/'EVA Calcs'!$C$16))</f>
        <v>0.15028288648962629</v>
      </c>
      <c r="D168" s="18">
        <f>EXP(-EXP(-(B168-'EVA Calcs'!$C$17)/'EVA Calcs'!$C$16))</f>
        <v>0.98883013589032942</v>
      </c>
      <c r="E168" s="18">
        <f>Main!$D$15-'PDF and CDF'!B168</f>
        <v>1.8817506151033041</v>
      </c>
    </row>
    <row r="169" spans="1:5" x14ac:dyDescent="0.25">
      <c r="A169" s="36">
        <v>168</v>
      </c>
      <c r="B169" s="18">
        <f>A169*'EVA Calcs'!$C$19/200</f>
        <v>0.53141255486613725</v>
      </c>
      <c r="C169" s="18">
        <f xml:space="preserve"> (1/'EVA Calcs'!$C$16)*EXP(-(B169-'EVA Calcs'!$C$17)/'EVA Calcs'!$C$16)*EXP(-EXP(-(B169-'EVA Calcs'!$C$17)/'EVA Calcs'!$C$16))</f>
        <v>0.14405451668444733</v>
      </c>
      <c r="D169" s="18">
        <f>EXP(-EXP(-(B169-'EVA Calcs'!$C$17)/'EVA Calcs'!$C$16))</f>
        <v>0.9892955867981521</v>
      </c>
      <c r="E169" s="18">
        <f>Main!$D$15-'PDF and CDF'!B169</f>
        <v>1.8785874451338629</v>
      </c>
    </row>
    <row r="170" spans="1:5" x14ac:dyDescent="0.25">
      <c r="A170" s="36">
        <v>169</v>
      </c>
      <c r="B170" s="18">
        <f>A170*'EVA Calcs'!$C$19/200</f>
        <v>0.53457572483557847</v>
      </c>
      <c r="C170" s="18">
        <f xml:space="preserve"> (1/'EVA Calcs'!$C$16)*EXP(-(B170-'EVA Calcs'!$C$17)/'EVA Calcs'!$C$16)*EXP(-EXP(-(B170-'EVA Calcs'!$C$17)/'EVA Calcs'!$C$16))</f>
        <v>0.13808155491766821</v>
      </c>
      <c r="D170" s="18">
        <f>EXP(-EXP(-(B170-'EVA Calcs'!$C$17)/'EVA Calcs'!$C$16))</f>
        <v>0.98974174301799167</v>
      </c>
      <c r="E170" s="18">
        <f>Main!$D$15-'PDF and CDF'!B170</f>
        <v>1.8754242751644217</v>
      </c>
    </row>
    <row r="171" spans="1:5" x14ac:dyDescent="0.25">
      <c r="A171" s="36">
        <v>170</v>
      </c>
      <c r="B171" s="18">
        <f>A171*'EVA Calcs'!$C$19/200</f>
        <v>0.5377388948050198</v>
      </c>
      <c r="C171" s="18">
        <f xml:space="preserve"> (1/'EVA Calcs'!$C$16)*EXP(-(B171-'EVA Calcs'!$C$17)/'EVA Calcs'!$C$16)*EXP(-EXP(-(B171-'EVA Calcs'!$C$17)/'EVA Calcs'!$C$16))</f>
        <v>0.13235375111685502</v>
      </c>
      <c r="D171" s="18">
        <f>EXP(-EXP(-(B171-'EVA Calcs'!$C$17)/'EVA Calcs'!$C$16))</f>
        <v>0.99016939613214838</v>
      </c>
      <c r="E171" s="18">
        <f>Main!$D$15-'PDF and CDF'!B171</f>
        <v>1.8722611051949802</v>
      </c>
    </row>
    <row r="172" spans="1:5" x14ac:dyDescent="0.25">
      <c r="A172" s="36">
        <v>171</v>
      </c>
      <c r="B172" s="18">
        <f>A172*'EVA Calcs'!$C$19/200</f>
        <v>0.54090206477446112</v>
      </c>
      <c r="C172" s="18">
        <f xml:space="preserve"> (1/'EVA Calcs'!$C$16)*EXP(-(B172-'EVA Calcs'!$C$17)/'EVA Calcs'!$C$16)*EXP(-EXP(-(B172-'EVA Calcs'!$C$17)/'EVA Calcs'!$C$16))</f>
        <v>0.12686124811013474</v>
      </c>
      <c r="D172" s="18">
        <f>EXP(-EXP(-(B172-'EVA Calcs'!$C$17)/'EVA Calcs'!$C$16))</f>
        <v>0.99057930592521237</v>
      </c>
      <c r="E172" s="18">
        <f>Main!$D$15-'PDF and CDF'!B172</f>
        <v>1.869097935225539</v>
      </c>
    </row>
    <row r="173" spans="1:5" x14ac:dyDescent="0.25">
      <c r="A173" s="36">
        <v>172</v>
      </c>
      <c r="B173" s="18">
        <f>A173*'EVA Calcs'!$C$19/200</f>
        <v>0.54406523474390245</v>
      </c>
      <c r="C173" s="18">
        <f xml:space="preserve"> (1/'EVA Calcs'!$C$16)*EXP(-(B173-'EVA Calcs'!$C$17)/'EVA Calcs'!$C$16)*EXP(-EXP(-(B173-'EVA Calcs'!$C$17)/'EVA Calcs'!$C$16))</f>
        <v>0.12159456811270077</v>
      </c>
      <c r="D173" s="18">
        <f>EXP(-EXP(-(B173-'EVA Calcs'!$C$17)/'EVA Calcs'!$C$16))</f>
        <v>0.99097220160541521</v>
      </c>
      <c r="E173" s="18">
        <f>Main!$D$15-'PDF and CDF'!B173</f>
        <v>1.8659347652560978</v>
      </c>
    </row>
    <row r="174" spans="1:5" x14ac:dyDescent="0.25">
      <c r="A174" s="36">
        <v>173</v>
      </c>
      <c r="B174" s="18">
        <f>A174*'EVA Calcs'!$C$19/200</f>
        <v>0.54722840471334366</v>
      </c>
      <c r="C174" s="18">
        <f xml:space="preserve"> (1/'EVA Calcs'!$C$16)*EXP(-(B174-'EVA Calcs'!$C$17)/'EVA Calcs'!$C$16)*EXP(-EXP(-(B174-'EVA Calcs'!$C$17)/'EVA Calcs'!$C$16))</f>
        <v>0.11654459954361787</v>
      </c>
      <c r="D174" s="18">
        <f>EXP(-EXP(-(B174-'EVA Calcs'!$C$17)/'EVA Calcs'!$C$16))</f>
        <v>0.99134878298375784</v>
      </c>
      <c r="E174" s="18">
        <f>Main!$D$15-'PDF and CDF'!B174</f>
        <v>1.8627715952866564</v>
      </c>
    </row>
    <row r="175" spans="1:5" x14ac:dyDescent="0.25">
      <c r="A175" s="36">
        <v>174</v>
      </c>
      <c r="B175" s="18">
        <f>A175*'EVA Calcs'!$C$19/200</f>
        <v>0.55039157468278499</v>
      </c>
      <c r="C175" s="18">
        <f xml:space="preserve"> (1/'EVA Calcs'!$C$16)*EXP(-(B175-'EVA Calcs'!$C$17)/'EVA Calcs'!$C$16)*EXP(-EXP(-(B175-'EVA Calcs'!$C$17)/'EVA Calcs'!$C$16))</f>
        <v>0.11170258417772856</v>
      </c>
      <c r="D175" s="18">
        <f>EXP(-EXP(-(B175-'EVA Calcs'!$C$17)/'EVA Calcs'!$C$16))</f>
        <v>0.9917097216119668</v>
      </c>
      <c r="E175" s="18">
        <f>Main!$D$15-'PDF and CDF'!B175</f>
        <v>1.8596084253172152</v>
      </c>
    </row>
    <row r="176" spans="1:5" x14ac:dyDescent="0.25">
      <c r="A176" s="36">
        <v>175</v>
      </c>
      <c r="B176" s="18">
        <f>A176*'EVA Calcs'!$C$19/200</f>
        <v>0.55355474465222632</v>
      </c>
      <c r="C176" s="18">
        <f xml:space="preserve"> (1/'EVA Calcs'!$C$16)*EXP(-(B176-'EVA Calcs'!$C$17)/'EVA Calcs'!$C$16)*EXP(-EXP(-(B176-'EVA Calcs'!$C$17)/'EVA Calcs'!$C$16))</f>
        <v>0.10706010463581991</v>
      </c>
      <c r="D176" s="18">
        <f>EXP(-EXP(-(B176-'EVA Calcs'!$C$17)/'EVA Calcs'!$C$16))</f>
        <v>0.99205566188034289</v>
      </c>
      <c r="E176" s="18">
        <f>Main!$D$15-'PDF and CDF'!B176</f>
        <v>1.8564452553477739</v>
      </c>
    </row>
    <row r="177" spans="1:5" x14ac:dyDescent="0.25">
      <c r="A177" s="36">
        <v>176</v>
      </c>
      <c r="B177" s="18">
        <f>A177*'EVA Calcs'!$C$19/200</f>
        <v>0.55671791462166753</v>
      </c>
      <c r="C177" s="18">
        <f xml:space="preserve"> (1/'EVA Calcs'!$C$16)*EXP(-(B177-'EVA Calcs'!$C$17)/'EVA Calcs'!$C$16)*EXP(-EXP(-(B177-'EVA Calcs'!$C$17)/'EVA Calcs'!$C$16))</f>
        <v>0.10260907221473753</v>
      </c>
      <c r="D177" s="18">
        <f>EXP(-EXP(-(B177-'EVA Calcs'!$C$17)/'EVA Calcs'!$C$16))</f>
        <v>0.99238722207657848</v>
      </c>
      <c r="E177" s="18">
        <f>Main!$D$15-'PDF and CDF'!B177</f>
        <v>1.8532820853783325</v>
      </c>
    </row>
    <row r="178" spans="1:5" x14ac:dyDescent="0.25">
      <c r="A178" s="36">
        <v>177</v>
      </c>
      <c r="B178" s="18">
        <f>A178*'EVA Calcs'!$C$19/200</f>
        <v>0.55988108459110886</v>
      </c>
      <c r="C178" s="18">
        <f xml:space="preserve"> (1/'EVA Calcs'!$C$16)*EXP(-(B178-'EVA Calcs'!$C$17)/'EVA Calcs'!$C$16)*EXP(-EXP(-(B178-'EVA Calcs'!$C$17)/'EVA Calcs'!$C$16))</f>
        <v>9.8341715057829709E-2</v>
      </c>
      <c r="D178" s="18">
        <f>EXP(-EXP(-(B178-'EVA Calcs'!$C$17)/'EVA Calcs'!$C$16))</f>
        <v>0.99270499540661583</v>
      </c>
      <c r="E178" s="18">
        <f>Main!$D$15-'PDF and CDF'!B178</f>
        <v>1.8501189154088913</v>
      </c>
    </row>
    <row r="179" spans="1:5" x14ac:dyDescent="0.25">
      <c r="A179" s="36">
        <v>178</v>
      </c>
      <c r="B179" s="18">
        <f>A179*'EVA Calcs'!$C$19/200</f>
        <v>0.56304425456055018</v>
      </c>
      <c r="C179" s="18">
        <f xml:space="preserve"> (1/'EVA Calcs'!$C$16)*EXP(-(B179-'EVA Calcs'!$C$17)/'EVA Calcs'!$C$16)*EXP(-EXP(-(B179-'EVA Calcs'!$C$17)/'EVA Calcs'!$C$16))</f>
        <v>9.4250566664946078E-2</v>
      </c>
      <c r="D179" s="18">
        <f>EXP(-EXP(-(B179-'EVA Calcs'!$C$17)/'EVA Calcs'!$C$16))</f>
        <v>0.9930095509786252</v>
      </c>
      <c r="E179" s="18">
        <f>Main!$D$15-'PDF and CDF'!B179</f>
        <v>1.8469557454394501</v>
      </c>
    </row>
    <row r="180" spans="1:5" x14ac:dyDescent="0.25">
      <c r="A180" s="36">
        <v>179</v>
      </c>
      <c r="B180" s="18">
        <f>A180*'EVA Calcs'!$C$19/200</f>
        <v>0.56620742452999151</v>
      </c>
      <c r="C180" s="18">
        <f xml:space="preserve"> (1/'EVA Calcs'!$C$16)*EXP(-(B180-'EVA Calcs'!$C$17)/'EVA Calcs'!$C$16)*EXP(-EXP(-(B180-'EVA Calcs'!$C$17)/'EVA Calcs'!$C$16))</f>
        <v>9.0328454740190287E-2</v>
      </c>
      <c r="D180" s="18">
        <f>EXP(-EXP(-(B180-'EVA Calcs'!$C$17)/'EVA Calcs'!$C$16))</f>
        <v>0.99330143475117194</v>
      </c>
      <c r="E180" s="18">
        <f>Main!$D$15-'PDF and CDF'!B180</f>
        <v>1.8437925754700086</v>
      </c>
    </row>
    <row r="181" spans="1:5" x14ac:dyDescent="0.25">
      <c r="A181" s="36">
        <v>180</v>
      </c>
      <c r="B181" s="18">
        <f>A181*'EVA Calcs'!$C$19/200</f>
        <v>0.56937059449943273</v>
      </c>
      <c r="C181" s="18">
        <f xml:space="preserve"> (1/'EVA Calcs'!$C$16)*EXP(-(B181-'EVA Calcs'!$C$17)/'EVA Calcs'!$C$16)*EXP(-EXP(-(B181-'EVA Calcs'!$C$17)/'EVA Calcs'!$C$16))</f>
        <v>8.6568490374729939E-2</v>
      </c>
      <c r="D181" s="18">
        <f>EXP(-EXP(-(B181-'EVA Calcs'!$C$17)/'EVA Calcs'!$C$16))</f>
        <v>0.99358117044663885</v>
      </c>
      <c r="E181" s="18">
        <f>Main!$D$15-'PDF and CDF'!B181</f>
        <v>1.8406294055005674</v>
      </c>
    </row>
    <row r="182" spans="1:5" x14ac:dyDescent="0.25">
      <c r="A182" s="36">
        <v>181</v>
      </c>
      <c r="B182" s="18">
        <f>A182*'EVA Calcs'!$C$19/200</f>
        <v>0.57253376446887405</v>
      </c>
      <c r="C182" s="18">
        <f xml:space="preserve"> (1/'EVA Calcs'!$C$16)*EXP(-(B182-'EVA Calcs'!$C$17)/'EVA Calcs'!$C$16)*EXP(-EXP(-(B182-'EVA Calcs'!$C$17)/'EVA Calcs'!$C$16))</f>
        <v>8.2964057561177071E-2</v>
      </c>
      <c r="D182" s="18">
        <f>EXP(-EXP(-(B182-'EVA Calcs'!$C$17)/'EVA Calcs'!$C$16))</f>
        <v>0.99384926043095667</v>
      </c>
      <c r="E182" s="18">
        <f>Main!$D$15-'PDF and CDF'!B182</f>
        <v>1.8374662355311262</v>
      </c>
    </row>
    <row r="183" spans="1:5" x14ac:dyDescent="0.25">
      <c r="A183" s="36">
        <v>182</v>
      </c>
      <c r="B183" s="18">
        <f>A183*'EVA Calcs'!$C$19/200</f>
        <v>0.57569693443831538</v>
      </c>
      <c r="C183" s="18">
        <f xml:space="preserve"> (1/'EVA Calcs'!$C$16)*EXP(-(B183-'EVA Calcs'!$C$17)/'EVA Calcs'!$C$16)*EXP(-EXP(-(B183-'EVA Calcs'!$C$17)/'EVA Calcs'!$C$16))</f>
        <v>7.9508803035370487E-2</v>
      </c>
      <c r="D183" s="18">
        <f>EXP(-EXP(-(B183-'EVA Calcs'!$C$17)/'EVA Calcs'!$C$16))</f>
        <v>0.99410618656068572</v>
      </c>
      <c r="E183" s="18">
        <f>Main!$D$15-'PDF and CDF'!B183</f>
        <v>1.8343030655616848</v>
      </c>
    </row>
    <row r="184" spans="1:5" x14ac:dyDescent="0.25">
      <c r="A184" s="36">
        <v>183</v>
      </c>
      <c r="B184" s="18">
        <f>A184*'EVA Calcs'!$C$19/200</f>
        <v>0.57886010440775659</v>
      </c>
      <c r="C184" s="18">
        <f xml:space="preserve"> (1/'EVA Calcs'!$C$16)*EXP(-(B184-'EVA Calcs'!$C$17)/'EVA Calcs'!$C$16)*EXP(-EXP(-(B184-'EVA Calcs'!$C$17)/'EVA Calcs'!$C$16))</f>
        <v>7.619662644079607E-2</v>
      </c>
      <c r="D184" s="18">
        <f>EXP(-EXP(-(B184-'EVA Calcs'!$C$17)/'EVA Calcs'!$C$16))</f>
        <v>0.9943524109984776</v>
      </c>
      <c r="E184" s="18">
        <f>Main!$D$15-'PDF and CDF'!B184</f>
        <v>1.8311398955922435</v>
      </c>
    </row>
    <row r="185" spans="1:5" x14ac:dyDescent="0.25">
      <c r="A185" s="36">
        <v>184</v>
      </c>
      <c r="B185" s="18">
        <f>A185*'EVA Calcs'!$C$19/200</f>
        <v>0.58202327437719792</v>
      </c>
      <c r="C185" s="18">
        <f xml:space="preserve"> (1/'EVA Calcs'!$C$16)*EXP(-(B185-'EVA Calcs'!$C$17)/'EVA Calcs'!$C$16)*EXP(-EXP(-(B185-'EVA Calcs'!$C$17)/'EVA Calcs'!$C$16))</f>
        <v>7.3021670810374736E-2</v>
      </c>
      <c r="D185" s="18">
        <f>EXP(-EXP(-(B185-'EVA Calcs'!$C$17)/'EVA Calcs'!$C$16))</f>
        <v>0.9945883769979279</v>
      </c>
      <c r="E185" s="18">
        <f>Main!$D$15-'PDF and CDF'!B185</f>
        <v>1.8279767256228023</v>
      </c>
    </row>
    <row r="186" spans="1:5" x14ac:dyDescent="0.25">
      <c r="A186" s="36">
        <v>185</v>
      </c>
      <c r="B186" s="18">
        <f>A186*'EVA Calcs'!$C$19/200</f>
        <v>0.58518644434663925</v>
      </c>
      <c r="C186" s="18">
        <f xml:space="preserve"> (1/'EVA Calcs'!$C$16)*EXP(-(B186-'EVA Calcs'!$C$17)/'EVA Calcs'!$C$16)*EXP(-EXP(-(B186-'EVA Calcs'!$C$17)/'EVA Calcs'!$C$16))</f>
        <v>6.9978313359916777E-2</v>
      </c>
      <c r="D186" s="18">
        <f>EXP(-EXP(-(B186-'EVA Calcs'!$C$17)/'EVA Calcs'!$C$16))</f>
        <v>0.99481450965881624</v>
      </c>
      <c r="E186" s="18">
        <f>Main!$D$15-'PDF and CDF'!B186</f>
        <v>1.8248135556533609</v>
      </c>
    </row>
    <row r="187" spans="1:5" x14ac:dyDescent="0.25">
      <c r="A187" s="36">
        <v>186</v>
      </c>
      <c r="B187" s="18">
        <f>A187*'EVA Calcs'!$C$19/200</f>
        <v>0.58834961431608046</v>
      </c>
      <c r="C187" s="18">
        <f xml:space="preserve"> (1/'EVA Calcs'!$C$16)*EXP(-(B187-'EVA Calcs'!$C$17)/'EVA Calcs'!$C$16)*EXP(-EXP(-(B187-'EVA Calcs'!$C$17)/'EVA Calcs'!$C$16))</f>
        <v>6.7061156587175166E-2</v>
      </c>
      <c r="D187" s="18">
        <f>EXP(-EXP(-(B187-'EVA Calcs'!$C$17)/'EVA Calcs'!$C$16))</f>
        <v>0.99503121665370931</v>
      </c>
      <c r="E187" s="18">
        <f>Main!$D$15-'PDF and CDF'!B187</f>
        <v>1.8216503856839197</v>
      </c>
    </row>
    <row r="188" spans="1:5" x14ac:dyDescent="0.25">
      <c r="A188" s="36">
        <v>187</v>
      </c>
      <c r="B188" s="18">
        <f>A188*'EVA Calcs'!$C$19/200</f>
        <v>0.59151278428552179</v>
      </c>
      <c r="C188" s="18">
        <f xml:space="preserve"> (1/'EVA Calcs'!$C$16)*EXP(-(B188-'EVA Calcs'!$C$17)/'EVA Calcs'!$C$16)*EXP(-EXP(-(B188-'EVA Calcs'!$C$17)/'EVA Calcs'!$C$16))</f>
        <v>6.4265019670132054E-2</v>
      </c>
      <c r="D188" s="18">
        <f>EXP(-EXP(-(B188-'EVA Calcs'!$C$17)/'EVA Calcs'!$C$16))</f>
        <v>0.9952388889268835</v>
      </c>
      <c r="E188" s="18">
        <f>Main!$D$15-'PDF and CDF'!B188</f>
        <v>1.8184872157144785</v>
      </c>
    </row>
    <row r="189" spans="1:5" x14ac:dyDescent="0.25">
      <c r="A189" s="36">
        <v>188</v>
      </c>
      <c r="B189" s="18">
        <f>A189*'EVA Calcs'!$C$19/200</f>
        <v>0.59467595425496311</v>
      </c>
      <c r="C189" s="18">
        <f xml:space="preserve"> (1/'EVA Calcs'!$C$16)*EXP(-(B189-'EVA Calcs'!$C$17)/'EVA Calcs'!$C$16)*EXP(-EXP(-(B189-'EVA Calcs'!$C$17)/'EVA Calcs'!$C$16))</f>
        <v>6.1584930157906941E-2</v>
      </c>
      <c r="D189" s="18">
        <f>EXP(-EXP(-(B189-'EVA Calcs'!$C$17)/'EVA Calcs'!$C$16))</f>
        <v>0.99543790136650323</v>
      </c>
      <c r="E189" s="18">
        <f>Main!$D$15-'PDF and CDF'!B189</f>
        <v>1.815324045745037</v>
      </c>
    </row>
    <row r="190" spans="1:5" x14ac:dyDescent="0.25">
      <c r="A190" s="36">
        <v>189</v>
      </c>
      <c r="B190" s="18">
        <f>A190*'EVA Calcs'!$C$19/200</f>
        <v>0.59783912422440433</v>
      </c>
      <c r="C190" s="18">
        <f xml:space="preserve"> (1/'EVA Calcs'!$C$16)*EXP(-(B190-'EVA Calcs'!$C$17)/'EVA Calcs'!$C$16)*EXP(-EXP(-(B190-'EVA Calcs'!$C$17)/'EVA Calcs'!$C$16))</f>
        <v>5.9016115947479152E-2</v>
      </c>
      <c r="D190" s="18">
        <f>EXP(-EXP(-(B190-'EVA Calcs'!$C$17)/'EVA Calcs'!$C$16))</f>
        <v>0.99562861345097087</v>
      </c>
      <c r="E190" s="18">
        <f>Main!$D$15-'PDF and CDF'!B190</f>
        <v>1.8121608757755958</v>
      </c>
    </row>
    <row r="191" spans="1:5" x14ac:dyDescent="0.25">
      <c r="A191" s="36">
        <v>190</v>
      </c>
      <c r="B191" s="18">
        <f>A191*'EVA Calcs'!$C$19/200</f>
        <v>0.60100229419384565</v>
      </c>
      <c r="C191" s="18">
        <f xml:space="preserve"> (1/'EVA Calcs'!$C$16)*EXP(-(B191-'EVA Calcs'!$C$17)/'EVA Calcs'!$C$16)*EXP(-EXP(-(B191-'EVA Calcs'!$C$17)/'EVA Calcs'!$C$16))</f>
        <v>5.6553997539268791E-2</v>
      </c>
      <c r="D191" s="18">
        <f>EXP(-EXP(-(B191-'EVA Calcs'!$C$17)/'EVA Calcs'!$C$16))</f>
        <v>0.9958113698703398</v>
      </c>
      <c r="E191" s="18">
        <f>Main!$D$15-'PDF and CDF'!B191</f>
        <v>1.8089977058061546</v>
      </c>
    </row>
    <row r="192" spans="1:5" x14ac:dyDescent="0.25">
      <c r="A192" s="36">
        <v>191</v>
      </c>
      <c r="B192" s="18">
        <f>A192*'EVA Calcs'!$C$19/200</f>
        <v>0.60416546416328698</v>
      </c>
      <c r="C192" s="18">
        <f xml:space="preserve"> (1/'EVA Calcs'!$C$16)*EXP(-(B192-'EVA Calcs'!$C$17)/'EVA Calcs'!$C$16)*EXP(-EXP(-(B192-'EVA Calcs'!$C$17)/'EVA Calcs'!$C$16))</f>
        <v>5.4194180564511557E-2</v>
      </c>
      <c r="D192" s="18">
        <f>EXP(-EXP(-(B192-'EVA Calcs'!$C$17)/'EVA Calcs'!$C$16))</f>
        <v>0.99598650112366216</v>
      </c>
      <c r="E192" s="18">
        <f>Main!$D$15-'PDF and CDF'!B192</f>
        <v>1.8058345358367132</v>
      </c>
    </row>
    <row r="193" spans="1:5" x14ac:dyDescent="0.25">
      <c r="A193" s="36">
        <v>192</v>
      </c>
      <c r="B193" s="18">
        <f>A193*'EVA Calcs'!$C$19/200</f>
        <v>0.6073286341327282</v>
      </c>
      <c r="C193" s="18">
        <f xml:space="preserve"> (1/'EVA Calcs'!$C$16)*EXP(-(B193-'EVA Calcs'!$C$17)/'EVA Calcs'!$C$16)*EXP(-EXP(-(B193-'EVA Calcs'!$C$17)/'EVA Calcs'!$C$16))</f>
        <v>5.1932448577287724E-2</v>
      </c>
      <c r="D193" s="18">
        <f>EXP(-EXP(-(B193-'EVA Calcs'!$C$17)/'EVA Calcs'!$C$16))</f>
        <v>0.99615432409312099</v>
      </c>
      <c r="E193" s="18">
        <f>Main!$D$15-'PDF and CDF'!B193</f>
        <v>1.8026713658672719</v>
      </c>
    </row>
    <row r="194" spans="1:5" x14ac:dyDescent="0.25">
      <c r="A194" s="36">
        <v>193</v>
      </c>
      <c r="B194" s="18">
        <f>A194*'EVA Calcs'!$C$19/200</f>
        <v>0.61049180410216952</v>
      </c>
      <c r="C194" s="18">
        <f xml:space="preserve"> (1/'EVA Calcs'!$C$16)*EXP(-(B194-'EVA Calcs'!$C$17)/'EVA Calcs'!$C$16)*EXP(-EXP(-(B194-'EVA Calcs'!$C$17)/'EVA Calcs'!$C$16))</f>
        <v>4.9764756104027044E-2</v>
      </c>
      <c r="D194" s="18">
        <f>EXP(-EXP(-(B194-'EVA Calcs'!$C$17)/'EVA Calcs'!$C$16))</f>
        <v>0.99631514259577025</v>
      </c>
      <c r="E194" s="18">
        <f>Main!$D$15-'PDF and CDF'!B194</f>
        <v>1.7995081958978307</v>
      </c>
    </row>
    <row r="195" spans="1:5" x14ac:dyDescent="0.25">
      <c r="A195" s="36">
        <v>194</v>
      </c>
      <c r="B195" s="18">
        <f>A195*'EVA Calcs'!$C$19/200</f>
        <v>0.61365497407161085</v>
      </c>
      <c r="C195" s="18">
        <f xml:space="preserve"> (1/'EVA Calcs'!$C$16)*EXP(-(B195-'EVA Calcs'!$C$17)/'EVA Calcs'!$C$16)*EXP(-EXP(-(B195-'EVA Calcs'!$C$17)/'EVA Calcs'!$C$16))</f>
        <v>4.7687221943297893E-2</v>
      </c>
      <c r="D195" s="18">
        <f>EXP(-EXP(-(B195-'EVA Calcs'!$C$17)/'EVA Calcs'!$C$16))</f>
        <v>0.99646924791368729</v>
      </c>
      <c r="E195" s="18">
        <f>Main!$D$15-'PDF and CDF'!B195</f>
        <v>1.7963450259283893</v>
      </c>
    </row>
    <row r="196" spans="1:5" x14ac:dyDescent="0.25">
      <c r="A196" s="36">
        <v>195</v>
      </c>
      <c r="B196" s="18">
        <f>A196*'EVA Calcs'!$C$19/200</f>
        <v>0.61681814404105206</v>
      </c>
      <c r="C196" s="18">
        <f xml:space="preserve"> (1/'EVA Calcs'!$C$16)*EXP(-(B196-'EVA Calcs'!$C$17)/'EVA Calcs'!$C$16)*EXP(-EXP(-(B196-'EVA Calcs'!$C$17)/'EVA Calcs'!$C$16))</f>
        <v>4.5696122708701561E-2</v>
      </c>
      <c r="D196" s="18">
        <f>EXP(-EXP(-(B196-'EVA Calcs'!$C$17)/'EVA Calcs'!$C$16))</f>
        <v>0.99661691930331842</v>
      </c>
      <c r="E196" s="18">
        <f>Main!$D$15-'PDF and CDF'!B196</f>
        <v>1.7931818559589481</v>
      </c>
    </row>
    <row r="197" spans="1:5" x14ac:dyDescent="0.25">
      <c r="A197" s="36">
        <v>196</v>
      </c>
      <c r="B197" s="18">
        <f>A197*'EVA Calcs'!$C$19/200</f>
        <v>0.61998131401049339</v>
      </c>
      <c r="C197" s="18">
        <f xml:space="preserve"> (1/'EVA Calcs'!$C$16)*EXP(-(B197-'EVA Calcs'!$C$17)/'EVA Calcs'!$C$16)*EXP(-EXP(-(B197-'EVA Calcs'!$C$17)/'EVA Calcs'!$C$16))</f>
        <v>4.3787886607728803E-2</v>
      </c>
      <c r="D197" s="18">
        <f>EXP(-EXP(-(B197-'EVA Calcs'!$C$17)/'EVA Calcs'!$C$16))</f>
        <v>0.99675842448477359</v>
      </c>
      <c r="E197" s="18">
        <f>Main!$D$15-'PDF and CDF'!B197</f>
        <v>1.7900186859895069</v>
      </c>
    </row>
    <row r="198" spans="1:5" x14ac:dyDescent="0.25">
      <c r="A198" s="36">
        <v>197</v>
      </c>
      <c r="B198" s="18">
        <f>A198*'EVA Calcs'!$C$19/200</f>
        <v>0.62314448397993472</v>
      </c>
      <c r="C198" s="18">
        <f xml:space="preserve"> (1/'EVA Calcs'!$C$16)*EXP(-(B198-'EVA Calcs'!$C$17)/'EVA Calcs'!$C$16)*EXP(-EXP(-(B198-'EVA Calcs'!$C$17)/'EVA Calcs'!$C$16))</f>
        <v>4.1959087449490527E-2</v>
      </c>
      <c r="D198" s="18">
        <f>EXP(-EXP(-(B198-'EVA Calcs'!$C$17)/'EVA Calcs'!$C$16))</f>
        <v>0.99689402011180772</v>
      </c>
      <c r="E198" s="18">
        <f>Main!$D$15-'PDF and CDF'!B198</f>
        <v>1.7868555160200654</v>
      </c>
    </row>
    <row r="199" spans="1:5" x14ac:dyDescent="0.25">
      <c r="A199" s="36">
        <v>198</v>
      </c>
      <c r="B199" s="18">
        <f>A199*'EVA Calcs'!$C$19/200</f>
        <v>0.62630765394937593</v>
      </c>
      <c r="C199" s="18">
        <f xml:space="preserve"> (1/'EVA Calcs'!$C$16)*EXP(-(B199-'EVA Calcs'!$C$17)/'EVA Calcs'!$C$16)*EXP(-EXP(-(B199-'EVA Calcs'!$C$17)/'EVA Calcs'!$C$16))</f>
        <v>4.0206438874305556E-2</v>
      </c>
      <c r="D199" s="18">
        <f>EXP(-EXP(-(B199-'EVA Calcs'!$C$17)/'EVA Calcs'!$C$16))</f>
        <v>0.99702395222319851</v>
      </c>
      <c r="E199" s="18">
        <f>Main!$D$15-'PDF and CDF'!B199</f>
        <v>1.7836923460506242</v>
      </c>
    </row>
    <row r="200" spans="1:5" x14ac:dyDescent="0.25">
      <c r="A200" s="36">
        <v>199</v>
      </c>
      <c r="B200" s="18">
        <f>A200*'EVA Calcs'!$C$19/200</f>
        <v>0.62947082391881726</v>
      </c>
      <c r="C200" s="18">
        <f xml:space="preserve"> (1/'EVA Calcs'!$C$16)*EXP(-(B200-'EVA Calcs'!$C$17)/'EVA Calcs'!$C$16)*EXP(-EXP(-(B200-'EVA Calcs'!$C$17)/'EVA Calcs'!$C$16))</f>
        <v>3.8526788798216513E-2</v>
      </c>
      <c r="D200" s="18">
        <f>EXP(-EXP(-(B200-'EVA Calcs'!$C$17)/'EVA Calcs'!$C$16))</f>
        <v>0.99714845667621466</v>
      </c>
      <c r="E200" s="18">
        <f>Main!$D$15-'PDF and CDF'!B200</f>
        <v>1.780529176081183</v>
      </c>
    </row>
    <row r="201" spans="1:5" x14ac:dyDescent="0.25">
      <c r="A201" s="36">
        <v>200</v>
      </c>
      <c r="B201" s="18">
        <f>A201*'EVA Calcs'!$C$19/200</f>
        <v>0.63263399388825858</v>
      </c>
      <c r="C201" s="18">
        <f xml:space="preserve"> (1/'EVA Calcs'!$C$16)*EXP(-(B201-'EVA Calcs'!$C$17)/'EVA Calcs'!$C$16)*EXP(-EXP(-(B201-'EVA Calcs'!$C$17)/'EVA Calcs'!$C$16))</f>
        <v>3.6917114065604398E-2</v>
      </c>
      <c r="D201" s="18">
        <f>EXP(-EXP(-(B201-'EVA Calcs'!$C$17)/'EVA Calcs'!$C$16))</f>
        <v>0.99726775956284153</v>
      </c>
      <c r="E201" s="18">
        <f>Main!$D$15-'PDF and CDF'!B201</f>
        <v>1.7773660061117416</v>
      </c>
    </row>
  </sheetData>
  <sheetProtection sheet="1" objects="1" scenarios="1"/>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2:C304"/>
  <sheetViews>
    <sheetView showGridLines="0" workbookViewId="0"/>
  </sheetViews>
  <sheetFormatPr defaultRowHeight="13.2" x14ac:dyDescent="0.25"/>
  <cols>
    <col min="1" max="1" width="9.21875"/>
    <col min="3" max="3" width="9.21875"/>
  </cols>
  <sheetData>
    <row r="2" spans="1:3" ht="26.4" x14ac:dyDescent="0.25">
      <c r="A2" s="12" t="s">
        <v>74</v>
      </c>
      <c r="B2" s="12" t="s">
        <v>76</v>
      </c>
      <c r="C2" s="12" t="s">
        <v>75</v>
      </c>
    </row>
    <row r="3" spans="1:3" x14ac:dyDescent="0.25">
      <c r="A3" s="40">
        <f>IF('EVA Calcs'!V35="Y",'EVA Calcs'!C35,NA())</f>
        <v>7.2299999999999809E-2</v>
      </c>
      <c r="B3" s="40">
        <f>IF('EVA Calcs'!V35="Y",'EVA Calcs'!D35,NA())</f>
        <v>2.7247956403269754E-3</v>
      </c>
      <c r="C3" s="40">
        <f>IF('EVA Calcs'!V35="Y",'EVA Calcs'!E35,NA())</f>
        <v>-1.7758607260199126</v>
      </c>
    </row>
    <row r="4" spans="1:3" x14ac:dyDescent="0.25">
      <c r="A4" s="40">
        <f>IF('EVA Calcs'!V36="Y",'EVA Calcs'!C36,NA())</f>
        <v>7.2299999999999809E-2</v>
      </c>
      <c r="B4" s="40">
        <f>IF('EVA Calcs'!V36="Y",'EVA Calcs'!D36,NA())</f>
        <v>5.4495912806539508E-3</v>
      </c>
      <c r="C4" s="40">
        <f>IF('EVA Calcs'!V36="Y",'EVA Calcs'!E36,NA())</f>
        <v>-1.6510048455776358</v>
      </c>
    </row>
    <row r="5" spans="1:3" x14ac:dyDescent="0.25">
      <c r="A5" s="40">
        <f>IF('EVA Calcs'!V37="Y",'EVA Calcs'!C37,NA())</f>
        <v>9.6400000000000041E-2</v>
      </c>
      <c r="B5" s="40">
        <f>IF('EVA Calcs'!V37="Y",'EVA Calcs'!D37,NA())</f>
        <v>8.1743869209809257E-3</v>
      </c>
      <c r="C5" s="40">
        <f>IF('EVA Calcs'!V37="Y",'EVA Calcs'!E37,NA())</f>
        <v>-1.5700210884047221</v>
      </c>
    </row>
    <row r="6" spans="1:3" x14ac:dyDescent="0.25">
      <c r="A6" s="40">
        <f>IF('EVA Calcs'!V38="Y",'EVA Calcs'!C38,NA())</f>
        <v>9.6400000000000041E-2</v>
      </c>
      <c r="B6" s="40">
        <f>IF('EVA Calcs'!V38="Y",'EVA Calcs'!D38,NA())</f>
        <v>1.0899182561307902E-2</v>
      </c>
      <c r="C6" s="40">
        <f>IF('EVA Calcs'!V38="Y",'EVA Calcs'!E38,NA())</f>
        <v>-1.5083056643593835</v>
      </c>
    </row>
    <row r="7" spans="1:3" x14ac:dyDescent="0.25">
      <c r="A7" s="40">
        <f>IF('EVA Calcs'!V39="Y",'EVA Calcs'!C39,NA())</f>
        <v>0.12049999999999983</v>
      </c>
      <c r="B7" s="40">
        <f>IF('EVA Calcs'!V39="Y",'EVA Calcs'!D39,NA())</f>
        <v>1.3623978201634877E-2</v>
      </c>
      <c r="C7" s="40">
        <f>IF('EVA Calcs'!V39="Y",'EVA Calcs'!E39,NA())</f>
        <v>-1.457666651188656</v>
      </c>
    </row>
    <row r="8" spans="1:3" x14ac:dyDescent="0.25">
      <c r="A8" s="40">
        <f>IF('EVA Calcs'!V40="Y",'EVA Calcs'!C40,NA())</f>
        <v>0.12049999999999983</v>
      </c>
      <c r="B8" s="40">
        <f>IF('EVA Calcs'!V40="Y",'EVA Calcs'!D40,NA())</f>
        <v>1.6348773841961851E-2</v>
      </c>
      <c r="C8" s="40">
        <f>IF('EVA Calcs'!V40="Y",'EVA Calcs'!E40,NA())</f>
        <v>-1.4142991358127015</v>
      </c>
    </row>
    <row r="9" spans="1:3" x14ac:dyDescent="0.25">
      <c r="A9" s="40">
        <f>IF('EVA Calcs'!V41="Y",'EVA Calcs'!C41,NA())</f>
        <v>0.12049999999999983</v>
      </c>
      <c r="B9" s="40">
        <f>IF('EVA Calcs'!V41="Y",'EVA Calcs'!D41,NA())</f>
        <v>1.9073569482288829E-2</v>
      </c>
      <c r="C9" s="40">
        <f>IF('EVA Calcs'!V41="Y",'EVA Calcs'!E41,NA())</f>
        <v>-1.3761055558312669</v>
      </c>
    </row>
    <row r="10" spans="1:3" x14ac:dyDescent="0.25">
      <c r="A10" s="40">
        <f>IF('EVA Calcs'!V42="Y",'EVA Calcs'!C42,NA())</f>
        <v>0.12049999999999983</v>
      </c>
      <c r="B10" s="40">
        <f>IF('EVA Calcs'!V42="Y",'EVA Calcs'!D42,NA())</f>
        <v>2.1798365122615803E-2</v>
      </c>
      <c r="C10" s="40">
        <f>IF('EVA Calcs'!V42="Y",'EVA Calcs'!E42,NA())</f>
        <v>-1.3417990413120324</v>
      </c>
    </row>
    <row r="11" spans="1:3" x14ac:dyDescent="0.25">
      <c r="A11" s="40">
        <f>IF('EVA Calcs'!V43="Y",'EVA Calcs'!C43,NA())</f>
        <v>0.12049999999999983</v>
      </c>
      <c r="B11" s="40">
        <f>IF('EVA Calcs'!V43="Y",'EVA Calcs'!D43,NA())</f>
        <v>2.4523160762942781E-2</v>
      </c>
      <c r="C11" s="40">
        <f>IF('EVA Calcs'!V43="Y",'EVA Calcs'!E43,NA())</f>
        <v>-1.3105296671689599</v>
      </c>
    </row>
    <row r="12" spans="1:3" x14ac:dyDescent="0.25">
      <c r="A12" s="40">
        <f>IF('EVA Calcs'!V44="Y",'EVA Calcs'!C44,NA())</f>
        <v>0.12049999999999983</v>
      </c>
      <c r="B12" s="40">
        <f>IF('EVA Calcs'!V44="Y",'EVA Calcs'!D44,NA())</f>
        <v>2.7247956403269755E-2</v>
      </c>
      <c r="C12" s="40">
        <f>IF('EVA Calcs'!V44="Y",'EVA Calcs'!E44,NA())</f>
        <v>-1.2817048689971569</v>
      </c>
    </row>
    <row r="13" spans="1:3" x14ac:dyDescent="0.25">
      <c r="A13" s="40">
        <f>IF('EVA Calcs'!V45="Y",'EVA Calcs'!C45,NA())</f>
        <v>0.12049999999999983</v>
      </c>
      <c r="B13" s="40">
        <f>IF('EVA Calcs'!V45="Y",'EVA Calcs'!D45,NA())</f>
        <v>2.9972752043596729E-2</v>
      </c>
      <c r="C13" s="40">
        <f>IF('EVA Calcs'!V45="Y",'EVA Calcs'!E45,NA())</f>
        <v>-1.2548940034426439</v>
      </c>
    </row>
    <row r="14" spans="1:3" x14ac:dyDescent="0.25">
      <c r="A14" s="40">
        <f>IF('EVA Calcs'!V46="Y",'EVA Calcs'!C46,NA())</f>
        <v>0.12049999999999983</v>
      </c>
      <c r="B14" s="40">
        <f>IF('EVA Calcs'!V46="Y",'EVA Calcs'!D46,NA())</f>
        <v>3.2697547683923703E-2</v>
      </c>
      <c r="C14" s="40">
        <f>IF('EVA Calcs'!V46="Y",'EVA Calcs'!E46,NA())</f>
        <v>-1.2297736411259936</v>
      </c>
    </row>
    <row r="15" spans="1:3" x14ac:dyDescent="0.25">
      <c r="A15" s="40">
        <f>IF('EVA Calcs'!V47="Y",'EVA Calcs'!C47,NA())</f>
        <v>0.12049999999999983</v>
      </c>
      <c r="B15" s="40">
        <f>IF('EVA Calcs'!V47="Y",'EVA Calcs'!D47,NA())</f>
        <v>3.5422343324250684E-2</v>
      </c>
      <c r="C15" s="40">
        <f>IF('EVA Calcs'!V47="Y",'EVA Calcs'!E47,NA())</f>
        <v>-1.206094299540645</v>
      </c>
    </row>
    <row r="16" spans="1:3" x14ac:dyDescent="0.25">
      <c r="A16" s="40">
        <f>IF('EVA Calcs'!V48="Y",'EVA Calcs'!C48,NA())</f>
        <v>0.12049999999999983</v>
      </c>
      <c r="B16" s="40">
        <f>IF('EVA Calcs'!V48="Y",'EVA Calcs'!D48,NA())</f>
        <v>3.8147138964577658E-2</v>
      </c>
      <c r="C16" s="40">
        <f>IF('EVA Calcs'!V48="Y",'EVA Calcs'!E48,NA())</f>
        <v>-1.1836592291605523</v>
      </c>
    </row>
    <row r="17" spans="1:3" x14ac:dyDescent="0.25">
      <c r="A17" s="40">
        <f>IF('EVA Calcs'!V49="Y",'EVA Calcs'!C49,NA())</f>
        <v>0.12049999999999983</v>
      </c>
      <c r="B17" s="40">
        <f>IF('EVA Calcs'!V49="Y",'EVA Calcs'!D49,NA())</f>
        <v>4.0871934604904632E-2</v>
      </c>
      <c r="C17" s="40">
        <f>IF('EVA Calcs'!V49="Y",'EVA Calcs'!E49,NA())</f>
        <v>-1.1623103463878419</v>
      </c>
    </row>
    <row r="18" spans="1:3" x14ac:dyDescent="0.25">
      <c r="A18" s="40">
        <f>IF('EVA Calcs'!V50="Y",'EVA Calcs'!C50,NA())</f>
        <v>0.12049999999999983</v>
      </c>
      <c r="B18" s="40">
        <f>IF('EVA Calcs'!V50="Y",'EVA Calcs'!D50,NA())</f>
        <v>4.3596730245231606E-2</v>
      </c>
      <c r="C18" s="40">
        <f>IF('EVA Calcs'!V50="Y",'EVA Calcs'!E50,NA())</f>
        <v>-1.1419185949894988</v>
      </c>
    </row>
    <row r="19" spans="1:3" x14ac:dyDescent="0.25">
      <c r="A19" s="40">
        <f>IF('EVA Calcs'!V51="Y",'EVA Calcs'!C51,NA())</f>
        <v>0.12049999999999983</v>
      </c>
      <c r="B19" s="40">
        <f>IF('EVA Calcs'!V51="Y",'EVA Calcs'!D51,NA())</f>
        <v>4.632152588555858E-2</v>
      </c>
      <c r="C19" s="40">
        <f>IF('EVA Calcs'!V51="Y",'EVA Calcs'!E51,NA())</f>
        <v>-1.1223771552623278</v>
      </c>
    </row>
    <row r="20" spans="1:3" x14ac:dyDescent="0.25">
      <c r="A20" s="40">
        <f>IF('EVA Calcs'!V52="Y",'EVA Calcs'!C52,NA())</f>
        <v>0.12049999999999983</v>
      </c>
      <c r="B20" s="40">
        <f>IF('EVA Calcs'!V52="Y",'EVA Calcs'!D52,NA())</f>
        <v>4.9046321525885561E-2</v>
      </c>
      <c r="C20" s="40">
        <f>IF('EVA Calcs'!V52="Y",'EVA Calcs'!E52,NA())</f>
        <v>-1.1035965433274471</v>
      </c>
    </row>
    <row r="21" spans="1:3" x14ac:dyDescent="0.25">
      <c r="A21" s="40">
        <f>IF('EVA Calcs'!V53="Y",'EVA Calcs'!C53,NA())</f>
        <v>0.12049999999999983</v>
      </c>
      <c r="B21" s="40">
        <f>IF('EVA Calcs'!V53="Y",'EVA Calcs'!D53,NA())</f>
        <v>5.1771117166212535E-2</v>
      </c>
      <c r="C21" s="40">
        <f>IF('EVA Calcs'!V53="Y",'EVA Calcs'!E53,NA())</f>
        <v>-1.0855009997724492</v>
      </c>
    </row>
    <row r="22" spans="1:3" x14ac:dyDescent="0.25">
      <c r="A22" s="40">
        <f>IF('EVA Calcs'!V54="Y",'EVA Calcs'!C54,NA())</f>
        <v>0.12049999999999983</v>
      </c>
      <c r="B22" s="40">
        <f>IF('EVA Calcs'!V54="Y",'EVA Calcs'!D54,NA())</f>
        <v>5.4495912806539509E-2</v>
      </c>
      <c r="C22" s="40">
        <f>IF('EVA Calcs'!V54="Y",'EVA Calcs'!E54,NA())</f>
        <v>-1.0680257790947789</v>
      </c>
    </row>
    <row r="23" spans="1:3" x14ac:dyDescent="0.25">
      <c r="A23" s="40">
        <f>IF('EVA Calcs'!V55="Y",'EVA Calcs'!C55,NA())</f>
        <v>0.12049999999999983</v>
      </c>
      <c r="B23" s="40">
        <f>IF('EVA Calcs'!V55="Y",'EVA Calcs'!D55,NA())</f>
        <v>5.7220708446866483E-2</v>
      </c>
      <c r="C23" s="40">
        <f>IF('EVA Calcs'!V55="Y",'EVA Calcs'!E55,NA())</f>
        <v>-1.0511150818848136</v>
      </c>
    </row>
    <row r="24" spans="1:3" x14ac:dyDescent="0.25">
      <c r="A24" s="40">
        <f>IF('EVA Calcs'!V56="Y",'EVA Calcs'!C56,NA())</f>
        <v>0.12049999999999983</v>
      </c>
      <c r="B24" s="40">
        <f>IF('EVA Calcs'!V56="Y",'EVA Calcs'!D56,NA())</f>
        <v>5.9945504087193457E-2</v>
      </c>
      <c r="C24" s="40">
        <f>IF('EVA Calcs'!V56="Y",'EVA Calcs'!E56,NA())</f>
        <v>-1.0347204542755852</v>
      </c>
    </row>
    <row r="25" spans="1:3" x14ac:dyDescent="0.25">
      <c r="A25" s="40">
        <f>IF('EVA Calcs'!V57="Y",'EVA Calcs'!C57,NA())</f>
        <v>0.12049999999999983</v>
      </c>
      <c r="B25" s="40">
        <f>IF('EVA Calcs'!V57="Y",'EVA Calcs'!D57,NA())</f>
        <v>6.2670299727520432E-2</v>
      </c>
      <c r="C25" s="40">
        <f>IF('EVA Calcs'!V57="Y",'EVA Calcs'!E57,NA())</f>
        <v>-1.0187995328211383</v>
      </c>
    </row>
    <row r="26" spans="1:3" x14ac:dyDescent="0.25">
      <c r="A26" s="40">
        <f>IF('EVA Calcs'!V58="Y",'EVA Calcs'!C58,NA())</f>
        <v>0.12049999999999983</v>
      </c>
      <c r="B26" s="40">
        <f>IF('EVA Calcs'!V58="Y",'EVA Calcs'!D58,NA())</f>
        <v>6.5395095367847406E-2</v>
      </c>
      <c r="C26" s="40">
        <f>IF('EVA Calcs'!V58="Y",'EVA Calcs'!E58,NA())</f>
        <v>-1.0033150486058284</v>
      </c>
    </row>
    <row r="27" spans="1:3" x14ac:dyDescent="0.25">
      <c r="A27" s="40">
        <f>IF('EVA Calcs'!V59="Y",'EVA Calcs'!C59,NA())</f>
        <v>0.12049999999999983</v>
      </c>
      <c r="B27" s="40">
        <f>IF('EVA Calcs'!V59="Y",'EVA Calcs'!D59,NA())</f>
        <v>6.8119891008174394E-2</v>
      </c>
      <c r="C27" s="40">
        <f>IF('EVA Calcs'!V59="Y",'EVA Calcs'!E59,NA())</f>
        <v>-0.98823402856251119</v>
      </c>
    </row>
    <row r="28" spans="1:3" x14ac:dyDescent="0.25">
      <c r="A28" s="40">
        <f>IF('EVA Calcs'!V60="Y",'EVA Calcs'!C60,NA())</f>
        <v>0.12049999999999983</v>
      </c>
      <c r="B28" s="40">
        <f>IF('EVA Calcs'!V60="Y",'EVA Calcs'!D60,NA())</f>
        <v>7.0844686648501368E-2</v>
      </c>
      <c r="C28" s="40">
        <f>IF('EVA Calcs'!V60="Y",'EVA Calcs'!E60,NA())</f>
        <v>-0.9735271486842928</v>
      </c>
    </row>
    <row r="29" spans="1:3" x14ac:dyDescent="0.25">
      <c r="A29" s="40">
        <f>IF('EVA Calcs'!V61="Y",'EVA Calcs'!C61,NA())</f>
        <v>0.12049999999999983</v>
      </c>
      <c r="B29" s="40">
        <f>IF('EVA Calcs'!V61="Y",'EVA Calcs'!D61,NA())</f>
        <v>7.3569482288828342E-2</v>
      </c>
      <c r="C29" s="40">
        <f>IF('EVA Calcs'!V61="Y",'EVA Calcs'!E61,NA())</f>
        <v>-0.95916820555626825</v>
      </c>
    </row>
    <row r="30" spans="1:3" x14ac:dyDescent="0.25">
      <c r="A30" s="40">
        <f>IF('EVA Calcs'!V62="Y",'EVA Calcs'!C62,NA())</f>
        <v>0.12049999999999983</v>
      </c>
      <c r="B30" s="40">
        <f>IF('EVA Calcs'!V62="Y",'EVA Calcs'!D62,NA())</f>
        <v>7.6294277929155316E-2</v>
      </c>
      <c r="C30" s="40">
        <f>IF('EVA Calcs'!V62="Y",'EVA Calcs'!E62,NA())</f>
        <v>-0.94513368101394435</v>
      </c>
    </row>
    <row r="31" spans="1:3" x14ac:dyDescent="0.25">
      <c r="A31" s="40">
        <f>IF('EVA Calcs'!V63="Y",'EVA Calcs'!C63,NA())</f>
        <v>0.12049999999999983</v>
      </c>
      <c r="B31" s="40">
        <f>IF('EVA Calcs'!V63="Y",'EVA Calcs'!D63,NA())</f>
        <v>7.901907356948229E-2</v>
      </c>
      <c r="C31" s="40">
        <f>IF('EVA Calcs'!V63="Y",'EVA Calcs'!E63,NA())</f>
        <v>-0.93140238080105531</v>
      </c>
    </row>
    <row r="32" spans="1:3" x14ac:dyDescent="0.25">
      <c r="A32" s="40">
        <f>IF('EVA Calcs'!V64="Y",'EVA Calcs'!C64,NA())</f>
        <v>0.12049999999999983</v>
      </c>
      <c r="B32" s="40">
        <f>IF('EVA Calcs'!V64="Y",'EVA Calcs'!D64,NA())</f>
        <v>8.1743869209809264E-2</v>
      </c>
      <c r="C32" s="40">
        <f>IF('EVA Calcs'!V64="Y",'EVA Calcs'!E64,NA())</f>
        <v>-0.91795513254753835</v>
      </c>
    </row>
    <row r="33" spans="1:3" x14ac:dyDescent="0.25">
      <c r="A33" s="40">
        <f>IF('EVA Calcs'!V65="Y",'EVA Calcs'!C65,NA())</f>
        <v>0.12049999999999983</v>
      </c>
      <c r="B33" s="40">
        <f>IF('EVA Calcs'!V65="Y",'EVA Calcs'!D65,NA())</f>
        <v>8.4468664850136238E-2</v>
      </c>
      <c r="C33" s="40">
        <f>IF('EVA Calcs'!V65="Y",'EVA Calcs'!E65,NA())</f>
        <v>-0.90477453168930655</v>
      </c>
    </row>
    <row r="34" spans="1:3" x14ac:dyDescent="0.25">
      <c r="A34" s="40">
        <f>IF('EVA Calcs'!V66="Y",'EVA Calcs'!C66,NA())</f>
        <v>0.12049999999999983</v>
      </c>
      <c r="B34" s="40">
        <f>IF('EVA Calcs'!V66="Y",'EVA Calcs'!D66,NA())</f>
        <v>8.7193460490463212E-2</v>
      </c>
      <c r="C34" s="40">
        <f>IF('EVA Calcs'!V66="Y",'EVA Calcs'!E66,NA())</f>
        <v>-0.89184472642822787</v>
      </c>
    </row>
    <row r="35" spans="1:3" x14ac:dyDescent="0.25">
      <c r="A35" s="40">
        <f>IF('EVA Calcs'!V67="Y",'EVA Calcs'!C67,NA())</f>
        <v>0.14460000000000006</v>
      </c>
      <c r="B35" s="40">
        <f>IF('EVA Calcs'!V67="Y",'EVA Calcs'!D67,NA())</f>
        <v>8.9918256130790186E-2</v>
      </c>
      <c r="C35" s="40">
        <f>IF('EVA Calcs'!V67="Y",'EVA Calcs'!E67,NA())</f>
        <v>-0.87915123470829337</v>
      </c>
    </row>
    <row r="36" spans="1:3" x14ac:dyDescent="0.25">
      <c r="A36" s="40">
        <f>IF('EVA Calcs'!V68="Y",'EVA Calcs'!C68,NA())</f>
        <v>0.14460000000000006</v>
      </c>
      <c r="B36" s="40">
        <f>IF('EVA Calcs'!V68="Y",'EVA Calcs'!D68,NA())</f>
        <v>9.264305177111716E-2</v>
      </c>
      <c r="C36" s="40">
        <f>IF('EVA Calcs'!V68="Y",'EVA Calcs'!E68,NA())</f>
        <v>-0.8666807876209639</v>
      </c>
    </row>
    <row r="37" spans="1:3" x14ac:dyDescent="0.25">
      <c r="A37" s="40">
        <f>IF('EVA Calcs'!V69="Y",'EVA Calcs'!C69,NA())</f>
        <v>0.14460000000000006</v>
      </c>
      <c r="B37" s="40">
        <f>IF('EVA Calcs'!V69="Y",'EVA Calcs'!D69,NA())</f>
        <v>9.5367847411444148E-2</v>
      </c>
      <c r="C37" s="40">
        <f>IF('EVA Calcs'!V69="Y",'EVA Calcs'!E69,NA())</f>
        <v>-0.85442119476232992</v>
      </c>
    </row>
    <row r="38" spans="1:3" x14ac:dyDescent="0.25">
      <c r="A38" s="40">
        <f>IF('EVA Calcs'!V70="Y",'EVA Calcs'!C70,NA())</f>
        <v>0.14460000000000006</v>
      </c>
      <c r="B38" s="40">
        <f>IF('EVA Calcs'!V70="Y",'EVA Calcs'!D70,NA())</f>
        <v>9.8092643051771122E-2</v>
      </c>
      <c r="C38" s="40">
        <f>IF('EVA Calcs'!V70="Y",'EVA Calcs'!E70,NA())</f>
        <v>-0.84236122792875645</v>
      </c>
    </row>
    <row r="39" spans="1:3" x14ac:dyDescent="0.25">
      <c r="A39" s="40">
        <f>IF('EVA Calcs'!V71="Y",'EVA Calcs'!C71,NA())</f>
        <v>0.14460000000000006</v>
      </c>
      <c r="B39" s="40">
        <f>IF('EVA Calcs'!V71="Y",'EVA Calcs'!D71,NA())</f>
        <v>0.1008174386920981</v>
      </c>
      <c r="C39" s="40">
        <f>IF('EVA Calcs'!V71="Y",'EVA Calcs'!E71,NA())</f>
        <v>-0.83049052021574266</v>
      </c>
    </row>
    <row r="40" spans="1:3" x14ac:dyDescent="0.25">
      <c r="A40" s="40">
        <f>IF('EVA Calcs'!V72="Y",'EVA Calcs'!C72,NA())</f>
        <v>0.14460000000000006</v>
      </c>
      <c r="B40" s="40">
        <f>IF('EVA Calcs'!V72="Y",'EVA Calcs'!D72,NA())</f>
        <v>0.10354223433242507</v>
      </c>
      <c r="C40" s="40">
        <f>IF('EVA Calcs'!V72="Y",'EVA Calcs'!E72,NA())</f>
        <v>-0.81879947812076181</v>
      </c>
    </row>
    <row r="41" spans="1:3" x14ac:dyDescent="0.25">
      <c r="A41" s="40">
        <f>IF('EVA Calcs'!V73="Y",'EVA Calcs'!C73,NA())</f>
        <v>0.14460000000000006</v>
      </c>
      <c r="B41" s="40">
        <f>IF('EVA Calcs'!V73="Y",'EVA Calcs'!D73,NA())</f>
        <v>0.10626702997275204</v>
      </c>
      <c r="C41" s="40">
        <f>IF('EVA Calcs'!V73="Y",'EVA Calcs'!E73,NA())</f>
        <v>-0.80727920467752934</v>
      </c>
    </row>
    <row r="42" spans="1:3" x14ac:dyDescent="0.25">
      <c r="A42" s="40">
        <f>IF('EVA Calcs'!V74="Y",'EVA Calcs'!C74,NA())</f>
        <v>0.14460000000000006</v>
      </c>
      <c r="B42" s="40">
        <f>IF('EVA Calcs'!V74="Y",'EVA Calcs'!D74,NA())</f>
        <v>0.10899182561307902</v>
      </c>
      <c r="C42" s="40">
        <f>IF('EVA Calcs'!V74="Y",'EVA Calcs'!E74,NA())</f>
        <v>-0.79592143199101972</v>
      </c>
    </row>
    <row r="43" spans="1:3" x14ac:dyDescent="0.25">
      <c r="A43" s="40">
        <f>IF('EVA Calcs'!V75="Y",'EVA Calcs'!C75,NA())</f>
        <v>0.14460000000000006</v>
      </c>
      <c r="B43" s="40">
        <f>IF('EVA Calcs'!V75="Y",'EVA Calcs'!D75,NA())</f>
        <v>0.11171662125340599</v>
      </c>
      <c r="C43" s="40">
        <f>IF('EVA Calcs'!V75="Y",'EVA Calcs'!E75,NA())</f>
        <v>-0.78471846181813831</v>
      </c>
    </row>
    <row r="44" spans="1:3" x14ac:dyDescent="0.25">
      <c r="A44" s="40">
        <f>IF('EVA Calcs'!V76="Y",'EVA Calcs'!C76,NA())</f>
        <v>0.14460000000000006</v>
      </c>
      <c r="B44" s="40">
        <f>IF('EVA Calcs'!V76="Y",'EVA Calcs'!D76,NA())</f>
        <v>0.11444141689373297</v>
      </c>
      <c r="C44" s="40">
        <f>IF('EVA Calcs'!V76="Y",'EVA Calcs'!E76,NA())</f>
        <v>-0.77366311306242552</v>
      </c>
    </row>
    <row r="45" spans="1:3" x14ac:dyDescent="0.25">
      <c r="A45" s="40">
        <f>IF('EVA Calcs'!V77="Y",'EVA Calcs'!C77,NA())</f>
        <v>0.14460000000000006</v>
      </c>
      <c r="B45" s="40">
        <f>IF('EVA Calcs'!V77="Y",'EVA Calcs'!D77,NA())</f>
        <v>0.11716621253405994</v>
      </c>
      <c r="C45" s="40">
        <f>IF('EVA Calcs'!V77="Y",'EVA Calcs'!E77,NA())</f>
        <v>-0.76274867523336187</v>
      </c>
    </row>
    <row r="46" spans="1:3" x14ac:dyDescent="0.25">
      <c r="A46" s="40">
        <f>IF('EVA Calcs'!V78="Y",'EVA Calcs'!C78,NA())</f>
        <v>0.14460000000000006</v>
      </c>
      <c r="B46" s="40">
        <f>IF('EVA Calcs'!V78="Y",'EVA Calcs'!D78,NA())</f>
        <v>0.11989100817438691</v>
      </c>
      <c r="C46" s="40">
        <f>IF('EVA Calcs'!V78="Y",'EVA Calcs'!E78,NA())</f>
        <v>-0.75196886707016575</v>
      </c>
    </row>
    <row r="47" spans="1:3" x14ac:dyDescent="0.25">
      <c r="A47" s="40">
        <f>IF('EVA Calcs'!V79="Y",'EVA Calcs'!C79,NA())</f>
        <v>0.14460000000000006</v>
      </c>
      <c r="B47" s="40">
        <f>IF('EVA Calcs'!V79="Y",'EVA Calcs'!D79,NA())</f>
        <v>0.1226158038147139</v>
      </c>
      <c r="C47" s="40">
        <f>IF('EVA Calcs'!V79="Y",'EVA Calcs'!E79,NA())</f>
        <v>-0.74131779965297839</v>
      </c>
    </row>
    <row r="48" spans="1:3" x14ac:dyDescent="0.25">
      <c r="A48" s="40">
        <f>IF('EVA Calcs'!V80="Y",'EVA Calcs'!C80,NA())</f>
        <v>0.14460000000000006</v>
      </c>
      <c r="B48" s="40">
        <f>IF('EVA Calcs'!V80="Y",'EVA Calcs'!D80,NA())</f>
        <v>0.12534059945504086</v>
      </c>
      <c r="C48" s="40">
        <f>IF('EVA Calcs'!V80="Y",'EVA Calcs'!E80,NA())</f>
        <v>-0.73078994342610726</v>
      </c>
    </row>
    <row r="49" spans="1:3" x14ac:dyDescent="0.25">
      <c r="A49" s="40">
        <f>IF('EVA Calcs'!V81="Y",'EVA Calcs'!C81,NA())</f>
        <v>0.14460000000000006</v>
      </c>
      <c r="B49" s="40">
        <f>IF('EVA Calcs'!V81="Y",'EVA Calcs'!D81,NA())</f>
        <v>0.12806539509536785</v>
      </c>
      <c r="C49" s="40">
        <f>IF('EVA Calcs'!V81="Y",'EVA Calcs'!E81,NA())</f>
        <v>-0.72038009864262165</v>
      </c>
    </row>
    <row r="50" spans="1:3" x14ac:dyDescent="0.25">
      <c r="A50" s="40">
        <f>IF('EVA Calcs'!V82="Y",'EVA Calcs'!C82,NA())</f>
        <v>0.14460000000000006</v>
      </c>
      <c r="B50" s="40">
        <f>IF('EVA Calcs'!V82="Y",'EVA Calcs'!D82,NA())</f>
        <v>0.13079019073569481</v>
      </c>
      <c r="C50" s="40">
        <f>IF('EVA Calcs'!V82="Y",'EVA Calcs'!E82,NA())</f>
        <v>-0.71008336881022838</v>
      </c>
    </row>
    <row r="51" spans="1:3" x14ac:dyDescent="0.25">
      <c r="A51" s="40">
        <f>IF('EVA Calcs'!V83="Y",'EVA Calcs'!C83,NA())</f>
        <v>0.14460000000000006</v>
      </c>
      <c r="B51" s="40">
        <f>IF('EVA Calcs'!V83="Y",'EVA Calcs'!D83,NA())</f>
        <v>0.1335149863760218</v>
      </c>
      <c r="C51" s="40">
        <f>IF('EVA Calcs'!V83="Y",'EVA Calcs'!E83,NA())</f>
        <v>-0.6998951367775833</v>
      </c>
    </row>
    <row r="52" spans="1:3" x14ac:dyDescent="0.25">
      <c r="A52" s="40">
        <f>IF('EVA Calcs'!V84="Y",'EVA Calcs'!C84,NA())</f>
        <v>0.14460000000000006</v>
      </c>
      <c r="B52" s="40">
        <f>IF('EVA Calcs'!V84="Y",'EVA Calcs'!D84,NA())</f>
        <v>0.13623978201634879</v>
      </c>
      <c r="C52" s="40">
        <f>IF('EVA Calcs'!V84="Y",'EVA Calcs'!E84,NA())</f>
        <v>-0.68981104315002129</v>
      </c>
    </row>
    <row r="53" spans="1:3" x14ac:dyDescent="0.25">
      <c r="A53" s="40">
        <f>IF('EVA Calcs'!V85="Y",'EVA Calcs'!C85,NA())</f>
        <v>0.14460000000000006</v>
      </c>
      <c r="B53" s="40">
        <f>IF('EVA Calcs'!V85="Y",'EVA Calcs'!D85,NA())</f>
        <v>0.13896457765667575</v>
      </c>
      <c r="C53" s="40">
        <f>IF('EVA Calcs'!V85="Y",'EVA Calcs'!E85,NA())</f>
        <v>-0.67982696676579046</v>
      </c>
    </row>
    <row r="54" spans="1:3" x14ac:dyDescent="0.25">
      <c r="A54" s="40">
        <f>IF('EVA Calcs'!V86="Y",'EVA Calcs'!C86,NA())</f>
        <v>0.14460000000000006</v>
      </c>
      <c r="B54" s="40">
        <f>IF('EVA Calcs'!V86="Y",'EVA Calcs'!D86,NA())</f>
        <v>0.14168937329700274</v>
      </c>
      <c r="C54" s="40">
        <f>IF('EVA Calcs'!V86="Y",'EVA Calcs'!E86,NA())</f>
        <v>-0.66993900699956543</v>
      </c>
    </row>
    <row r="55" spans="1:3" x14ac:dyDescent="0.25">
      <c r="A55" s="40">
        <f>IF('EVA Calcs'!V87="Y",'EVA Calcs'!C87,NA())</f>
        <v>0.14460000000000006</v>
      </c>
      <c r="B55" s="40">
        <f>IF('EVA Calcs'!V87="Y",'EVA Calcs'!D87,NA())</f>
        <v>0.1444141689373297</v>
      </c>
      <c r="C55" s="40">
        <f>IF('EVA Calcs'!V87="Y",'EVA Calcs'!E87,NA())</f>
        <v>-0.66014346769037424</v>
      </c>
    </row>
    <row r="56" spans="1:3" x14ac:dyDescent="0.25">
      <c r="A56" s="40">
        <f>IF('EVA Calcs'!V88="Y",'EVA Calcs'!C88,NA())</f>
        <v>0.14460000000000006</v>
      </c>
      <c r="B56" s="40">
        <f>IF('EVA Calcs'!V88="Y",'EVA Calcs'!D88,NA())</f>
        <v>0.14713896457765668</v>
      </c>
      <c r="C56" s="40">
        <f>IF('EVA Calcs'!V88="Y",'EVA Calcs'!E88,NA())</f>
        <v>-0.65043684251698197</v>
      </c>
    </row>
    <row r="57" spans="1:3" x14ac:dyDescent="0.25">
      <c r="A57" s="40">
        <f>IF('EVA Calcs'!V89="Y",'EVA Calcs'!C89,NA())</f>
        <v>0.14460000000000006</v>
      </c>
      <c r="B57" s="40">
        <f>IF('EVA Calcs'!V89="Y",'EVA Calcs'!D89,NA())</f>
        <v>0.14986376021798364</v>
      </c>
      <c r="C57" s="40">
        <f>IF('EVA Calcs'!V89="Y",'EVA Calcs'!E89,NA())</f>
        <v>-0.64081580166596297</v>
      </c>
    </row>
    <row r="58" spans="1:3" x14ac:dyDescent="0.25">
      <c r="A58" s="40">
        <f>IF('EVA Calcs'!V90="Y",'EVA Calcs'!C90,NA())</f>
        <v>0.14460000000000006</v>
      </c>
      <c r="B58" s="40">
        <f>IF('EVA Calcs'!V90="Y",'EVA Calcs'!D90,NA())</f>
        <v>0.15258855585831063</v>
      </c>
      <c r="C58" s="40">
        <f>IF('EVA Calcs'!V90="Y",'EVA Calcs'!E90,NA())</f>
        <v>-0.6312771796567419</v>
      </c>
    </row>
    <row r="59" spans="1:3" x14ac:dyDescent="0.25">
      <c r="A59" s="40">
        <f>IF('EVA Calcs'!V91="Y",'EVA Calcs'!C91,NA())</f>
        <v>0.14460000000000006</v>
      </c>
      <c r="B59" s="40">
        <f>IF('EVA Calcs'!V91="Y",'EVA Calcs'!D91,NA())</f>
        <v>0.15531335149863759</v>
      </c>
      <c r="C59" s="40">
        <f>IF('EVA Calcs'!V91="Y",'EVA Calcs'!E91,NA())</f>
        <v>-0.62181796420429791</v>
      </c>
    </row>
    <row r="60" spans="1:3" x14ac:dyDescent="0.25">
      <c r="A60" s="40">
        <f>IF('EVA Calcs'!V92="Y",'EVA Calcs'!C92,NA())</f>
        <v>0.14460000000000006</v>
      </c>
      <c r="B60" s="40">
        <f>IF('EVA Calcs'!V92="Y",'EVA Calcs'!D92,NA())</f>
        <v>0.15803814713896458</v>
      </c>
      <c r="C60" s="40">
        <f>IF('EVA Calcs'!V92="Y",'EVA Calcs'!E92,NA())</f>
        <v>-0.61243528601439234</v>
      </c>
    </row>
    <row r="61" spans="1:3" x14ac:dyDescent="0.25">
      <c r="A61" s="40">
        <f>IF('EVA Calcs'!V93="Y",'EVA Calcs'!C93,NA())</f>
        <v>0.14460000000000006</v>
      </c>
      <c r="B61" s="40">
        <f>IF('EVA Calcs'!V93="Y",'EVA Calcs'!D93,NA())</f>
        <v>0.16076294277929154</v>
      </c>
      <c r="C61" s="40">
        <f>IF('EVA Calcs'!V93="Y",'EVA Calcs'!E93,NA())</f>
        <v>-0.60312640941846263</v>
      </c>
    </row>
    <row r="62" spans="1:3" x14ac:dyDescent="0.25">
      <c r="A62" s="40">
        <f>IF('EVA Calcs'!V94="Y",'EVA Calcs'!C94,NA())</f>
        <v>0.14460000000000006</v>
      </c>
      <c r="B62" s="40">
        <f>IF('EVA Calcs'!V94="Y",'EVA Calcs'!D94,NA())</f>
        <v>0.16348773841961853</v>
      </c>
      <c r="C62" s="40">
        <f>IF('EVA Calcs'!V94="Y",'EVA Calcs'!E94,NA())</f>
        <v>-0.59388872376597768</v>
      </c>
    </row>
    <row r="63" spans="1:3" x14ac:dyDescent="0.25">
      <c r="A63" s="40">
        <f>IF('EVA Calcs'!V95="Y",'EVA Calcs'!C95,NA())</f>
        <v>0.14460000000000006</v>
      </c>
      <c r="B63" s="40">
        <f>IF('EVA Calcs'!V95="Y",'EVA Calcs'!D95,NA())</f>
        <v>0.16621253405994552</v>
      </c>
      <c r="C63" s="40">
        <f>IF('EVA Calcs'!V95="Y",'EVA Calcs'!E95,NA())</f>
        <v>-0.58471973550133338</v>
      </c>
    </row>
    <row r="64" spans="1:3" x14ac:dyDescent="0.25">
      <c r="A64" s="40">
        <f>IF('EVA Calcs'!V96="Y",'EVA Calcs'!C96,NA())</f>
        <v>0.14460000000000006</v>
      </c>
      <c r="B64" s="40">
        <f>IF('EVA Calcs'!V96="Y",'EVA Calcs'!D96,NA())</f>
        <v>0.16893732970027248</v>
      </c>
      <c r="C64" s="40">
        <f>IF('EVA Calcs'!V96="Y",'EVA Calcs'!E96,NA())</f>
        <v>-0.5756170608604565</v>
      </c>
    </row>
    <row r="65" spans="1:3" x14ac:dyDescent="0.25">
      <c r="A65" s="40">
        <f>IF('EVA Calcs'!V97="Y",'EVA Calcs'!C97,NA())</f>
        <v>0.14460000000000006</v>
      </c>
      <c r="B65" s="40">
        <f>IF('EVA Calcs'!V97="Y",'EVA Calcs'!D97,NA())</f>
        <v>0.17166212534059946</v>
      </c>
      <c r="C65" s="40">
        <f>IF('EVA Calcs'!V97="Y",'EVA Calcs'!E97,NA())</f>
        <v>-0.56657841912937545</v>
      </c>
    </row>
    <row r="66" spans="1:3" x14ac:dyDescent="0.25">
      <c r="A66" s="40">
        <f>IF('EVA Calcs'!V98="Y",'EVA Calcs'!C98,NA())</f>
        <v>0.14460000000000006</v>
      </c>
      <c r="B66" s="40">
        <f>IF('EVA Calcs'!V98="Y",'EVA Calcs'!D98,NA())</f>
        <v>0.17438692098092642</v>
      </c>
      <c r="C66" s="40">
        <f>IF('EVA Calcs'!V98="Y",'EVA Calcs'!E98,NA())</f>
        <v>-0.55760162641321787</v>
      </c>
    </row>
    <row r="67" spans="1:3" x14ac:dyDescent="0.25">
      <c r="A67" s="40">
        <f>IF('EVA Calcs'!V99="Y",'EVA Calcs'!C99,NA())</f>
        <v>0.14460000000000006</v>
      </c>
      <c r="B67" s="40">
        <f>IF('EVA Calcs'!V99="Y",'EVA Calcs'!D99,NA())</f>
        <v>0.17711171662125341</v>
      </c>
      <c r="C67" s="40">
        <f>IF('EVA Calcs'!V99="Y",'EVA Calcs'!E99,NA())</f>
        <v>-0.54868458986955226</v>
      </c>
    </row>
    <row r="68" spans="1:3" x14ac:dyDescent="0.25">
      <c r="A68" s="40">
        <f>IF('EVA Calcs'!V100="Y",'EVA Calcs'!C100,NA())</f>
        <v>0.14460000000000006</v>
      </c>
      <c r="B68" s="40">
        <f>IF('EVA Calcs'!V100="Y",'EVA Calcs'!D100,NA())</f>
        <v>0.17983651226158037</v>
      </c>
      <c r="C68" s="40">
        <f>IF('EVA Calcs'!V100="Y",'EVA Calcs'!E100,NA())</f>
        <v>-0.53982530236479342</v>
      </c>
    </row>
    <row r="69" spans="1:3" x14ac:dyDescent="0.25">
      <c r="A69" s="40">
        <f>IF('EVA Calcs'!V101="Y",'EVA Calcs'!C101,NA())</f>
        <v>0.14460000000000006</v>
      </c>
      <c r="B69" s="40">
        <f>IF('EVA Calcs'!V101="Y",'EVA Calcs'!D101,NA())</f>
        <v>0.18256130790190736</v>
      </c>
      <c r="C69" s="40">
        <f>IF('EVA Calcs'!V101="Y",'EVA Calcs'!E101,NA())</f>
        <v>-0.53102183751662624</v>
      </c>
    </row>
    <row r="70" spans="1:3" x14ac:dyDescent="0.25">
      <c r="A70" s="40">
        <f>IF('EVA Calcs'!V102="Y",'EVA Calcs'!C102,NA())</f>
        <v>0.14460000000000006</v>
      </c>
      <c r="B70" s="40">
        <f>IF('EVA Calcs'!V102="Y",'EVA Calcs'!D102,NA())</f>
        <v>0.18528610354223432</v>
      </c>
      <c r="C70" s="40">
        <f>IF('EVA Calcs'!V102="Y",'EVA Calcs'!E102,NA())</f>
        <v>-0.52227234508915088</v>
      </c>
    </row>
    <row r="71" spans="1:3" x14ac:dyDescent="0.25">
      <c r="A71" s="40">
        <f>IF('EVA Calcs'!V103="Y",'EVA Calcs'!C103,NA())</f>
        <v>0.14460000000000006</v>
      </c>
      <c r="B71" s="40">
        <f>IF('EVA Calcs'!V103="Y",'EVA Calcs'!D103,NA())</f>
        <v>0.18801089918256131</v>
      </c>
      <c r="C71" s="40">
        <f>IF('EVA Calcs'!V103="Y",'EVA Calcs'!E103,NA())</f>
        <v>-0.51357504671076604</v>
      </c>
    </row>
    <row r="72" spans="1:3" x14ac:dyDescent="0.25">
      <c r="A72" s="40">
        <f>IF('EVA Calcs'!V104="Y",'EVA Calcs'!C104,NA())</f>
        <v>0.14460000000000006</v>
      </c>
      <c r="B72" s="40">
        <f>IF('EVA Calcs'!V104="Y",'EVA Calcs'!D104,NA())</f>
        <v>0.1907356948228883</v>
      </c>
      <c r="C72" s="40">
        <f>IF('EVA Calcs'!V104="Y",'EVA Calcs'!E104,NA())</f>
        <v>-0.50492823188775338</v>
      </c>
    </row>
    <row r="73" spans="1:3" x14ac:dyDescent="0.25">
      <c r="A73" s="40">
        <f>IF('EVA Calcs'!V105="Y",'EVA Calcs'!C105,NA())</f>
        <v>0.14460000000000006</v>
      </c>
      <c r="B73" s="40">
        <f>IF('EVA Calcs'!V105="Y",'EVA Calcs'!D105,NA())</f>
        <v>0.19346049046321526</v>
      </c>
      <c r="C73" s="40">
        <f>IF('EVA Calcs'!V105="Y",'EVA Calcs'!E105,NA())</f>
        <v>-0.49633025428914096</v>
      </c>
    </row>
    <row r="74" spans="1:3" x14ac:dyDescent="0.25">
      <c r="A74" s="40">
        <f>IF('EVA Calcs'!V106="Y",'EVA Calcs'!C106,NA())</f>
        <v>0.16869999999999985</v>
      </c>
      <c r="B74" s="40">
        <f>IF('EVA Calcs'!V106="Y",'EVA Calcs'!D106,NA())</f>
        <v>0.19618528610354224</v>
      </c>
      <c r="C74" s="40">
        <f>IF('EVA Calcs'!V106="Y",'EVA Calcs'!E106,NA())</f>
        <v>-0.48777952828075433</v>
      </c>
    </row>
    <row r="75" spans="1:3" x14ac:dyDescent="0.25">
      <c r="A75" s="40">
        <f>IF('EVA Calcs'!V107="Y",'EVA Calcs'!C107,NA())</f>
        <v>0.16869999999999985</v>
      </c>
      <c r="B75" s="40">
        <f>IF('EVA Calcs'!V107="Y",'EVA Calcs'!D107,NA())</f>
        <v>0.1989100817438692</v>
      </c>
      <c r="C75" s="40">
        <f>IF('EVA Calcs'!V107="Y",'EVA Calcs'!E107,NA())</f>
        <v>-0.47927452568844409</v>
      </c>
    </row>
    <row r="76" spans="1:3" x14ac:dyDescent="0.25">
      <c r="A76" s="40">
        <f>IF('EVA Calcs'!V108="Y",'EVA Calcs'!C108,NA())</f>
        <v>0.16869999999999985</v>
      </c>
      <c r="B76" s="40">
        <f>IF('EVA Calcs'!V108="Y",'EVA Calcs'!D108,NA())</f>
        <v>0.20163487738419619</v>
      </c>
      <c r="C76" s="40">
        <f>IF('EVA Calcs'!V108="Y",'EVA Calcs'!E108,NA())</f>
        <v>-0.47081377277233044</v>
      </c>
    </row>
    <row r="77" spans="1:3" x14ac:dyDescent="0.25">
      <c r="A77" s="40">
        <f>IF('EVA Calcs'!V109="Y",'EVA Calcs'!C109,NA())</f>
        <v>0.16869999999999985</v>
      </c>
      <c r="B77" s="40">
        <f>IF('EVA Calcs'!V109="Y",'EVA Calcs'!D109,NA())</f>
        <v>0.20435967302452315</v>
      </c>
      <c r="C77" s="40">
        <f>IF('EVA Calcs'!V109="Y",'EVA Calcs'!E109,NA())</f>
        <v>-0.46239584739557771</v>
      </c>
    </row>
    <row r="78" spans="1:3" x14ac:dyDescent="0.25">
      <c r="A78" s="40">
        <f>IF('EVA Calcs'!V110="Y",'EVA Calcs'!C110,NA())</f>
        <v>0.16869999999999985</v>
      </c>
      <c r="B78" s="40">
        <f>IF('EVA Calcs'!V110="Y",'EVA Calcs'!D110,NA())</f>
        <v>0.20708446866485014</v>
      </c>
      <c r="C78" s="40">
        <f>IF('EVA Calcs'!V110="Y",'EVA Calcs'!E110,NA())</f>
        <v>-0.45401937637268741</v>
      </c>
    </row>
    <row r="79" spans="1:3" x14ac:dyDescent="0.25">
      <c r="A79" s="40">
        <f>IF('EVA Calcs'!V111="Y",'EVA Calcs'!C111,NA())</f>
        <v>0.16869999999999985</v>
      </c>
      <c r="B79" s="40">
        <f>IF('EVA Calcs'!V111="Y",'EVA Calcs'!D111,NA())</f>
        <v>0.2098092643051771</v>
      </c>
      <c r="C79" s="40">
        <f>IF('EVA Calcs'!V111="Y",'EVA Calcs'!E111,NA())</f>
        <v>-0.44568303298365097</v>
      </c>
    </row>
    <row r="80" spans="1:3" x14ac:dyDescent="0.25">
      <c r="A80" s="40">
        <f>IF('EVA Calcs'!V112="Y",'EVA Calcs'!C112,NA())</f>
        <v>0.16869999999999985</v>
      </c>
      <c r="B80" s="40">
        <f>IF('EVA Calcs'!V112="Y",'EVA Calcs'!D112,NA())</f>
        <v>0.21253405994550409</v>
      </c>
      <c r="C80" s="40">
        <f>IF('EVA Calcs'!V112="Y",'EVA Calcs'!E112,NA())</f>
        <v>-0.43738553464149199</v>
      </c>
    </row>
    <row r="81" spans="1:3" x14ac:dyDescent="0.25">
      <c r="A81" s="40">
        <f>IF('EVA Calcs'!V113="Y",'EVA Calcs'!C113,NA())</f>
        <v>0.16869999999999985</v>
      </c>
      <c r="B81" s="40">
        <f>IF('EVA Calcs'!V113="Y",'EVA Calcs'!D113,NA())</f>
        <v>0.21525885558583105</v>
      </c>
      <c r="C81" s="40">
        <f>IF('EVA Calcs'!V113="Y",'EVA Calcs'!E113,NA())</f>
        <v>-0.42912564070182152</v>
      </c>
    </row>
    <row r="82" spans="1:3" x14ac:dyDescent="0.25">
      <c r="A82" s="40">
        <f>IF('EVA Calcs'!V114="Y",'EVA Calcs'!C114,NA())</f>
        <v>0.16869999999999985</v>
      </c>
      <c r="B82" s="40">
        <f>IF('EVA Calcs'!V114="Y",'EVA Calcs'!D114,NA())</f>
        <v>0.21798365122615804</v>
      </c>
      <c r="C82" s="40">
        <f>IF('EVA Calcs'!V114="Y",'EVA Calcs'!E114,NA())</f>
        <v>-0.42090215040399603</v>
      </c>
    </row>
    <row r="83" spans="1:3" x14ac:dyDescent="0.25">
      <c r="A83" s="40">
        <f>IF('EVA Calcs'!V115="Y",'EVA Calcs'!C115,NA())</f>
        <v>0.16869999999999985</v>
      </c>
      <c r="B83" s="40">
        <f>IF('EVA Calcs'!V115="Y",'EVA Calcs'!D115,NA())</f>
        <v>0.22070844686648503</v>
      </c>
      <c r="C83" s="40">
        <f>IF('EVA Calcs'!V115="Y",'EVA Calcs'!E115,NA())</f>
        <v>-0.41271390093435911</v>
      </c>
    </row>
    <row r="84" spans="1:3" x14ac:dyDescent="0.25">
      <c r="A84" s="40">
        <f>IF('EVA Calcs'!V116="Y",'EVA Calcs'!C116,NA())</f>
        <v>0.16869999999999985</v>
      </c>
      <c r="B84" s="40">
        <f>IF('EVA Calcs'!V116="Y",'EVA Calcs'!D116,NA())</f>
        <v>0.22343324250681199</v>
      </c>
      <c r="C84" s="40">
        <f>IF('EVA Calcs'!V116="Y",'EVA Calcs'!E116,NA())</f>
        <v>-0.40455976560283174</v>
      </c>
    </row>
    <row r="85" spans="1:3" x14ac:dyDescent="0.25">
      <c r="A85" s="40">
        <f>IF('EVA Calcs'!V117="Y",'EVA Calcs'!C117,NA())</f>
        <v>0.16869999999999985</v>
      </c>
      <c r="B85" s="40">
        <f>IF('EVA Calcs'!V117="Y",'EVA Calcs'!D117,NA())</f>
        <v>0.22615803814713897</v>
      </c>
      <c r="C85" s="40">
        <f>IF('EVA Calcs'!V117="Y",'EVA Calcs'!E117,NA())</f>
        <v>-0.39643865212485169</v>
      </c>
    </row>
    <row r="86" spans="1:3" x14ac:dyDescent="0.25">
      <c r="A86" s="40">
        <f>IF('EVA Calcs'!V118="Y",'EVA Calcs'!C118,NA())</f>
        <v>0.16869999999999985</v>
      </c>
      <c r="B86" s="40">
        <f>IF('EVA Calcs'!V118="Y",'EVA Calcs'!D118,NA())</f>
        <v>0.22888283378746593</v>
      </c>
      <c r="C86" s="40">
        <f>IF('EVA Calcs'!V118="Y",'EVA Calcs'!E118,NA())</f>
        <v>-0.38834950100130139</v>
      </c>
    </row>
    <row r="87" spans="1:3" x14ac:dyDescent="0.25">
      <c r="A87" s="40">
        <f>IF('EVA Calcs'!V119="Y",'EVA Calcs'!C119,NA())</f>
        <v>0.16869999999999985</v>
      </c>
      <c r="B87" s="40">
        <f>IF('EVA Calcs'!V119="Y",'EVA Calcs'!D119,NA())</f>
        <v>0.23160762942779292</v>
      </c>
      <c r="C87" s="40">
        <f>IF('EVA Calcs'!V119="Y",'EVA Calcs'!E119,NA())</f>
        <v>-0.38029128398966855</v>
      </c>
    </row>
    <row r="88" spans="1:3" x14ac:dyDescent="0.25">
      <c r="A88" s="40">
        <f>IF('EVA Calcs'!V120="Y",'EVA Calcs'!C120,NA())</f>
        <v>0.16869999999999985</v>
      </c>
      <c r="B88" s="40">
        <f>IF('EVA Calcs'!V120="Y",'EVA Calcs'!D120,NA())</f>
        <v>0.23433242506811988</v>
      </c>
      <c r="C88" s="40">
        <f>IF('EVA Calcs'!V120="Y",'EVA Calcs'!E120,NA())</f>
        <v>-0.37226300266021378</v>
      </c>
    </row>
    <row r="89" spans="1:3" x14ac:dyDescent="0.25">
      <c r="A89" s="40">
        <f>IF('EVA Calcs'!V121="Y",'EVA Calcs'!C121,NA())</f>
        <v>0.16869999999999985</v>
      </c>
      <c r="B89" s="40">
        <f>IF('EVA Calcs'!V121="Y",'EVA Calcs'!D121,NA())</f>
        <v>0.23705722070844687</v>
      </c>
      <c r="C89" s="40">
        <f>IF('EVA Calcs'!V121="Y",'EVA Calcs'!E121,NA())</f>
        <v>-0.36426368703141376</v>
      </c>
    </row>
    <row r="90" spans="1:3" x14ac:dyDescent="0.25">
      <c r="A90" s="40">
        <f>IF('EVA Calcs'!V122="Y",'EVA Calcs'!C122,NA())</f>
        <v>0.16869999999999985</v>
      </c>
      <c r="B90" s="40">
        <f>IF('EVA Calcs'!V122="Y",'EVA Calcs'!D122,NA())</f>
        <v>0.23978201634877383</v>
      </c>
      <c r="C90" s="40">
        <f>IF('EVA Calcs'!V122="Y",'EVA Calcs'!E122,NA())</f>
        <v>-0.35629239427939585</v>
      </c>
    </row>
    <row r="91" spans="1:3" x14ac:dyDescent="0.25">
      <c r="A91" s="40">
        <f>IF('EVA Calcs'!V123="Y",'EVA Calcs'!C123,NA())</f>
        <v>0.19280000000000008</v>
      </c>
      <c r="B91" s="40">
        <f>IF('EVA Calcs'!V123="Y",'EVA Calcs'!D123,NA())</f>
        <v>0.24250681198910082</v>
      </c>
      <c r="C91" s="40">
        <f>IF('EVA Calcs'!V123="Y",'EVA Calcs'!E123,NA())</f>
        <v>-0.34834820751647977</v>
      </c>
    </row>
    <row r="92" spans="1:3" x14ac:dyDescent="0.25">
      <c r="A92" s="40">
        <f>IF('EVA Calcs'!V124="Y",'EVA Calcs'!C124,NA())</f>
        <v>0.19280000000000008</v>
      </c>
      <c r="B92" s="40">
        <f>IF('EVA Calcs'!V124="Y",'EVA Calcs'!D124,NA())</f>
        <v>0.24523160762942781</v>
      </c>
      <c r="C92" s="40">
        <f>IF('EVA Calcs'!V124="Y",'EVA Calcs'!E124,NA())</f>
        <v>-0.34043023463432309</v>
      </c>
    </row>
    <row r="93" spans="1:3" x14ac:dyDescent="0.25">
      <c r="A93" s="40">
        <f>IF('EVA Calcs'!V125="Y",'EVA Calcs'!C125,NA())</f>
        <v>0.19280000000000008</v>
      </c>
      <c r="B93" s="40">
        <f>IF('EVA Calcs'!V125="Y",'EVA Calcs'!D125,NA())</f>
        <v>0.24795640326975477</v>
      </c>
      <c r="C93" s="40">
        <f>IF('EVA Calcs'!V125="Y",'EVA Calcs'!E125,NA())</f>
        <v>-0.33253760720749648</v>
      </c>
    </row>
    <row r="94" spans="1:3" x14ac:dyDescent="0.25">
      <c r="A94" s="40">
        <f>IF('EVA Calcs'!V126="Y",'EVA Calcs'!C126,NA())</f>
        <v>0.19280000000000008</v>
      </c>
      <c r="B94" s="40">
        <f>IF('EVA Calcs'!V126="Y",'EVA Calcs'!D126,NA())</f>
        <v>0.25068119891008173</v>
      </c>
      <c r="C94" s="40">
        <f>IF('EVA Calcs'!V126="Y",'EVA Calcs'!E126,NA())</f>
        <v>-0.32466947945363273</v>
      </c>
    </row>
    <row r="95" spans="1:3" x14ac:dyDescent="0.25">
      <c r="A95" s="40">
        <f>IF('EVA Calcs'!V127="Y",'EVA Calcs'!C127,NA())</f>
        <v>0.19280000000000008</v>
      </c>
      <c r="B95" s="40">
        <f>IF('EVA Calcs'!V127="Y",'EVA Calcs'!D127,NA())</f>
        <v>0.25340599455040874</v>
      </c>
      <c r="C95" s="40">
        <f>IF('EVA Calcs'!V127="Y",'EVA Calcs'!E127,NA())</f>
        <v>-0.31682502724657124</v>
      </c>
    </row>
    <row r="96" spans="1:3" x14ac:dyDescent="0.25">
      <c r="A96" s="40">
        <f>IF('EVA Calcs'!V128="Y",'EVA Calcs'!C128,NA())</f>
        <v>0.19280000000000008</v>
      </c>
      <c r="B96" s="40">
        <f>IF('EVA Calcs'!V128="Y",'EVA Calcs'!D128,NA())</f>
        <v>0.2561307901907357</v>
      </c>
      <c r="C96" s="40">
        <f>IF('EVA Calcs'!V128="Y",'EVA Calcs'!E128,NA())</f>
        <v>-0.30900344717918454</v>
      </c>
    </row>
    <row r="97" spans="1:3" x14ac:dyDescent="0.25">
      <c r="A97" s="40">
        <f>IF('EVA Calcs'!V129="Y",'EVA Calcs'!C129,NA())</f>
        <v>0.19280000000000008</v>
      </c>
      <c r="B97" s="40">
        <f>IF('EVA Calcs'!V129="Y",'EVA Calcs'!D129,NA())</f>
        <v>0.25885558583106266</v>
      </c>
      <c r="C97" s="40">
        <f>IF('EVA Calcs'!V129="Y",'EVA Calcs'!E129,NA())</f>
        <v>-0.30120395567280694</v>
      </c>
    </row>
    <row r="98" spans="1:3" x14ac:dyDescent="0.25">
      <c r="A98" s="40">
        <f>IF('EVA Calcs'!V130="Y",'EVA Calcs'!C130,NA())</f>
        <v>0.19280000000000008</v>
      </c>
      <c r="B98" s="40">
        <f>IF('EVA Calcs'!V130="Y",'EVA Calcs'!D130,NA())</f>
        <v>0.26158038147138962</v>
      </c>
      <c r="C98" s="40">
        <f>IF('EVA Calcs'!V130="Y",'EVA Calcs'!E130,NA())</f>
        <v>-0.29342578813041098</v>
      </c>
    </row>
    <row r="99" spans="1:3" x14ac:dyDescent="0.25">
      <c r="A99" s="40">
        <f>IF('EVA Calcs'!V131="Y",'EVA Calcs'!C131,NA())</f>
        <v>0.19280000000000008</v>
      </c>
      <c r="B99" s="40">
        <f>IF('EVA Calcs'!V131="Y",'EVA Calcs'!D131,NA())</f>
        <v>0.26430517711171664</v>
      </c>
      <c r="C99" s="40">
        <f>IF('EVA Calcs'!V131="Y",'EVA Calcs'!E131,NA())</f>
        <v>-0.28566819813087108</v>
      </c>
    </row>
    <row r="100" spans="1:3" x14ac:dyDescent="0.25">
      <c r="A100" s="40">
        <f>IF('EVA Calcs'!V132="Y",'EVA Calcs'!C132,NA())</f>
        <v>0.19280000000000008</v>
      </c>
      <c r="B100" s="40">
        <f>IF('EVA Calcs'!V132="Y",'EVA Calcs'!D132,NA())</f>
        <v>0.2670299727520436</v>
      </c>
      <c r="C100" s="40">
        <f>IF('EVA Calcs'!V132="Y",'EVA Calcs'!E132,NA())</f>
        <v>-0.27793045666184557</v>
      </c>
    </row>
    <row r="101" spans="1:3" x14ac:dyDescent="0.25">
      <c r="A101" s="40">
        <f>IF('EVA Calcs'!V133="Y",'EVA Calcs'!C133,NA())</f>
        <v>0.19280000000000008</v>
      </c>
      <c r="B101" s="40">
        <f>IF('EVA Calcs'!V133="Y",'EVA Calcs'!D133,NA())</f>
        <v>0.26975476839237056</v>
      </c>
      <c r="C101" s="40">
        <f>IF('EVA Calcs'!V133="Y",'EVA Calcs'!E133,NA())</f>
        <v>-0.27021185138897263</v>
      </c>
    </row>
    <row r="102" spans="1:3" x14ac:dyDescent="0.25">
      <c r="A102" s="40">
        <f>IF('EVA Calcs'!V134="Y",'EVA Calcs'!C134,NA())</f>
        <v>0.19280000000000008</v>
      </c>
      <c r="B102" s="40">
        <f>IF('EVA Calcs'!V134="Y",'EVA Calcs'!D134,NA())</f>
        <v>0.27247956403269757</v>
      </c>
      <c r="C102" s="40">
        <f>IF('EVA Calcs'!V134="Y",'EVA Calcs'!E134,NA())</f>
        <v>-0.26251168595923879</v>
      </c>
    </row>
    <row r="103" spans="1:3" x14ac:dyDescent="0.25">
      <c r="A103" s="40">
        <f>IF('EVA Calcs'!V135="Y",'EVA Calcs'!C135,NA())</f>
        <v>0.19280000000000008</v>
      </c>
      <c r="B103" s="40">
        <f>IF('EVA Calcs'!V135="Y",'EVA Calcs'!D135,NA())</f>
        <v>0.27520435967302453</v>
      </c>
      <c r="C103" s="40">
        <f>IF('EVA Calcs'!V135="Y",'EVA Calcs'!E135,NA())</f>
        <v>-0.25482927933651867</v>
      </c>
    </row>
    <row r="104" spans="1:3" x14ac:dyDescent="0.25">
      <c r="A104" s="40">
        <f>IF('EVA Calcs'!V136="Y",'EVA Calcs'!C136,NA())</f>
        <v>0.19280000000000008</v>
      </c>
      <c r="B104" s="40">
        <f>IF('EVA Calcs'!V136="Y",'EVA Calcs'!D136,NA())</f>
        <v>0.27792915531335149</v>
      </c>
      <c r="C104" s="40">
        <f>IF('EVA Calcs'!V136="Y",'EVA Calcs'!E136,NA())</f>
        <v>-0.24716396516741851</v>
      </c>
    </row>
    <row r="105" spans="1:3" x14ac:dyDescent="0.25">
      <c r="A105" s="40">
        <f>IF('EVA Calcs'!V137="Y",'EVA Calcs'!C137,NA())</f>
        <v>0.19280000000000008</v>
      </c>
      <c r="B105" s="40">
        <f>IF('EVA Calcs'!V137="Y",'EVA Calcs'!D137,NA())</f>
        <v>0.28065395095367845</v>
      </c>
      <c r="C105" s="40">
        <f>IF('EVA Calcs'!V137="Y",'EVA Calcs'!E137,NA())</f>
        <v>-0.23951509117568312</v>
      </c>
    </row>
    <row r="106" spans="1:3" x14ac:dyDescent="0.25">
      <c r="A106" s="40">
        <f>IF('EVA Calcs'!V138="Y",'EVA Calcs'!C138,NA())</f>
        <v>0.19280000000000008</v>
      </c>
      <c r="B106" s="40">
        <f>IF('EVA Calcs'!V138="Y",'EVA Calcs'!D138,NA())</f>
        <v>0.28337874659400547</v>
      </c>
      <c r="C106" s="40">
        <f>IF('EVA Calcs'!V138="Y",'EVA Calcs'!E138,NA())</f>
        <v>-0.23188201858353663</v>
      </c>
    </row>
    <row r="107" spans="1:3" x14ac:dyDescent="0.25">
      <c r="A107" s="40">
        <f>IF('EVA Calcs'!V139="Y",'EVA Calcs'!C139,NA())</f>
        <v>0.19280000000000008</v>
      </c>
      <c r="B107" s="40">
        <f>IF('EVA Calcs'!V139="Y",'EVA Calcs'!D139,NA())</f>
        <v>0.28610354223433243</v>
      </c>
      <c r="C107" s="40">
        <f>IF('EVA Calcs'!V139="Y",'EVA Calcs'!E139,NA())</f>
        <v>-0.22426412155843295</v>
      </c>
    </row>
    <row r="108" spans="1:3" x14ac:dyDescent="0.25">
      <c r="A108" s="40">
        <f>IF('EVA Calcs'!V140="Y",'EVA Calcs'!C140,NA())</f>
        <v>0.21689999999999987</v>
      </c>
      <c r="B108" s="40">
        <f>IF('EVA Calcs'!V140="Y",'EVA Calcs'!D140,NA())</f>
        <v>0.28882833787465939</v>
      </c>
      <c r="C108" s="40">
        <f>IF('EVA Calcs'!V140="Y",'EVA Calcs'!E140,NA())</f>
        <v>-0.21666078668378969</v>
      </c>
    </row>
    <row r="109" spans="1:3" x14ac:dyDescent="0.25">
      <c r="A109" s="40">
        <f>IF('EVA Calcs'!V141="Y",'EVA Calcs'!C141,NA())</f>
        <v>0.21689999999999987</v>
      </c>
      <c r="B109" s="40">
        <f>IF('EVA Calcs'!V141="Y",'EVA Calcs'!D141,NA())</f>
        <v>0.29155313351498635</v>
      </c>
      <c r="C109" s="40">
        <f>IF('EVA Calcs'!V141="Y",'EVA Calcs'!E141,NA())</f>
        <v>-0.20907141245237393</v>
      </c>
    </row>
    <row r="110" spans="1:3" x14ac:dyDescent="0.25">
      <c r="A110" s="40">
        <f>IF('EVA Calcs'!V142="Y",'EVA Calcs'!C142,NA())</f>
        <v>0.21689999999999987</v>
      </c>
      <c r="B110" s="40">
        <f>IF('EVA Calcs'!V142="Y",'EVA Calcs'!D142,NA())</f>
        <v>0.29427792915531337</v>
      </c>
      <c r="C110" s="40">
        <f>IF('EVA Calcs'!V142="Y",'EVA Calcs'!E142,NA())</f>
        <v>-0.20149540878108285</v>
      </c>
    </row>
    <row r="111" spans="1:3" x14ac:dyDescent="0.25">
      <c r="A111" s="40">
        <f>IF('EVA Calcs'!V143="Y",'EVA Calcs'!C143,NA())</f>
        <v>0.21689999999999987</v>
      </c>
      <c r="B111" s="40">
        <f>IF('EVA Calcs'!V143="Y",'EVA Calcs'!D143,NA())</f>
        <v>0.29700272479564033</v>
      </c>
      <c r="C111" s="40">
        <f>IF('EVA Calcs'!V143="Y",'EVA Calcs'!E143,NA())</f>
        <v>-0.19393219654595223</v>
      </c>
    </row>
    <row r="112" spans="1:3" x14ac:dyDescent="0.25">
      <c r="A112" s="40">
        <f>IF('EVA Calcs'!V144="Y",'EVA Calcs'!C144,NA())</f>
        <v>0.21689999999999987</v>
      </c>
      <c r="B112" s="40">
        <f>IF('EVA Calcs'!V144="Y",'EVA Calcs'!D144,NA())</f>
        <v>0.29972752043596729</v>
      </c>
      <c r="C112" s="40">
        <f>IF('EVA Calcs'!V144="Y",'EVA Calcs'!E144,NA())</f>
        <v>-0.18638120713628442</v>
      </c>
    </row>
    <row r="113" spans="1:3" x14ac:dyDescent="0.25">
      <c r="A113" s="40">
        <f>IF('EVA Calcs'!V145="Y",'EVA Calcs'!C145,NA())</f>
        <v>0.21689999999999987</v>
      </c>
      <c r="B113" s="40">
        <f>IF('EVA Calcs'!V145="Y",'EVA Calcs'!D145,NA())</f>
        <v>0.3024523160762943</v>
      </c>
      <c r="C113" s="40">
        <f>IF('EVA Calcs'!V145="Y",'EVA Calcs'!E145,NA())</f>
        <v>-0.17884188202686746</v>
      </c>
    </row>
    <row r="114" spans="1:3" x14ac:dyDescent="0.25">
      <c r="A114" s="40">
        <f>IF('EVA Calcs'!V146="Y",'EVA Calcs'!C146,NA())</f>
        <v>0.21689999999999987</v>
      </c>
      <c r="B114" s="40">
        <f>IF('EVA Calcs'!V146="Y",'EVA Calcs'!D146,NA())</f>
        <v>0.30517711171662126</v>
      </c>
      <c r="C114" s="40">
        <f>IF('EVA Calcs'!V146="Y",'EVA Calcs'!E146,NA())</f>
        <v>-0.17131367236731079</v>
      </c>
    </row>
    <row r="115" spans="1:3" x14ac:dyDescent="0.25">
      <c r="A115" s="40">
        <f>IF('EVA Calcs'!V147="Y",'EVA Calcs'!C147,NA())</f>
        <v>0.21689999999999987</v>
      </c>
      <c r="B115" s="40">
        <f>IF('EVA Calcs'!V147="Y",'EVA Calcs'!D147,NA())</f>
        <v>0.30790190735694822</v>
      </c>
      <c r="C115" s="40">
        <f>IF('EVA Calcs'!V147="Y",'EVA Calcs'!E147,NA())</f>
        <v>-0.16379603858758313</v>
      </c>
    </row>
    <row r="116" spans="1:3" x14ac:dyDescent="0.25">
      <c r="A116" s="40">
        <f>IF('EVA Calcs'!V148="Y",'EVA Calcs'!C148,NA())</f>
        <v>0.21689999999999987</v>
      </c>
      <c r="B116" s="40">
        <f>IF('EVA Calcs'!V148="Y",'EVA Calcs'!D148,NA())</f>
        <v>0.31062670299727518</v>
      </c>
      <c r="C116" s="40">
        <f>IF('EVA Calcs'!V148="Y",'EVA Calcs'!E148,NA())</f>
        <v>-0.15628845001889427</v>
      </c>
    </row>
    <row r="117" spans="1:3" x14ac:dyDescent="0.25">
      <c r="A117" s="40">
        <f>IF('EVA Calcs'!V149="Y",'EVA Calcs'!C149,NA())</f>
        <v>0.21689999999999987</v>
      </c>
      <c r="B117" s="40">
        <f>IF('EVA Calcs'!V149="Y",'EVA Calcs'!D149,NA())</f>
        <v>0.3133514986376022</v>
      </c>
      <c r="C117" s="40">
        <f>IF('EVA Calcs'!V149="Y",'EVA Calcs'!E149,NA())</f>
        <v>-0.14879038452910917</v>
      </c>
    </row>
    <row r="118" spans="1:3" x14ac:dyDescent="0.25">
      <c r="A118" s="40">
        <f>IF('EVA Calcs'!V150="Y",'EVA Calcs'!C150,NA())</f>
        <v>0.2410000000000001</v>
      </c>
      <c r="B118" s="40">
        <f>IF('EVA Calcs'!V150="Y",'EVA Calcs'!D150,NA())</f>
        <v>0.31607629427792916</v>
      </c>
      <c r="C118" s="40">
        <f>IF('EVA Calcs'!V150="Y",'EVA Calcs'!E150,NA())</f>
        <v>-0.14130132817193566</v>
      </c>
    </row>
    <row r="119" spans="1:3" x14ac:dyDescent="0.25">
      <c r="A119" s="40">
        <f>IF('EVA Calcs'!V151="Y",'EVA Calcs'!C151,NA())</f>
        <v>0.2410000000000001</v>
      </c>
      <c r="B119" s="40">
        <f>IF('EVA Calcs'!V151="Y",'EVA Calcs'!D151,NA())</f>
        <v>0.31880108991825612</v>
      </c>
      <c r="C119" s="40">
        <f>IF('EVA Calcs'!V151="Y",'EVA Calcs'!E151,NA())</f>
        <v>-0.1338207748491598</v>
      </c>
    </row>
    <row r="120" spans="1:3" x14ac:dyDescent="0.25">
      <c r="A120" s="40">
        <f>IF('EVA Calcs'!V152="Y",'EVA Calcs'!C152,NA())</f>
        <v>0.2410000000000001</v>
      </c>
      <c r="B120" s="40">
        <f>IF('EVA Calcs'!V152="Y",'EVA Calcs'!D152,NA())</f>
        <v>0.32152588555858308</v>
      </c>
      <c r="C120" s="40">
        <f>IF('EVA Calcs'!V152="Y",'EVA Calcs'!E152,NA())</f>
        <v>-0.12634822598525813</v>
      </c>
    </row>
    <row r="121" spans="1:3" x14ac:dyDescent="0.25">
      <c r="A121" s="40">
        <f>IF('EVA Calcs'!V153="Y",'EVA Calcs'!C153,NA())</f>
        <v>0.2410000000000001</v>
      </c>
      <c r="B121" s="40">
        <f>IF('EVA Calcs'!V153="Y",'EVA Calcs'!D153,NA())</f>
        <v>0.3242506811989101</v>
      </c>
      <c r="C121" s="40">
        <f>IF('EVA Calcs'!V153="Y",'EVA Calcs'!E153,NA())</f>
        <v>-0.11888319021374012</v>
      </c>
    </row>
    <row r="122" spans="1:3" x14ac:dyDescent="0.25">
      <c r="A122" s="40">
        <f>IF('EVA Calcs'!V154="Y",'EVA Calcs'!C154,NA())</f>
        <v>0.2410000000000001</v>
      </c>
      <c r="B122" s="40">
        <f>IF('EVA Calcs'!V154="Y",'EVA Calcs'!D154,NA())</f>
        <v>0.32697547683923706</v>
      </c>
      <c r="C122" s="40">
        <f>IF('EVA Calcs'!V154="Y",'EVA Calcs'!E154,NA())</f>
        <v>-0.11142518307462132</v>
      </c>
    </row>
    <row r="123" spans="1:3" x14ac:dyDescent="0.25">
      <c r="A123" s="40">
        <f>IF('EVA Calcs'!V155="Y",'EVA Calcs'!C155,NA())</f>
        <v>0.2410000000000001</v>
      </c>
      <c r="B123" s="40">
        <f>IF('EVA Calcs'!V155="Y",'EVA Calcs'!D155,NA())</f>
        <v>0.32970027247956402</v>
      </c>
      <c r="C123" s="40">
        <f>IF('EVA Calcs'!V155="Y",'EVA Calcs'!E155,NA())</f>
        <v>-0.10397372672245125</v>
      </c>
    </row>
    <row r="124" spans="1:3" x14ac:dyDescent="0.25">
      <c r="A124" s="40">
        <f>IF('EVA Calcs'!V156="Y",'EVA Calcs'!C156,NA())</f>
        <v>0.2410000000000001</v>
      </c>
      <c r="B124" s="40">
        <f>IF('EVA Calcs'!V156="Y",'EVA Calcs'!D156,NA())</f>
        <v>0.33242506811989103</v>
      </c>
      <c r="C124" s="40">
        <f>IF('EVA Calcs'!V156="Y",'EVA Calcs'!E156,NA())</f>
        <v>-9.6528349644357289E-2</v>
      </c>
    </row>
    <row r="125" spans="1:3" x14ac:dyDescent="0.25">
      <c r="A125" s="40">
        <f>IF('EVA Calcs'!V157="Y",'EVA Calcs'!C157,NA())</f>
        <v>0.2410000000000001</v>
      </c>
      <c r="B125" s="40">
        <f>IF('EVA Calcs'!V157="Y",'EVA Calcs'!D157,NA())</f>
        <v>0.33514986376021799</v>
      </c>
      <c r="C125" s="40">
        <f>IF('EVA Calcs'!V157="Y",'EVA Calcs'!E157,NA())</f>
        <v>-8.9088586387595384E-2</v>
      </c>
    </row>
    <row r="126" spans="1:3" x14ac:dyDescent="0.25">
      <c r="A126" s="40">
        <f>IF('EVA Calcs'!V158="Y",'EVA Calcs'!C158,NA())</f>
        <v>0.2410000000000001</v>
      </c>
      <c r="B126" s="40">
        <f>IF('EVA Calcs'!V158="Y",'EVA Calcs'!D158,NA())</f>
        <v>0.33787465940054495</v>
      </c>
      <c r="C126" s="40">
        <f>IF('EVA Calcs'!V158="Y",'EVA Calcs'!E158,NA())</f>
        <v>-8.1653977296117411E-2</v>
      </c>
    </row>
    <row r="127" spans="1:3" x14ac:dyDescent="0.25">
      <c r="A127" s="40">
        <f>IF('EVA Calcs'!V159="Y",'EVA Calcs'!C159,NA())</f>
        <v>0.2410000000000001</v>
      </c>
      <c r="B127" s="40">
        <f>IF('EVA Calcs'!V159="Y",'EVA Calcs'!D159,NA())</f>
        <v>0.34059945504087191</v>
      </c>
      <c r="C127" s="40">
        <f>IF('EVA Calcs'!V159="Y",'EVA Calcs'!E159,NA())</f>
        <v>-7.4224068255701395E-2</v>
      </c>
    </row>
    <row r="128" spans="1:3" x14ac:dyDescent="0.25">
      <c r="A128" s="40">
        <f>IF('EVA Calcs'!V160="Y",'EVA Calcs'!C160,NA())</f>
        <v>0.2410000000000001</v>
      </c>
      <c r="B128" s="40">
        <f>IF('EVA Calcs'!V160="Y",'EVA Calcs'!D160,NA())</f>
        <v>0.34332425068119893</v>
      </c>
      <c r="C128" s="40">
        <f>IF('EVA Calcs'!V160="Y",'EVA Calcs'!E160,NA())</f>
        <v>-6.6798410447206982E-2</v>
      </c>
    </row>
    <row r="129" spans="1:3" x14ac:dyDescent="0.25">
      <c r="A129" s="40">
        <f>IF('EVA Calcs'!V161="Y",'EVA Calcs'!C161,NA())</f>
        <v>0.2410000000000001</v>
      </c>
      <c r="B129" s="40">
        <f>IF('EVA Calcs'!V161="Y",'EVA Calcs'!D161,NA())</f>
        <v>0.34604904632152589</v>
      </c>
      <c r="C129" s="40">
        <f>IF('EVA Calcs'!V161="Y",'EVA Calcs'!E161,NA())</f>
        <v>-5.9376560107543601E-2</v>
      </c>
    </row>
    <row r="130" spans="1:3" x14ac:dyDescent="0.25">
      <c r="A130" s="40">
        <f>IF('EVA Calcs'!V162="Y",'EVA Calcs'!C162,NA())</f>
        <v>0.2410000000000001</v>
      </c>
      <c r="B130" s="40">
        <f>IF('EVA Calcs'!V162="Y",'EVA Calcs'!D162,NA())</f>
        <v>0.34877384196185285</v>
      </c>
      <c r="C130" s="40">
        <f>IF('EVA Calcs'!V162="Y",'EVA Calcs'!E162,NA())</f>
        <v>-5.1958078297958558E-2</v>
      </c>
    </row>
    <row r="131" spans="1:3" x14ac:dyDescent="0.25">
      <c r="A131" s="40">
        <f>IF('EVA Calcs'!V163="Y",'EVA Calcs'!C163,NA())</f>
        <v>0.2410000000000001</v>
      </c>
      <c r="B131" s="40">
        <f>IF('EVA Calcs'!V163="Y",'EVA Calcs'!D163,NA())</f>
        <v>0.35149863760217986</v>
      </c>
      <c r="C131" s="40">
        <f>IF('EVA Calcs'!V163="Y",'EVA Calcs'!E163,NA())</f>
        <v>-4.454253067927387E-2</v>
      </c>
    </row>
    <row r="132" spans="1:3" x14ac:dyDescent="0.25">
      <c r="A132" s="40">
        <f>IF('EVA Calcs'!V164="Y",'EVA Calcs'!C164,NA())</f>
        <v>0.2410000000000001</v>
      </c>
      <c r="B132" s="40">
        <f>IF('EVA Calcs'!V164="Y",'EVA Calcs'!D164,NA())</f>
        <v>0.35422343324250682</v>
      </c>
      <c r="C132" s="40">
        <f>IF('EVA Calcs'!V164="Y",'EVA Calcs'!E164,NA())</f>
        <v>-3.7129487293716588E-2</v>
      </c>
    </row>
    <row r="133" spans="1:3" x14ac:dyDescent="0.25">
      <c r="A133" s="40">
        <f>IF('EVA Calcs'!V165="Y",'EVA Calcs'!C165,NA())</f>
        <v>0.2410000000000001</v>
      </c>
      <c r="B133" s="40">
        <f>IF('EVA Calcs'!V165="Y",'EVA Calcs'!D165,NA())</f>
        <v>0.35694822888283378</v>
      </c>
      <c r="C133" s="40">
        <f>IF('EVA Calcs'!V165="Y",'EVA Calcs'!E165,NA())</f>
        <v>-2.9718522353005181E-2</v>
      </c>
    </row>
    <row r="134" spans="1:3" x14ac:dyDescent="0.25">
      <c r="A134" s="40">
        <f>IF('EVA Calcs'!V166="Y",'EVA Calcs'!C166,NA())</f>
        <v>0.2410000000000001</v>
      </c>
      <c r="B134" s="40">
        <f>IF('EVA Calcs'!V166="Y",'EVA Calcs'!D166,NA())</f>
        <v>0.35967302452316074</v>
      </c>
      <c r="C134" s="40">
        <f>IF('EVA Calcs'!V166="Y",'EVA Calcs'!E166,NA())</f>
        <v>-2.2309214032372425E-2</v>
      </c>
    </row>
    <row r="135" spans="1:3" x14ac:dyDescent="0.25">
      <c r="A135" s="40">
        <f>IF('EVA Calcs'!V167="Y",'EVA Calcs'!C167,NA())</f>
        <v>0.2410000000000001</v>
      </c>
      <c r="B135" s="40">
        <f>IF('EVA Calcs'!V167="Y",'EVA Calcs'!D167,NA())</f>
        <v>0.36239782016348776</v>
      </c>
      <c r="C135" s="40">
        <f>IF('EVA Calcs'!V167="Y",'EVA Calcs'!E167,NA())</f>
        <v>-1.4901144270219232E-2</v>
      </c>
    </row>
    <row r="136" spans="1:3" x14ac:dyDescent="0.25">
      <c r="A136" s="40">
        <f>IF('EVA Calcs'!V168="Y",'EVA Calcs'!C168,NA())</f>
        <v>0.2410000000000001</v>
      </c>
      <c r="B136" s="40">
        <f>IF('EVA Calcs'!V168="Y",'EVA Calcs'!D168,NA())</f>
        <v>0.36512261580381472</v>
      </c>
      <c r="C136" s="40">
        <f>IF('EVA Calcs'!V168="Y",'EVA Calcs'!E168,NA())</f>
        <v>-7.4938985731052834E-3</v>
      </c>
    </row>
    <row r="137" spans="1:3" x14ac:dyDescent="0.25">
      <c r="A137" s="40">
        <f>IF('EVA Calcs'!V169="Y",'EVA Calcs'!C169,NA())</f>
        <v>0.2410000000000001</v>
      </c>
      <c r="B137" s="40">
        <f>IF('EVA Calcs'!V169="Y",'EVA Calcs'!D169,NA())</f>
        <v>0.36784741144414168</v>
      </c>
      <c r="C137" s="40">
        <f>IF('EVA Calcs'!V169="Y",'EVA Calcs'!E169,NA())</f>
        <v>-8.7065825801786742E-5</v>
      </c>
    </row>
    <row r="138" spans="1:3" x14ac:dyDescent="0.25">
      <c r="A138" s="40">
        <f>IF('EVA Calcs'!V170="Y",'EVA Calcs'!C170,NA())</f>
        <v>0.2410000000000001</v>
      </c>
      <c r="B138" s="40">
        <f>IF('EVA Calcs'!V170="Y",'EVA Calcs'!D170,NA())</f>
        <v>0.37057220708446864</v>
      </c>
      <c r="C138" s="40">
        <f>IF('EVA Calcs'!V170="Y",'EVA Calcs'!E170,NA())</f>
        <v>7.3197618938616715E-3</v>
      </c>
    </row>
    <row r="139" spans="1:3" x14ac:dyDescent="0.25">
      <c r="A139" s="40">
        <f>IF('EVA Calcs'!V171="Y",'EVA Calcs'!C171,NA())</f>
        <v>0.2410000000000001</v>
      </c>
      <c r="B139" s="40">
        <f>IF('EVA Calcs'!V171="Y",'EVA Calcs'!D171,NA())</f>
        <v>0.37329700272479566</v>
      </c>
      <c r="C139" s="40">
        <f>IF('EVA Calcs'!V171="Y",'EVA Calcs'!E171,NA())</f>
        <v>1.4726989495609065E-2</v>
      </c>
    </row>
    <row r="140" spans="1:3" x14ac:dyDescent="0.25">
      <c r="A140" s="40">
        <f>IF('EVA Calcs'!V172="Y",'EVA Calcs'!C172,NA())</f>
        <v>0.2410000000000001</v>
      </c>
      <c r="B140" s="40">
        <f>IF('EVA Calcs'!V172="Y",'EVA Calcs'!D172,NA())</f>
        <v>0.37602179836512262</v>
      </c>
      <c r="C140" s="40">
        <f>IF('EVA Calcs'!V172="Y",'EVA Calcs'!E172,NA())</f>
        <v>2.2135019053031252E-2</v>
      </c>
    </row>
    <row r="141" spans="1:3" x14ac:dyDescent="0.25">
      <c r="A141" s="40">
        <f>IF('EVA Calcs'!V173="Y",'EVA Calcs'!C173,NA())</f>
        <v>0.2410000000000001</v>
      </c>
      <c r="B141" s="40">
        <f>IF('EVA Calcs'!V173="Y",'EVA Calcs'!D173,NA())</f>
        <v>0.37874659400544958</v>
      </c>
      <c r="C141" s="40">
        <f>IF('EVA Calcs'!V173="Y",'EVA Calcs'!E173,NA())</f>
        <v>2.9544249975834172E-2</v>
      </c>
    </row>
    <row r="142" spans="1:3" x14ac:dyDescent="0.25">
      <c r="A142" s="40">
        <f>IF('EVA Calcs'!V174="Y",'EVA Calcs'!C174,NA())</f>
        <v>0.2410000000000001</v>
      </c>
      <c r="B142" s="40">
        <f>IF('EVA Calcs'!V174="Y",'EVA Calcs'!D174,NA())</f>
        <v>0.38147138964577659</v>
      </c>
      <c r="C142" s="40">
        <f>IF('EVA Calcs'!V174="Y",'EVA Calcs'!E174,NA())</f>
        <v>3.695507917824415E-2</v>
      </c>
    </row>
    <row r="143" spans="1:3" x14ac:dyDescent="0.25">
      <c r="A143" s="40">
        <f>IF('EVA Calcs'!V175="Y",'EVA Calcs'!C175,NA())</f>
        <v>0.2410000000000001</v>
      </c>
      <c r="B143" s="40">
        <f>IF('EVA Calcs'!V175="Y",'EVA Calcs'!D175,NA())</f>
        <v>0.38419618528610355</v>
      </c>
      <c r="C143" s="40">
        <f>IF('EVA Calcs'!V175="Y",'EVA Calcs'!E175,NA())</f>
        <v>4.4367901243782051E-2</v>
      </c>
    </row>
    <row r="144" spans="1:3" x14ac:dyDescent="0.25">
      <c r="A144" s="40">
        <f>IF('EVA Calcs'!V176="Y",'EVA Calcs'!C176,NA())</f>
        <v>0.2410000000000001</v>
      </c>
      <c r="B144" s="40">
        <f>IF('EVA Calcs'!V176="Y",'EVA Calcs'!D176,NA())</f>
        <v>0.38692098092643051</v>
      </c>
      <c r="C144" s="40">
        <f>IF('EVA Calcs'!V176="Y",'EVA Calcs'!E176,NA())</f>
        <v>5.1783108586616E-2</v>
      </c>
    </row>
    <row r="145" spans="1:3" x14ac:dyDescent="0.25">
      <c r="A145" s="40">
        <f>IF('EVA Calcs'!V177="Y",'EVA Calcs'!C177,NA())</f>
        <v>0.2410000000000001</v>
      </c>
      <c r="B145" s="40">
        <f>IF('EVA Calcs'!V177="Y",'EVA Calcs'!D177,NA())</f>
        <v>0.38964577656675747</v>
      </c>
      <c r="C145" s="40">
        <f>IF('EVA Calcs'!V177="Y",'EVA Calcs'!E177,NA())</f>
        <v>5.9201091609683974E-2</v>
      </c>
    </row>
    <row r="146" spans="1:3" x14ac:dyDescent="0.25">
      <c r="A146" s="40">
        <f>IF('EVA Calcs'!V178="Y",'EVA Calcs'!C178,NA())</f>
        <v>0.2410000000000001</v>
      </c>
      <c r="B146" s="40">
        <f>IF('EVA Calcs'!V178="Y",'EVA Calcs'!D178,NA())</f>
        <v>0.39237057220708449</v>
      </c>
      <c r="C146" s="40">
        <f>IF('EVA Calcs'!V178="Y",'EVA Calcs'!E178,NA())</f>
        <v>6.6622238859779789E-2</v>
      </c>
    </row>
    <row r="147" spans="1:3" x14ac:dyDescent="0.25">
      <c r="A147" s="40">
        <f>IF('EVA Calcs'!V179="Y",'EVA Calcs'!C179,NA())</f>
        <v>0.2410000000000001</v>
      </c>
      <c r="B147" s="40">
        <f>IF('EVA Calcs'!V179="Y",'EVA Calcs'!D179,NA())</f>
        <v>0.39509536784741145</v>
      </c>
      <c r="C147" s="40">
        <f>IF('EVA Calcs'!V179="Y",'EVA Calcs'!E179,NA())</f>
        <v>7.4046937179782835E-2</v>
      </c>
    </row>
    <row r="148" spans="1:3" x14ac:dyDescent="0.25">
      <c r="A148" s="40">
        <f>IF('EVA Calcs'!V180="Y",'EVA Calcs'!C180,NA())</f>
        <v>0.2410000000000001</v>
      </c>
      <c r="B148" s="40">
        <f>IF('EVA Calcs'!V180="Y",'EVA Calcs'!D180,NA())</f>
        <v>0.39782016348773841</v>
      </c>
      <c r="C148" s="40">
        <f>IF('EVA Calcs'!V180="Y",'EVA Calcs'!E180,NA())</f>
        <v>8.1475571858209E-2</v>
      </c>
    </row>
    <row r="149" spans="1:3" x14ac:dyDescent="0.25">
      <c r="A149" s="40">
        <f>IF('EVA Calcs'!V181="Y",'EVA Calcs'!C181,NA())</f>
        <v>0.2410000000000001</v>
      </c>
      <c r="B149" s="40">
        <f>IF('EVA Calcs'!V181="Y",'EVA Calcs'!D181,NA())</f>
        <v>0.40054495912806537</v>
      </c>
      <c r="C149" s="40">
        <f>IF('EVA Calcs'!V181="Y",'EVA Calcs'!E181,NA())</f>
        <v>8.8908526776249747E-2</v>
      </c>
    </row>
    <row r="150" spans="1:3" x14ac:dyDescent="0.25">
      <c r="A150" s="40">
        <f>IF('EVA Calcs'!V182="Y",'EVA Calcs'!C182,NA())</f>
        <v>0.2410000000000001</v>
      </c>
      <c r="B150" s="40">
        <f>IF('EVA Calcs'!V182="Y",'EVA Calcs'!D182,NA())</f>
        <v>0.40326975476839239</v>
      </c>
      <c r="C150" s="40">
        <f>IF('EVA Calcs'!V182="Y",'EVA Calcs'!E182,NA())</f>
        <v>9.6346184552466255E-2</v>
      </c>
    </row>
    <row r="151" spans="1:3" x14ac:dyDescent="0.25">
      <c r="A151" s="40">
        <f>IF('EVA Calcs'!V183="Y",'EVA Calcs'!C183,NA())</f>
        <v>0.2410000000000001</v>
      </c>
      <c r="B151" s="40">
        <f>IF('EVA Calcs'!V183="Y",'EVA Calcs'!D183,NA())</f>
        <v>0.40599455040871935</v>
      </c>
      <c r="C151" s="40">
        <f>IF('EVA Calcs'!V183="Y",'EVA Calcs'!E183,NA())</f>
        <v>0.10378892668529331</v>
      </c>
    </row>
    <row r="152" spans="1:3" x14ac:dyDescent="0.25">
      <c r="A152" s="40">
        <f>IF('EVA Calcs'!V184="Y",'EVA Calcs'!C184,NA())</f>
        <v>0.2410000000000001</v>
      </c>
      <c r="B152" s="40">
        <f>IF('EVA Calcs'!V184="Y",'EVA Calcs'!D184,NA())</f>
        <v>0.40871934604904631</v>
      </c>
      <c r="C152" s="40">
        <f>IF('EVA Calcs'!V184="Y",'EVA Calcs'!E184,NA())</f>
        <v>0.11123713369351067</v>
      </c>
    </row>
    <row r="153" spans="1:3" x14ac:dyDescent="0.25">
      <c r="A153" s="40">
        <f>IF('EVA Calcs'!V185="Y",'EVA Calcs'!C185,NA())</f>
        <v>0.2410000000000001</v>
      </c>
      <c r="B153" s="40">
        <f>IF('EVA Calcs'!V185="Y",'EVA Calcs'!D185,NA())</f>
        <v>0.41144414168937332</v>
      </c>
      <c r="C153" s="40">
        <f>IF('EVA Calcs'!V185="Y",'EVA Calcs'!E185,NA())</f>
        <v>0.11869118525482614</v>
      </c>
    </row>
    <row r="154" spans="1:3" x14ac:dyDescent="0.25">
      <c r="A154" s="40">
        <f>IF('EVA Calcs'!V186="Y",'EVA Calcs'!C186,NA())</f>
        <v>0.2410000000000001</v>
      </c>
      <c r="B154" s="40">
        <f>IF('EVA Calcs'!V186="Y",'EVA Calcs'!D186,NA())</f>
        <v>0.41416893732970028</v>
      </c>
      <c r="C154" s="40">
        <f>IF('EVA Calcs'!V186="Y",'EVA Calcs'!E186,NA())</f>
        <v>0.12615146034271646</v>
      </c>
    </row>
    <row r="155" spans="1:3" x14ac:dyDescent="0.25">
      <c r="A155" s="40">
        <f>IF('EVA Calcs'!V187="Y",'EVA Calcs'!C187,NA())</f>
        <v>0.2410000000000001</v>
      </c>
      <c r="B155" s="40">
        <f>IF('EVA Calcs'!V187="Y",'EVA Calcs'!D187,NA())</f>
        <v>0.41689373297002724</v>
      </c>
      <c r="C155" s="40">
        <f>IF('EVA Calcs'!V187="Y",'EVA Calcs'!E187,NA())</f>
        <v>0.13361833736166695</v>
      </c>
    </row>
    <row r="156" spans="1:3" x14ac:dyDescent="0.25">
      <c r="A156" s="40">
        <f>IF('EVA Calcs'!V188="Y",'EVA Calcs'!C188,NA())</f>
        <v>0.2410000000000001</v>
      </c>
      <c r="B156" s="40">
        <f>IF('EVA Calcs'!V188="Y",'EVA Calcs'!D188,NA())</f>
        <v>0.4196185286103542</v>
      </c>
      <c r="C156" s="40">
        <f>IF('EVA Calcs'!V188="Y",'EVA Calcs'!E188,NA())</f>
        <v>0.14109219428094424</v>
      </c>
    </row>
    <row r="157" spans="1:3" x14ac:dyDescent="0.25">
      <c r="A157" s="40">
        <f>IF('EVA Calcs'!V189="Y",'EVA Calcs'!C189,NA())</f>
        <v>0.2410000000000001</v>
      </c>
      <c r="B157" s="40">
        <f>IF('EVA Calcs'!V189="Y",'EVA Calcs'!D189,NA())</f>
        <v>0.42234332425068122</v>
      </c>
      <c r="C157" s="40">
        <f>IF('EVA Calcs'!V189="Y",'EVA Calcs'!E189,NA())</f>
        <v>0.14857340876703592</v>
      </c>
    </row>
    <row r="158" spans="1:3" x14ac:dyDescent="0.25">
      <c r="A158" s="40">
        <f>IF('EVA Calcs'!V190="Y",'EVA Calcs'!C190,NA())</f>
        <v>0.2410000000000001</v>
      </c>
      <c r="B158" s="40">
        <f>IF('EVA Calcs'!V190="Y",'EVA Calcs'!D190,NA())</f>
        <v>0.42506811989100818</v>
      </c>
      <c r="C158" s="40">
        <f>IF('EVA Calcs'!V190="Y",'EVA Calcs'!E190,NA())</f>
        <v>0.15606235831488632</v>
      </c>
    </row>
    <row r="159" spans="1:3" x14ac:dyDescent="0.25">
      <c r="A159" s="40">
        <f>IF('EVA Calcs'!V191="Y",'EVA Calcs'!C191,NA())</f>
        <v>0.2410000000000001</v>
      </c>
      <c r="B159" s="40">
        <f>IF('EVA Calcs'!V191="Y",'EVA Calcs'!D191,NA())</f>
        <v>0.42779291553133514</v>
      </c>
      <c r="C159" s="40">
        <f>IF('EVA Calcs'!V191="Y",'EVA Calcs'!E191,NA())</f>
        <v>0.16355942037805526</v>
      </c>
    </row>
    <row r="160" spans="1:3" x14ac:dyDescent="0.25">
      <c r="A160" s="40">
        <f>IF('EVA Calcs'!V192="Y",'EVA Calcs'!C192,NA())</f>
        <v>0.2410000000000001</v>
      </c>
      <c r="B160" s="40">
        <f>IF('EVA Calcs'!V192="Y",'EVA Calcs'!D192,NA())</f>
        <v>0.4305177111716621</v>
      </c>
      <c r="C160" s="40">
        <f>IF('EVA Calcs'!V192="Y",'EVA Calcs'!E192,NA())</f>
        <v>0.17106497249792332</v>
      </c>
    </row>
    <row r="161" spans="1:3" x14ac:dyDescent="0.25">
      <c r="A161" s="40">
        <f>IF('EVA Calcs'!V193="Y",'EVA Calcs'!C193,NA())</f>
        <v>0.2410000000000001</v>
      </c>
      <c r="B161" s="40">
        <f>IF('EVA Calcs'!V193="Y",'EVA Calcs'!D193,NA())</f>
        <v>0.43324250681198911</v>
      </c>
      <c r="C161" s="40">
        <f>IF('EVA Calcs'!V193="Y",'EVA Calcs'!E193,NA())</f>
        <v>0.17857939243206433</v>
      </c>
    </row>
    <row r="162" spans="1:3" x14ac:dyDescent="0.25">
      <c r="A162" s="40">
        <f>IF('EVA Calcs'!V194="Y",'EVA Calcs'!C194,NA())</f>
        <v>0.26509999999999989</v>
      </c>
      <c r="B162" s="40">
        <f>IF('EVA Calcs'!V194="Y",'EVA Calcs'!D194,NA())</f>
        <v>0.43596730245231607</v>
      </c>
      <c r="C162" s="40">
        <f>IF('EVA Calcs'!V194="Y",'EVA Calcs'!E194,NA())</f>
        <v>0.18610305828190474</v>
      </c>
    </row>
    <row r="163" spans="1:3" x14ac:dyDescent="0.25">
      <c r="A163" s="40">
        <f>IF('EVA Calcs'!V195="Y",'EVA Calcs'!C195,NA())</f>
        <v>0.26509999999999989</v>
      </c>
      <c r="B163" s="40">
        <f>IF('EVA Calcs'!V195="Y",'EVA Calcs'!D195,NA())</f>
        <v>0.43869209809264303</v>
      </c>
      <c r="C163" s="40">
        <f>IF('EVA Calcs'!V195="Y",'EVA Calcs'!E195,NA())</f>
        <v>0.19363634861978829</v>
      </c>
    </row>
    <row r="164" spans="1:3" x14ac:dyDescent="0.25">
      <c r="A164" s="40">
        <f>IF('EVA Calcs'!V196="Y",'EVA Calcs'!C196,NA())</f>
        <v>0.26509999999999989</v>
      </c>
      <c r="B164" s="40">
        <f>IF('EVA Calcs'!V196="Y",'EVA Calcs'!D196,NA())</f>
        <v>0.44141689373297005</v>
      </c>
      <c r="C164" s="40">
        <f>IF('EVA Calcs'!V196="Y",'EVA Calcs'!E196,NA())</f>
        <v>0.2011796426155571</v>
      </c>
    </row>
    <row r="165" spans="1:3" x14ac:dyDescent="0.25">
      <c r="A165" s="40">
        <f>IF('EVA Calcs'!V197="Y",'EVA Calcs'!C197,NA())</f>
        <v>0.26509999999999989</v>
      </c>
      <c r="B165" s="40">
        <f>IF('EVA Calcs'!V197="Y",'EVA Calcs'!D197,NA())</f>
        <v>0.44414168937329701</v>
      </c>
      <c r="C165" s="40">
        <f>IF('EVA Calcs'!V197="Y",'EVA Calcs'!E197,NA())</f>
        <v>0.20873332016276666</v>
      </c>
    </row>
    <row r="166" spans="1:3" x14ac:dyDescent="0.25">
      <c r="A166" s="40">
        <f>IF('EVA Calcs'!V198="Y",'EVA Calcs'!C198,NA())</f>
        <v>0.26509999999999989</v>
      </c>
      <c r="B166" s="40">
        <f>IF('EVA Calcs'!V198="Y",'EVA Calcs'!D198,NA())</f>
        <v>0.44686648501362397</v>
      </c>
      <c r="C166" s="40">
        <f>IF('EVA Calcs'!V198="Y",'EVA Calcs'!E198,NA())</f>
        <v>0.21629776200464562</v>
      </c>
    </row>
    <row r="167" spans="1:3" x14ac:dyDescent="0.25">
      <c r="A167" s="40">
        <f>IF('EVA Calcs'!V199="Y",'EVA Calcs'!C199,NA())</f>
        <v>0.26509999999999989</v>
      </c>
      <c r="B167" s="40">
        <f>IF('EVA Calcs'!V199="Y",'EVA Calcs'!D199,NA())</f>
        <v>0.44959128065395093</v>
      </c>
      <c r="C167" s="40">
        <f>IF('EVA Calcs'!V199="Y",'EVA Calcs'!E199,NA())</f>
        <v>0.22387334985991061</v>
      </c>
    </row>
    <row r="168" spans="1:3" x14ac:dyDescent="0.25">
      <c r="A168" s="40">
        <f>IF('EVA Calcs'!V200="Y",'EVA Calcs'!C200,NA())</f>
        <v>0.26509999999999989</v>
      </c>
      <c r="B168" s="40">
        <f>IF('EVA Calcs'!V200="Y",'EVA Calcs'!D200,NA())</f>
        <v>0.45231607629427795</v>
      </c>
      <c r="C168" s="40">
        <f>IF('EVA Calcs'!V200="Y",'EVA Calcs'!E200,NA())</f>
        <v>0.23146046654854555</v>
      </c>
    </row>
    <row r="169" spans="1:3" x14ac:dyDescent="0.25">
      <c r="A169" s="40">
        <f>IF('EVA Calcs'!V201="Y",'EVA Calcs'!C201,NA())</f>
        <v>0.26509999999999989</v>
      </c>
      <c r="B169" s="40">
        <f>IF('EVA Calcs'!V201="Y",'EVA Calcs'!D201,NA())</f>
        <v>0.45504087193460491</v>
      </c>
      <c r="C169" s="40">
        <f>IF('EVA Calcs'!V201="Y",'EVA Calcs'!E201,NA())</f>
        <v>0.23905949611765628</v>
      </c>
    </row>
    <row r="170" spans="1:3" x14ac:dyDescent="0.25">
      <c r="A170" s="40">
        <f>IF('EVA Calcs'!V202="Y",'EVA Calcs'!C202,NA())</f>
        <v>0.26509999999999989</v>
      </c>
      <c r="B170" s="40">
        <f>IF('EVA Calcs'!V202="Y",'EVA Calcs'!D202,NA())</f>
        <v>0.45776566757493187</v>
      </c>
      <c r="C170" s="40">
        <f>IF('EVA Calcs'!V202="Y",'EVA Calcs'!E202,NA())</f>
        <v>0.24667082396750856</v>
      </c>
    </row>
    <row r="171" spans="1:3" x14ac:dyDescent="0.25">
      <c r="A171" s="40">
        <f>IF('EVA Calcs'!V203="Y",'EVA Calcs'!C203,NA())</f>
        <v>0.26509999999999989</v>
      </c>
      <c r="B171" s="40">
        <f>IF('EVA Calcs'!V203="Y",'EVA Calcs'!D203,NA())</f>
        <v>0.46049046321525888</v>
      </c>
      <c r="C171" s="40">
        <f>IF('EVA Calcs'!V203="Y",'EVA Calcs'!E203,NA())</f>
        <v>0.25429483697785427</v>
      </c>
    </row>
    <row r="172" spans="1:3" x14ac:dyDescent="0.25">
      <c r="A172" s="40">
        <f>IF('EVA Calcs'!V204="Y",'EVA Calcs'!C204,NA())</f>
        <v>0.26509999999999989</v>
      </c>
      <c r="B172" s="40">
        <f>IF('EVA Calcs'!V204="Y",'EVA Calcs'!D204,NA())</f>
        <v>0.46321525885558584</v>
      </c>
      <c r="C172" s="40">
        <f>IF('EVA Calcs'!V204="Y",'EVA Calcs'!E204,NA())</f>
        <v>0.26193192363465811</v>
      </c>
    </row>
    <row r="173" spans="1:3" x14ac:dyDescent="0.25">
      <c r="A173" s="40">
        <f>IF('EVA Calcs'!V205="Y",'EVA Calcs'!C205,NA())</f>
        <v>0.26509999999999989</v>
      </c>
      <c r="B173" s="40">
        <f>IF('EVA Calcs'!V205="Y",'EVA Calcs'!D205,NA())</f>
        <v>0.4659400544959128</v>
      </c>
      <c r="C173" s="40">
        <f>IF('EVA Calcs'!V205="Y",'EVA Calcs'!E205,NA())</f>
        <v>0.26958247415732917</v>
      </c>
    </row>
    <row r="174" spans="1:3" x14ac:dyDescent="0.25">
      <c r="A174" s="40">
        <f>IF('EVA Calcs'!V206="Y",'EVA Calcs'!C206,NA())</f>
        <v>0.26509999999999989</v>
      </c>
      <c r="B174" s="40">
        <f>IF('EVA Calcs'!V206="Y",'EVA Calcs'!D206,NA())</f>
        <v>0.46866485013623976</v>
      </c>
      <c r="C174" s="40">
        <f>IF('EVA Calcs'!V206="Y",'EVA Calcs'!E206,NA())</f>
        <v>0.27724688062656555</v>
      </c>
    </row>
    <row r="175" spans="1:3" x14ac:dyDescent="0.25">
      <c r="A175" s="40">
        <f>IF('EVA Calcs'!V207="Y",'EVA Calcs'!C207,NA())</f>
        <v>0.26509999999999989</v>
      </c>
      <c r="B175" s="40">
        <f>IF('EVA Calcs'!V207="Y",'EVA Calcs'!D207,NA())</f>
        <v>0.47138964577656678</v>
      </c>
      <c r="C175" s="40">
        <f>IF('EVA Calcs'!V207="Y",'EVA Calcs'!E207,NA())</f>
        <v>0.28492553711291985</v>
      </c>
    </row>
    <row r="176" spans="1:3" x14ac:dyDescent="0.25">
      <c r="A176" s="40">
        <f>IF('EVA Calcs'!V208="Y",'EVA Calcs'!C208,NA())</f>
        <v>0.26509999999999989</v>
      </c>
      <c r="B176" s="40">
        <f>IF('EVA Calcs'!V208="Y",'EVA Calcs'!D208,NA())</f>
        <v>0.47411444141689374</v>
      </c>
      <c r="C176" s="40">
        <f>IF('EVA Calcs'!V208="Y",'EVA Calcs'!E208,NA())</f>
        <v>0.29261883980619408</v>
      </c>
    </row>
    <row r="177" spans="1:3" x14ac:dyDescent="0.25">
      <c r="A177" s="40">
        <f>IF('EVA Calcs'!V209="Y",'EVA Calcs'!C209,NA())</f>
        <v>0.26509999999999989</v>
      </c>
      <c r="B177" s="40">
        <f>IF('EVA Calcs'!V209="Y",'EVA Calcs'!D209,NA())</f>
        <v>0.4768392370572207</v>
      </c>
      <c r="C177" s="40">
        <f>IF('EVA Calcs'!V209="Y",'EVA Calcs'!E209,NA())</f>
        <v>0.30032718714577333</v>
      </c>
    </row>
    <row r="178" spans="1:3" x14ac:dyDescent="0.25">
      <c r="A178" s="40">
        <f>IF('EVA Calcs'!V210="Y",'EVA Calcs'!C210,NA())</f>
        <v>0.26509999999999989</v>
      </c>
      <c r="B178" s="40">
        <f>IF('EVA Calcs'!V210="Y",'EVA Calcs'!D210,NA())</f>
        <v>0.47956403269754766</v>
      </c>
      <c r="C178" s="40">
        <f>IF('EVA Calcs'!V210="Y",'EVA Calcs'!E210,NA())</f>
        <v>0.30805097995200537</v>
      </c>
    </row>
    <row r="179" spans="1:3" x14ac:dyDescent="0.25">
      <c r="A179" s="40">
        <f>IF('EVA Calcs'!V211="Y",'EVA Calcs'!C211,NA())</f>
        <v>0.26509999999999989</v>
      </c>
      <c r="B179" s="40">
        <f>IF('EVA Calcs'!V211="Y",'EVA Calcs'!D211,NA())</f>
        <v>0.48228882833787468</v>
      </c>
      <c r="C179" s="40">
        <f>IF('EVA Calcs'!V211="Y",'EVA Calcs'!E211,NA())</f>
        <v>0.31579062155873949</v>
      </c>
    </row>
    <row r="180" spans="1:3" x14ac:dyDescent="0.25">
      <c r="A180" s="40">
        <f>IF('EVA Calcs'!V212="Y",'EVA Calcs'!C212,NA())</f>
        <v>0.26509999999999989</v>
      </c>
      <c r="B180" s="40">
        <f>IF('EVA Calcs'!V212="Y",'EVA Calcs'!D212,NA())</f>
        <v>0.48501362397820164</v>
      </c>
      <c r="C180" s="40">
        <f>IF('EVA Calcs'!V212="Y",'EVA Calcs'!E212,NA())</f>
        <v>0.32354651794713363</v>
      </c>
    </row>
    <row r="181" spans="1:3" x14ac:dyDescent="0.25">
      <c r="A181" s="40">
        <f>IF('EVA Calcs'!V213="Y",'EVA Calcs'!C213,NA())</f>
        <v>0.26509999999999989</v>
      </c>
      <c r="B181" s="40">
        <f>IF('EVA Calcs'!V213="Y",'EVA Calcs'!D213,NA())</f>
        <v>0.4877384196185286</v>
      </c>
      <c r="C181" s="40">
        <f>IF('EVA Calcs'!V213="Y",'EVA Calcs'!E213,NA())</f>
        <v>0.33131907788084602</v>
      </c>
    </row>
    <row r="182" spans="1:3" x14ac:dyDescent="0.25">
      <c r="A182" s="40">
        <f>IF('EVA Calcs'!V214="Y",'EVA Calcs'!C214,NA())</f>
        <v>0.26509999999999989</v>
      </c>
      <c r="B182" s="40">
        <f>IF('EVA Calcs'!V214="Y",'EVA Calcs'!D214,NA())</f>
        <v>0.49046321525885561</v>
      </c>
      <c r="C182" s="40">
        <f>IF('EVA Calcs'!V214="Y",'EVA Calcs'!E214,NA())</f>
        <v>0.3391087130427205</v>
      </c>
    </row>
    <row r="183" spans="1:3" x14ac:dyDescent="0.25">
      <c r="A183" s="40">
        <f>IF('EVA Calcs'!V215="Y",'EVA Calcs'!C215,NA())</f>
        <v>0.26509999999999989</v>
      </c>
      <c r="B183" s="40">
        <f>IF('EVA Calcs'!V215="Y",'EVA Calcs'!D215,NA())</f>
        <v>0.49318801089918257</v>
      </c>
      <c r="C183" s="40">
        <f>IF('EVA Calcs'!V215="Y",'EVA Calcs'!E215,NA())</f>
        <v>0.34691583817308647</v>
      </c>
    </row>
    <row r="184" spans="1:3" x14ac:dyDescent="0.25">
      <c r="A184" s="40">
        <f>IF('EVA Calcs'!V216="Y",'EVA Calcs'!C216,NA())</f>
        <v>0.26509999999999989</v>
      </c>
      <c r="B184" s="40">
        <f>IF('EVA Calcs'!V216="Y",'EVA Calcs'!D216,NA())</f>
        <v>0.49591280653950953</v>
      </c>
      <c r="C184" s="40">
        <f>IF('EVA Calcs'!V216="Y",'EVA Calcs'!E216,NA())</f>
        <v>0.35474087120978925</v>
      </c>
    </row>
    <row r="185" spans="1:3" x14ac:dyDescent="0.25">
      <c r="A185" s="40">
        <f>IF('EVA Calcs'!V217="Y",'EVA Calcs'!C217,NA())</f>
        <v>0.26509999999999989</v>
      </c>
      <c r="B185" s="40">
        <f>IF('EVA Calcs'!V217="Y",'EVA Calcs'!D217,NA())</f>
        <v>0.49863760217983649</v>
      </c>
      <c r="C185" s="40">
        <f>IF('EVA Calcs'!V217="Y",'EVA Calcs'!E217,NA())</f>
        <v>0.36258423343006985</v>
      </c>
    </row>
    <row r="186" spans="1:3" x14ac:dyDescent="0.25">
      <c r="A186" s="40">
        <f>IF('EVA Calcs'!V218="Y",'EVA Calcs'!C218,NA())</f>
        <v>0.26509999999999989</v>
      </c>
      <c r="B186" s="40">
        <f>IF('EVA Calcs'!V218="Y",'EVA Calcs'!D218,NA())</f>
        <v>0.50136239782016345</v>
      </c>
      <c r="C186" s="40">
        <f>IF('EVA Calcs'!V218="Y",'EVA Calcs'!E218,NA())</f>
        <v>0.37044634959441686</v>
      </c>
    </row>
    <row r="187" spans="1:3" x14ac:dyDescent="0.25">
      <c r="A187" s="40">
        <f>IF('EVA Calcs'!V219="Y",'EVA Calcs'!C219,NA())</f>
        <v>0.26509999999999989</v>
      </c>
      <c r="B187" s="40">
        <f>IF('EVA Calcs'!V219="Y",'EVA Calcs'!D219,NA())</f>
        <v>0.50408719346049047</v>
      </c>
      <c r="C187" s="40">
        <f>IF('EVA Calcs'!V219="Y",'EVA Calcs'!E219,NA())</f>
        <v>0.37832764809251523</v>
      </c>
    </row>
    <row r="188" spans="1:3" x14ac:dyDescent="0.25">
      <c r="A188" s="40">
        <f>IF('EVA Calcs'!V220="Y",'EVA Calcs'!C220,NA())</f>
        <v>0.26509999999999989</v>
      </c>
      <c r="B188" s="40">
        <f>IF('EVA Calcs'!V220="Y",'EVA Calcs'!D220,NA())</f>
        <v>0.50681198910081748</v>
      </c>
      <c r="C188" s="40">
        <f>IF('EVA Calcs'!V220="Y",'EVA Calcs'!E220,NA())</f>
        <v>0.38622856109141929</v>
      </c>
    </row>
    <row r="189" spans="1:3" x14ac:dyDescent="0.25">
      <c r="A189" s="40">
        <f>IF('EVA Calcs'!V221="Y",'EVA Calcs'!C221,NA())</f>
        <v>0.28920000000000012</v>
      </c>
      <c r="B189" s="40">
        <f>IF('EVA Calcs'!V221="Y",'EVA Calcs'!D221,NA())</f>
        <v>0.50953678474114439</v>
      </c>
      <c r="C189" s="40">
        <f>IF('EVA Calcs'!V221="Y",'EVA Calcs'!E221,NA())</f>
        <v>0.39414952468607772</v>
      </c>
    </row>
    <row r="190" spans="1:3" x14ac:dyDescent="0.25">
      <c r="A190" s="40">
        <f>IF('EVA Calcs'!V222="Y",'EVA Calcs'!C222,NA())</f>
        <v>0.28920000000000012</v>
      </c>
      <c r="B190" s="40">
        <f>IF('EVA Calcs'!V222="Y",'EVA Calcs'!D222,NA())</f>
        <v>0.5122615803814714</v>
      </c>
      <c r="C190" s="40">
        <f>IF('EVA Calcs'!V222="Y",'EVA Calcs'!E222,NA())</f>
        <v>0.40209097905234709</v>
      </c>
    </row>
    <row r="191" spans="1:3" x14ac:dyDescent="0.25">
      <c r="A191" s="40">
        <f>IF('EVA Calcs'!V223="Y",'EVA Calcs'!C223,NA())</f>
        <v>0.28920000000000012</v>
      </c>
      <c r="B191" s="40">
        <f>IF('EVA Calcs'!V223="Y",'EVA Calcs'!D223,NA())</f>
        <v>0.51498637602179842</v>
      </c>
      <c r="C191" s="40">
        <f>IF('EVA Calcs'!V223="Y",'EVA Calcs'!E223,NA())</f>
        <v>0.41005336860262531</v>
      </c>
    </row>
    <row r="192" spans="1:3" x14ac:dyDescent="0.25">
      <c r="A192" s="40">
        <f>IF('EVA Calcs'!V224="Y",'EVA Calcs'!C224,NA())</f>
        <v>0.28920000000000012</v>
      </c>
      <c r="B192" s="40">
        <f>IF('EVA Calcs'!V224="Y",'EVA Calcs'!D224,NA())</f>
        <v>0.51771117166212532</v>
      </c>
      <c r="C192" s="40">
        <f>IF('EVA Calcs'!V224="Y",'EVA Calcs'!E224,NA())</f>
        <v>0.41803714214424792</v>
      </c>
    </row>
    <row r="193" spans="1:3" x14ac:dyDescent="0.25">
      <c r="A193" s="40">
        <f>IF('EVA Calcs'!V225="Y",'EVA Calcs'!C225,NA())</f>
        <v>0.28920000000000012</v>
      </c>
      <c r="B193" s="40">
        <f>IF('EVA Calcs'!V225="Y",'EVA Calcs'!D225,NA())</f>
        <v>0.52043596730245234</v>
      </c>
      <c r="C193" s="40">
        <f>IF('EVA Calcs'!V225="Y",'EVA Calcs'!E225,NA())</f>
        <v>0.42604275304079281</v>
      </c>
    </row>
    <row r="194" spans="1:3" x14ac:dyDescent="0.25">
      <c r="A194" s="40">
        <f>IF('EVA Calcs'!V226="Y",'EVA Calcs'!C226,NA())</f>
        <v>0.28920000000000012</v>
      </c>
      <c r="B194" s="40">
        <f>IF('EVA Calcs'!V226="Y",'EVA Calcs'!D226,NA())</f>
        <v>0.52316076294277924</v>
      </c>
      <c r="C194" s="40">
        <f>IF('EVA Calcs'!V226="Y",'EVA Calcs'!E226,NA())</f>
        <v>0.43407065937643136</v>
      </c>
    </row>
    <row r="195" spans="1:3" x14ac:dyDescent="0.25">
      <c r="A195" s="40">
        <f>IF('EVA Calcs'!V227="Y",'EVA Calcs'!C227,NA())</f>
        <v>0.28920000000000012</v>
      </c>
      <c r="B195" s="40">
        <f>IF('EVA Calcs'!V227="Y",'EVA Calcs'!D227,NA())</f>
        <v>0.52588555858310626</v>
      </c>
      <c r="C195" s="40">
        <f>IF('EVA Calcs'!V227="Y",'EVA Calcs'!E227,NA())</f>
        <v>0.4421213241234907</v>
      </c>
    </row>
    <row r="196" spans="1:3" x14ac:dyDescent="0.25">
      <c r="A196" s="40">
        <f>IF('EVA Calcs'!V228="Y",'EVA Calcs'!C228,NA())</f>
        <v>0.28920000000000012</v>
      </c>
      <c r="B196" s="40">
        <f>IF('EVA Calcs'!V228="Y",'EVA Calcs'!D228,NA())</f>
        <v>0.52861035422343328</v>
      </c>
      <c r="C196" s="40">
        <f>IF('EVA Calcs'!V228="Y",'EVA Calcs'!E228,NA())</f>
        <v>0.45019521531336965</v>
      </c>
    </row>
    <row r="197" spans="1:3" x14ac:dyDescent="0.25">
      <c r="A197" s="40">
        <f>IF('EVA Calcs'!V229="Y",'EVA Calcs'!C229,NA())</f>
        <v>0.28920000000000012</v>
      </c>
      <c r="B197" s="40">
        <f>IF('EVA Calcs'!V229="Y",'EVA Calcs'!D229,NA())</f>
        <v>0.53133514986376018</v>
      </c>
      <c r="C197" s="40">
        <f>IF('EVA Calcs'!V229="Y",'EVA Calcs'!E229,NA())</f>
        <v>0.45829280621098017</v>
      </c>
    </row>
    <row r="198" spans="1:3" x14ac:dyDescent="0.25">
      <c r="A198" s="40">
        <f>IF('EVA Calcs'!V230="Y",'EVA Calcs'!C230,NA())</f>
        <v>0.28920000000000012</v>
      </c>
      <c r="B198" s="40">
        <f>IF('EVA Calcs'!V230="Y",'EVA Calcs'!D230,NA())</f>
        <v>0.5340599455040872</v>
      </c>
      <c r="C198" s="40">
        <f>IF('EVA Calcs'!V230="Y",'EVA Calcs'!E230,NA())</f>
        <v>0.46641457549287352</v>
      </c>
    </row>
    <row r="199" spans="1:3" x14ac:dyDescent="0.25">
      <c r="A199" s="40">
        <f>IF('EVA Calcs'!V231="Y",'EVA Calcs'!C231,NA())</f>
        <v>0.28920000000000012</v>
      </c>
      <c r="B199" s="40">
        <f>IF('EVA Calcs'!V231="Y",'EVA Calcs'!D231,NA())</f>
        <v>0.53678474114441421</v>
      </c>
      <c r="C199" s="40">
        <f>IF('EVA Calcs'!V231="Y",'EVA Calcs'!E231,NA())</f>
        <v>0.47456100742922314</v>
      </c>
    </row>
    <row r="200" spans="1:3" x14ac:dyDescent="0.25">
      <c r="A200" s="40">
        <f>IF('EVA Calcs'!V232="Y",'EVA Calcs'!C232,NA())</f>
        <v>0.28920000000000012</v>
      </c>
      <c r="B200" s="40">
        <f>IF('EVA Calcs'!V232="Y",'EVA Calcs'!D232,NA())</f>
        <v>0.53950953678474112</v>
      </c>
      <c r="C200" s="40">
        <f>IF('EVA Calcs'!V232="Y",'EVA Calcs'!E232,NA())</f>
        <v>0.48273259206984265</v>
      </c>
    </row>
    <row r="201" spans="1:3" x14ac:dyDescent="0.25">
      <c r="A201" s="40">
        <f>IF('EVA Calcs'!V233="Y",'EVA Calcs'!C233,NA())</f>
        <v>0.28920000000000012</v>
      </c>
      <c r="B201" s="40">
        <f>IF('EVA Calcs'!V233="Y",'EVA Calcs'!D233,NA())</f>
        <v>0.54223433242506813</v>
      </c>
      <c r="C201" s="40">
        <f>IF('EVA Calcs'!V233="Y",'EVA Calcs'!E233,NA())</f>
        <v>0.49092982543442254</v>
      </c>
    </row>
    <row r="202" spans="1:3" x14ac:dyDescent="0.25">
      <c r="A202" s="40">
        <f>IF('EVA Calcs'!V234="Y",'EVA Calcs'!C234,NA())</f>
        <v>0.28920000000000012</v>
      </c>
      <c r="B202" s="40">
        <f>IF('EVA Calcs'!V234="Y",'EVA Calcs'!D234,NA())</f>
        <v>0.54495912806539515</v>
      </c>
      <c r="C202" s="40">
        <f>IF('EVA Calcs'!V234="Y",'EVA Calcs'!E234,NA())</f>
        <v>0.4991532097071682</v>
      </c>
    </row>
    <row r="203" spans="1:3" x14ac:dyDescent="0.25">
      <c r="A203" s="40">
        <f>IF('EVA Calcs'!V235="Y",'EVA Calcs'!C235,NA())</f>
        <v>0.28920000000000012</v>
      </c>
      <c r="B203" s="40">
        <f>IF('EVA Calcs'!V235="Y",'EVA Calcs'!D235,NA())</f>
        <v>0.54768392370572205</v>
      </c>
      <c r="C203" s="40">
        <f>IF('EVA Calcs'!V235="Y",'EVA Calcs'!E235,NA())</f>
        <v>0.50740325343604376</v>
      </c>
    </row>
    <row r="204" spans="1:3" x14ac:dyDescent="0.25">
      <c r="A204" s="40">
        <f>IF('EVA Calcs'!V236="Y",'EVA Calcs'!C236,NA())</f>
        <v>0.28920000000000012</v>
      </c>
      <c r="B204" s="40">
        <f>IF('EVA Calcs'!V236="Y",'EVA Calcs'!D236,NA())</f>
        <v>0.55040871934604907</v>
      </c>
      <c r="C204" s="40">
        <f>IF('EVA Calcs'!V236="Y",'EVA Calcs'!E236,NA())</f>
        <v>0.51568047173681986</v>
      </c>
    </row>
    <row r="205" spans="1:3" x14ac:dyDescent="0.25">
      <c r="A205" s="40">
        <f>IF('EVA Calcs'!V237="Y",'EVA Calcs'!C237,NA())</f>
        <v>0.28920000000000012</v>
      </c>
      <c r="B205" s="40">
        <f>IF('EVA Calcs'!V237="Y",'EVA Calcs'!D237,NA())</f>
        <v>0.55313351498637597</v>
      </c>
      <c r="C205" s="40">
        <f>IF('EVA Calcs'!V237="Y",'EVA Calcs'!E237,NA())</f>
        <v>0.52398538650213056</v>
      </c>
    </row>
    <row r="206" spans="1:3" x14ac:dyDescent="0.25">
      <c r="A206" s="40">
        <f>IF('EVA Calcs'!V238="Y",'EVA Calcs'!C238,NA())</f>
        <v>0.28920000000000012</v>
      </c>
      <c r="B206" s="40">
        <f>IF('EVA Calcs'!V238="Y",'EVA Calcs'!D238,NA())</f>
        <v>0.55585831062670299</v>
      </c>
      <c r="C206" s="40">
        <f>IF('EVA Calcs'!V238="Y",'EVA Calcs'!E238,NA())</f>
        <v>0.53231852661577062</v>
      </c>
    </row>
    <row r="207" spans="1:3" x14ac:dyDescent="0.25">
      <c r="A207" s="40">
        <f>IF('EVA Calcs'!V239="Y",'EVA Calcs'!C239,NA())</f>
        <v>0.28920000000000012</v>
      </c>
      <c r="B207" s="40">
        <f>IF('EVA Calcs'!V239="Y",'EVA Calcs'!D239,NA())</f>
        <v>0.55858310626703001</v>
      </c>
      <c r="C207" s="40">
        <f>IF('EVA Calcs'!V239="Y",'EVA Calcs'!E239,NA())</f>
        <v>0.54068042817244211</v>
      </c>
    </row>
    <row r="208" spans="1:3" x14ac:dyDescent="0.25">
      <c r="A208" s="40">
        <f>IF('EVA Calcs'!V240="Y",'EVA Calcs'!C240,NA())</f>
        <v>0.28920000000000012</v>
      </c>
      <c r="B208" s="40">
        <f>IF('EVA Calcs'!V240="Y",'EVA Calcs'!D240,NA())</f>
        <v>0.56130790190735691</v>
      </c>
      <c r="C208" s="40">
        <f>IF('EVA Calcs'!V240="Y",'EVA Calcs'!E240,NA())</f>
        <v>0.54907163470320153</v>
      </c>
    </row>
    <row r="209" spans="1:3" x14ac:dyDescent="0.25">
      <c r="A209" s="40">
        <f>IF('EVA Calcs'!V241="Y",'EVA Calcs'!C241,NA())</f>
        <v>0.28920000000000012</v>
      </c>
      <c r="B209" s="40">
        <f>IF('EVA Calcs'!V241="Y",'EVA Calcs'!D241,NA())</f>
        <v>0.56403269754768393</v>
      </c>
      <c r="C209" s="40">
        <f>IF('EVA Calcs'!V241="Y",'EVA Calcs'!E241,NA())</f>
        <v>0.55749269740684027</v>
      </c>
    </row>
    <row r="210" spans="1:3" x14ac:dyDescent="0.25">
      <c r="A210" s="40">
        <f>IF('EVA Calcs'!V242="Y",'EVA Calcs'!C242,NA())</f>
        <v>0.28920000000000012</v>
      </c>
      <c r="B210" s="40">
        <f>IF('EVA Calcs'!V242="Y",'EVA Calcs'!D242,NA())</f>
        <v>0.56675749318801094</v>
      </c>
      <c r="C210" s="40">
        <f>IF('EVA Calcs'!V242="Y",'EVA Calcs'!E242,NA())</f>
        <v>0.56594417538745556</v>
      </c>
    </row>
    <row r="211" spans="1:3" x14ac:dyDescent="0.25">
      <c r="A211" s="40">
        <f>IF('EVA Calcs'!V243="Y",'EVA Calcs'!C243,NA())</f>
        <v>0.28920000000000012</v>
      </c>
      <c r="B211" s="40">
        <f>IF('EVA Calcs'!V243="Y",'EVA Calcs'!D243,NA())</f>
        <v>0.56948228882833785</v>
      </c>
      <c r="C211" s="40">
        <f>IF('EVA Calcs'!V243="Y",'EVA Calcs'!E243,NA())</f>
        <v>0.57442663589847798</v>
      </c>
    </row>
    <row r="212" spans="1:3" x14ac:dyDescent="0.25">
      <c r="A212" s="40">
        <f>IF('EVA Calcs'!V244="Y",'EVA Calcs'!C244,NA())</f>
        <v>0.28920000000000012</v>
      </c>
      <c r="B212" s="40">
        <f>IF('EVA Calcs'!V244="Y",'EVA Calcs'!D244,NA())</f>
        <v>0.57220708446866486</v>
      </c>
      <c r="C212" s="40">
        <f>IF('EVA Calcs'!V244="Y",'EVA Calcs'!E244,NA())</f>
        <v>0.5829406545934287</v>
      </c>
    </row>
    <row r="213" spans="1:3" x14ac:dyDescent="0.25">
      <c r="A213" s="40">
        <f>IF('EVA Calcs'!V245="Y",'EVA Calcs'!C245,NA())</f>
        <v>0.28920000000000012</v>
      </c>
      <c r="B213" s="40">
        <f>IF('EVA Calcs'!V245="Y",'EVA Calcs'!D245,NA())</f>
        <v>0.57493188010899188</v>
      </c>
      <c r="C213" s="40">
        <f>IF('EVA Calcs'!V245="Y",'EVA Calcs'!E245,NA())</f>
        <v>0.59148681578369056</v>
      </c>
    </row>
    <row r="214" spans="1:3" x14ac:dyDescent="0.25">
      <c r="A214" s="40">
        <f>IF('EVA Calcs'!V246="Y",'EVA Calcs'!C246,NA())</f>
        <v>0.28920000000000012</v>
      </c>
      <c r="B214" s="40">
        <f>IF('EVA Calcs'!V246="Y",'EVA Calcs'!D246,NA())</f>
        <v>0.57765667574931878</v>
      </c>
      <c r="C214" s="40">
        <f>IF('EVA Calcs'!V246="Y",'EVA Calcs'!E246,NA())</f>
        <v>0.60006571270359232</v>
      </c>
    </row>
    <row r="215" spans="1:3" x14ac:dyDescent="0.25">
      <c r="A215" s="40">
        <f>IF('EVA Calcs'!V247="Y",'EVA Calcs'!C247,NA())</f>
        <v>0.28920000000000012</v>
      </c>
      <c r="B215" s="40">
        <f>IF('EVA Calcs'!V247="Y",'EVA Calcs'!D247,NA())</f>
        <v>0.5803814713896458</v>
      </c>
      <c r="C215" s="40">
        <f>IF('EVA Calcs'!V247="Y",'EVA Calcs'!E247,NA())</f>
        <v>0.60867794778312156</v>
      </c>
    </row>
    <row r="216" spans="1:3" x14ac:dyDescent="0.25">
      <c r="A216" s="40">
        <f>IF('EVA Calcs'!V248="Y",'EVA Calcs'!C248,NA())</f>
        <v>0.28920000000000012</v>
      </c>
      <c r="B216" s="40">
        <f>IF('EVA Calcs'!V248="Y",'EVA Calcs'!D248,NA())</f>
        <v>0.5831062670299727</v>
      </c>
      <c r="C216" s="40">
        <f>IF('EVA Calcs'!V248="Y",'EVA Calcs'!E248,NA())</f>
        <v>0.61732413292857857</v>
      </c>
    </row>
    <row r="217" spans="1:3" x14ac:dyDescent="0.25">
      <c r="A217" s="40">
        <f>IF('EVA Calcs'!V249="Y",'EVA Calcs'!C249,NA())</f>
        <v>0.28920000000000012</v>
      </c>
      <c r="B217" s="40">
        <f>IF('EVA Calcs'!V249="Y",'EVA Calcs'!D249,NA())</f>
        <v>0.58583106267029972</v>
      </c>
      <c r="C217" s="40">
        <f>IF('EVA Calcs'!V249="Y",'EVA Calcs'!E249,NA())</f>
        <v>0.62600488981152491</v>
      </c>
    </row>
    <row r="218" spans="1:3" x14ac:dyDescent="0.25">
      <c r="A218" s="40">
        <f>IF('EVA Calcs'!V250="Y",'EVA Calcs'!C250,NA())</f>
        <v>0.28920000000000012</v>
      </c>
      <c r="B218" s="40">
        <f>IF('EVA Calcs'!V250="Y",'EVA Calcs'!D250,NA())</f>
        <v>0.58855585831062673</v>
      </c>
      <c r="C218" s="40">
        <f>IF('EVA Calcs'!V250="Y",'EVA Calcs'!E250,NA())</f>
        <v>0.63472085016636326</v>
      </c>
    </row>
    <row r="219" spans="1:3" x14ac:dyDescent="0.25">
      <c r="A219" s="40">
        <f>IF('EVA Calcs'!V251="Y",'EVA Calcs'!C251,NA())</f>
        <v>0.28920000000000012</v>
      </c>
      <c r="B219" s="40">
        <f>IF('EVA Calcs'!V251="Y",'EVA Calcs'!D251,NA())</f>
        <v>0.59128065395095364</v>
      </c>
      <c r="C219" s="40">
        <f>IF('EVA Calcs'!V251="Y",'EVA Calcs'!E251,NA())</f>
        <v>0.64347265609692939</v>
      </c>
    </row>
    <row r="220" spans="1:3" x14ac:dyDescent="0.25">
      <c r="A220" s="40">
        <f>IF('EVA Calcs'!V252="Y",'EVA Calcs'!C252,NA())</f>
        <v>0.28920000000000012</v>
      </c>
      <c r="B220" s="40">
        <f>IF('EVA Calcs'!V252="Y",'EVA Calcs'!D252,NA())</f>
        <v>0.59400544959128065</v>
      </c>
      <c r="C220" s="40">
        <f>IF('EVA Calcs'!V252="Y",'EVA Calcs'!E252,NA())</f>
        <v>0.65226096039247727</v>
      </c>
    </row>
    <row r="221" spans="1:3" x14ac:dyDescent="0.25">
      <c r="A221" s="40">
        <f>IF('EVA Calcs'!V253="Y",'EVA Calcs'!C253,NA())</f>
        <v>0.28920000000000012</v>
      </c>
      <c r="B221" s="40">
        <f>IF('EVA Calcs'!V253="Y",'EVA Calcs'!D253,NA())</f>
        <v>0.59673024523160767</v>
      </c>
      <c r="C221" s="40">
        <f>IF('EVA Calcs'!V253="Y",'EVA Calcs'!E253,NA())</f>
        <v>0.66108642685345442</v>
      </c>
    </row>
    <row r="222" spans="1:3" x14ac:dyDescent="0.25">
      <c r="A222" s="40">
        <f>IF('EVA Calcs'!V254="Y",'EVA Calcs'!C254,NA())</f>
        <v>0.28920000000000012</v>
      </c>
      <c r="B222" s="40">
        <f>IF('EVA Calcs'!V254="Y",'EVA Calcs'!D254,NA())</f>
        <v>0.59945504087193457</v>
      </c>
      <c r="C222" s="40">
        <f>IF('EVA Calcs'!V254="Y",'EVA Calcs'!E254,NA())</f>
        <v>0.66994973062749807</v>
      </c>
    </row>
    <row r="223" spans="1:3" x14ac:dyDescent="0.25">
      <c r="A223" s="40">
        <f>IF('EVA Calcs'!V255="Y",'EVA Calcs'!C255,NA())</f>
        <v>0.28920000000000012</v>
      </c>
      <c r="B223" s="40">
        <f>IF('EVA Calcs'!V255="Y",'EVA Calcs'!D255,NA())</f>
        <v>0.60217983651226159</v>
      </c>
      <c r="C223" s="40">
        <f>IF('EVA Calcs'!V255="Y",'EVA Calcs'!E255,NA())</f>
        <v>0.67885155855608592</v>
      </c>
    </row>
    <row r="224" spans="1:3" x14ac:dyDescent="0.25">
      <c r="A224" s="40">
        <f>IF('EVA Calcs'!V256="Y",'EVA Calcs'!C256,NA())</f>
        <v>0.28920000000000012</v>
      </c>
      <c r="B224" s="40">
        <f>IF('EVA Calcs'!V256="Y",'EVA Calcs'!D256,NA())</f>
        <v>0.60490463215258861</v>
      </c>
      <c r="C224" s="40">
        <f>IF('EVA Calcs'!V256="Y",'EVA Calcs'!E256,NA())</f>
        <v>0.68779260953229981</v>
      </c>
    </row>
    <row r="225" spans="1:3" x14ac:dyDescent="0.25">
      <c r="A225" s="40">
        <f>IF('EVA Calcs'!V257="Y",'EVA Calcs'!C257,NA())</f>
        <v>0.28920000000000012</v>
      </c>
      <c r="B225" s="40">
        <f>IF('EVA Calcs'!V257="Y",'EVA Calcs'!D257,NA())</f>
        <v>0.60762942779291551</v>
      </c>
      <c r="C225" s="40">
        <f>IF('EVA Calcs'!V257="Y",'EVA Calcs'!E257,NA())</f>
        <v>0.69677359487019419</v>
      </c>
    </row>
    <row r="226" spans="1:3" x14ac:dyDescent="0.25">
      <c r="A226" s="40">
        <f>IF('EVA Calcs'!V258="Y",'EVA Calcs'!C258,NA())</f>
        <v>0.28920000000000012</v>
      </c>
      <c r="B226" s="40">
        <f>IF('EVA Calcs'!V258="Y",'EVA Calcs'!D258,NA())</f>
        <v>0.61035422343324253</v>
      </c>
      <c r="C226" s="40">
        <f>IF('EVA Calcs'!V258="Y",'EVA Calcs'!E258,NA())</f>
        <v>0.70579523868626504</v>
      </c>
    </row>
    <row r="227" spans="1:3" x14ac:dyDescent="0.25">
      <c r="A227" s="40">
        <f>IF('EVA Calcs'!V259="Y",'EVA Calcs'!C259,NA())</f>
        <v>0.28920000000000012</v>
      </c>
      <c r="B227" s="40">
        <f>IF('EVA Calcs'!V259="Y",'EVA Calcs'!D259,NA())</f>
        <v>0.61307901907356943</v>
      </c>
      <c r="C227" s="40">
        <f>IF('EVA Calcs'!V259="Y",'EVA Calcs'!E259,NA())</f>
        <v>0.71485827829355231</v>
      </c>
    </row>
    <row r="228" spans="1:3" x14ac:dyDescent="0.25">
      <c r="A228" s="40">
        <f>IF('EVA Calcs'!V260="Y",'EVA Calcs'!C260,NA())</f>
        <v>0.28920000000000012</v>
      </c>
      <c r="B228" s="40">
        <f>IF('EVA Calcs'!V260="Y",'EVA Calcs'!D260,NA())</f>
        <v>0.61580381471389645</v>
      </c>
      <c r="C228" s="40">
        <f>IF('EVA Calcs'!V260="Y",'EVA Calcs'!E260,NA())</f>
        <v>0.7239634646089349</v>
      </c>
    </row>
    <row r="229" spans="1:3" x14ac:dyDescent="0.25">
      <c r="A229" s="40">
        <f>IF('EVA Calcs'!V261="Y",'EVA Calcs'!C261,NA())</f>
        <v>0.28920000000000012</v>
      </c>
      <c r="B229" s="40">
        <f>IF('EVA Calcs'!V261="Y",'EVA Calcs'!D261,NA())</f>
        <v>0.61852861035422346</v>
      </c>
      <c r="C229" s="40">
        <f>IF('EVA Calcs'!V261="Y",'EVA Calcs'!E261,NA())</f>
        <v>0.73311156257419141</v>
      </c>
    </row>
    <row r="230" spans="1:3" x14ac:dyDescent="0.25">
      <c r="A230" s="40">
        <f>IF('EVA Calcs'!V262="Y",'EVA Calcs'!C262,NA())</f>
        <v>0.28920000000000012</v>
      </c>
      <c r="B230" s="40">
        <f>IF('EVA Calcs'!V262="Y",'EVA Calcs'!D262,NA())</f>
        <v>0.62125340599455037</v>
      </c>
      <c r="C230" s="40">
        <f>IF('EVA Calcs'!V262="Y",'EVA Calcs'!E262,NA())</f>
        <v>0.74230335159144567</v>
      </c>
    </row>
    <row r="231" spans="1:3" x14ac:dyDescent="0.25">
      <c r="A231" s="40">
        <f>IF('EVA Calcs'!V263="Y",'EVA Calcs'!C263,NA())</f>
        <v>0.28920000000000012</v>
      </c>
      <c r="B231" s="40">
        <f>IF('EVA Calcs'!V263="Y",'EVA Calcs'!D263,NA())</f>
        <v>0.62397820163487738</v>
      </c>
      <c r="C231" s="40">
        <f>IF('EVA Calcs'!V263="Y",'EVA Calcs'!E263,NA())</f>
        <v>0.75153962597363688</v>
      </c>
    </row>
    <row r="232" spans="1:3" x14ac:dyDescent="0.25">
      <c r="A232" s="40">
        <f>IF('EVA Calcs'!V264="Y",'EVA Calcs'!C264,NA())</f>
        <v>0.28920000000000012</v>
      </c>
      <c r="B232" s="40">
        <f>IF('EVA Calcs'!V264="Y",'EVA Calcs'!D264,NA())</f>
        <v>0.6267029972752044</v>
      </c>
      <c r="C232" s="40">
        <f>IF('EVA Calcs'!V264="Y",'EVA Calcs'!E264,NA())</f>
        <v>0.76082119541068005</v>
      </c>
    </row>
    <row r="233" spans="1:3" x14ac:dyDescent="0.25">
      <c r="A233" s="40">
        <f>IF('EVA Calcs'!V265="Y",'EVA Calcs'!C265,NA())</f>
        <v>0.28920000000000012</v>
      </c>
      <c r="B233" s="40">
        <f>IF('EVA Calcs'!V265="Y",'EVA Calcs'!D265,NA())</f>
        <v>0.6294277929155313</v>
      </c>
      <c r="C233" s="40">
        <f>IF('EVA Calcs'!V265="Y",'EVA Calcs'!E265,NA())</f>
        <v>0.77014888545203508</v>
      </c>
    </row>
    <row r="234" spans="1:3" x14ac:dyDescent="0.25">
      <c r="A234" s="40">
        <f>IF('EVA Calcs'!V266="Y",'EVA Calcs'!C266,NA())</f>
        <v>0.28920000000000012</v>
      </c>
      <c r="B234" s="40">
        <f>IF('EVA Calcs'!V266="Y",'EVA Calcs'!D266,NA())</f>
        <v>0.63215258855585832</v>
      </c>
      <c r="C234" s="40">
        <f>IF('EVA Calcs'!V266="Y",'EVA Calcs'!E266,NA())</f>
        <v>0.77952353800642071</v>
      </c>
    </row>
    <row r="235" spans="1:3" x14ac:dyDescent="0.25">
      <c r="A235" s="40">
        <f>IF('EVA Calcs'!V267="Y",'EVA Calcs'!C267,NA())</f>
        <v>0.28920000000000012</v>
      </c>
      <c r="B235" s="40">
        <f>IF('EVA Calcs'!V267="Y",'EVA Calcs'!D267,NA())</f>
        <v>0.63487738419618533</v>
      </c>
      <c r="C235" s="40">
        <f>IF('EVA Calcs'!V267="Y",'EVA Calcs'!E267,NA())</f>
        <v>0.78894601185945457</v>
      </c>
    </row>
    <row r="236" spans="1:3" x14ac:dyDescent="0.25">
      <c r="A236" s="40">
        <f>IF('EVA Calcs'!V268="Y",'EVA Calcs'!C268,NA())</f>
        <v>0.28920000000000012</v>
      </c>
      <c r="B236" s="40">
        <f>IF('EVA Calcs'!V268="Y",'EVA Calcs'!D268,NA())</f>
        <v>0.63760217983651224</v>
      </c>
      <c r="C236" s="40">
        <f>IF('EVA Calcs'!V268="Y",'EVA Calcs'!E268,NA())</f>
        <v>0.7984171832100444</v>
      </c>
    </row>
    <row r="237" spans="1:3" x14ac:dyDescent="0.25">
      <c r="A237" s="40">
        <f>IF('EVA Calcs'!V269="Y",'EVA Calcs'!C269,NA())</f>
        <v>0.28920000000000012</v>
      </c>
      <c r="B237" s="40">
        <f>IF('EVA Calcs'!V269="Y",'EVA Calcs'!D269,NA())</f>
        <v>0.64032697547683926</v>
      </c>
      <c r="C237" s="40">
        <f>IF('EVA Calcs'!V269="Y",'EVA Calcs'!E269,NA())</f>
        <v>0.80793794622639659</v>
      </c>
    </row>
    <row r="238" spans="1:3" x14ac:dyDescent="0.25">
      <c r="A238" s="40">
        <f>IF('EVA Calcs'!V270="Y",'EVA Calcs'!C270,NA())</f>
        <v>0.28920000000000012</v>
      </c>
      <c r="B238" s="40">
        <f>IF('EVA Calcs'!V270="Y",'EVA Calcs'!D270,NA())</f>
        <v>0.64305177111716616</v>
      </c>
      <c r="C238" s="40">
        <f>IF('EVA Calcs'!V270="Y",'EVA Calcs'!E270,NA())</f>
        <v>0.81750921362254325</v>
      </c>
    </row>
    <row r="239" spans="1:3" x14ac:dyDescent="0.25">
      <c r="A239" s="40">
        <f>IF('EVA Calcs'!V271="Y",'EVA Calcs'!C271,NA())</f>
        <v>0.28920000000000012</v>
      </c>
      <c r="B239" s="40">
        <f>IF('EVA Calcs'!V271="Y",'EVA Calcs'!D271,NA())</f>
        <v>0.64577656675749318</v>
      </c>
      <c r="C239" s="40">
        <f>IF('EVA Calcs'!V271="Y",'EVA Calcs'!E271,NA())</f>
        <v>0.82713191725636115</v>
      </c>
    </row>
    <row r="240" spans="1:3" x14ac:dyDescent="0.25">
      <c r="A240" s="40">
        <f>IF('EVA Calcs'!V272="Y",'EVA Calcs'!C272,NA())</f>
        <v>0.28920000000000012</v>
      </c>
      <c r="B240" s="40">
        <f>IF('EVA Calcs'!V272="Y",'EVA Calcs'!D272,NA())</f>
        <v>0.64850136239782019</v>
      </c>
      <c r="C240" s="40">
        <f>IF('EVA Calcs'!V272="Y",'EVA Calcs'!E272,NA())</f>
        <v>0.83680700875007819</v>
      </c>
    </row>
    <row r="241" spans="1:3" x14ac:dyDescent="0.25">
      <c r="A241" s="40">
        <f>IF('EVA Calcs'!V273="Y",'EVA Calcs'!C273,NA())</f>
        <v>0.28920000000000012</v>
      </c>
      <c r="B241" s="40">
        <f>IF('EVA Calcs'!V273="Y",'EVA Calcs'!D273,NA())</f>
        <v>0.6512261580381471</v>
      </c>
      <c r="C241" s="40">
        <f>IF('EVA Calcs'!V273="Y",'EVA Calcs'!E273,NA())</f>
        <v>0.84653546013434255</v>
      </c>
    </row>
    <row r="242" spans="1:3" x14ac:dyDescent="0.25">
      <c r="A242" s="40">
        <f>IF('EVA Calcs'!V274="Y",'EVA Calcs'!C274,NA())</f>
        <v>0.28920000000000012</v>
      </c>
      <c r="B242" s="40">
        <f>IF('EVA Calcs'!V274="Y",'EVA Calcs'!D274,NA())</f>
        <v>0.65395095367847411</v>
      </c>
      <c r="C242" s="40">
        <f>IF('EVA Calcs'!V274="Y",'EVA Calcs'!E274,NA())</f>
        <v>0.8563182645169749</v>
      </c>
    </row>
    <row r="243" spans="1:3" x14ac:dyDescent="0.25">
      <c r="A243" s="40">
        <f>IF('EVA Calcs'!V275="Y",'EVA Calcs'!C275,NA())</f>
        <v>0.31329999999999991</v>
      </c>
      <c r="B243" s="40">
        <f>IF('EVA Calcs'!V275="Y",'EVA Calcs'!D275,NA())</f>
        <v>0.65667574931880113</v>
      </c>
      <c r="C243" s="40">
        <f>IF('EVA Calcs'!V275="Y",'EVA Calcs'!E275,NA())</f>
        <v>0.86615643677758269</v>
      </c>
    </row>
    <row r="244" spans="1:3" x14ac:dyDescent="0.25">
      <c r="A244" s="40">
        <f>IF('EVA Calcs'!V276="Y",'EVA Calcs'!C276,NA())</f>
        <v>0.31329999999999991</v>
      </c>
      <c r="B244" s="40">
        <f>IF('EVA Calcs'!V276="Y",'EVA Calcs'!D276,NA())</f>
        <v>0.65940054495912803</v>
      </c>
      <c r="C244" s="40">
        <f>IF('EVA Calcs'!V276="Y",'EVA Calcs'!E276,NA())</f>
        <v>0.87605101428929488</v>
      </c>
    </row>
    <row r="245" spans="1:3" x14ac:dyDescent="0.25">
      <c r="A245" s="40">
        <f>IF('EVA Calcs'!V277="Y",'EVA Calcs'!C277,NA())</f>
        <v>0.31329999999999991</v>
      </c>
      <c r="B245" s="40">
        <f>IF('EVA Calcs'!V277="Y",'EVA Calcs'!D277,NA())</f>
        <v>0.66212534059945505</v>
      </c>
      <c r="C245" s="40">
        <f>IF('EVA Calcs'!V277="Y",'EVA Calcs'!E277,NA())</f>
        <v>0.8860030576689355</v>
      </c>
    </row>
    <row r="246" spans="1:3" x14ac:dyDescent="0.25">
      <c r="A246" s="40">
        <f>IF('EVA Calcs'!V278="Y",'EVA Calcs'!C278,NA())</f>
        <v>0.31329999999999991</v>
      </c>
      <c r="B246" s="40">
        <f>IF('EVA Calcs'!V278="Y",'EVA Calcs'!D278,NA())</f>
        <v>0.66485013623978206</v>
      </c>
      <c r="C246" s="40">
        <f>IF('EVA Calcs'!V278="Y",'EVA Calcs'!E278,NA())</f>
        <v>0.89601365155702328</v>
      </c>
    </row>
    <row r="247" spans="1:3" x14ac:dyDescent="0.25">
      <c r="A247" s="40">
        <f>IF('EVA Calcs'!V279="Y",'EVA Calcs'!C279,NA())</f>
        <v>0.31329999999999991</v>
      </c>
      <c r="B247" s="40">
        <f>IF('EVA Calcs'!V279="Y",'EVA Calcs'!D279,NA())</f>
        <v>0.66757493188010897</v>
      </c>
      <c r="C247" s="40">
        <f>IF('EVA Calcs'!V279="Y",'EVA Calcs'!E279,NA())</f>
        <v>0.90608390542908268</v>
      </c>
    </row>
    <row r="248" spans="1:3" x14ac:dyDescent="0.25">
      <c r="A248" s="40">
        <f>IF('EVA Calcs'!V280="Y",'EVA Calcs'!C280,NA())</f>
        <v>0.31329999999999991</v>
      </c>
      <c r="B248" s="40">
        <f>IF('EVA Calcs'!V280="Y",'EVA Calcs'!D280,NA())</f>
        <v>0.67029972752043598</v>
      </c>
      <c r="C248" s="40">
        <f>IF('EVA Calcs'!V280="Y",'EVA Calcs'!E280,NA())</f>
        <v>0.91621495443981871</v>
      </c>
    </row>
    <row r="249" spans="1:3" x14ac:dyDescent="0.25">
      <c r="A249" s="40">
        <f>IF('EVA Calcs'!V281="Y",'EVA Calcs'!C281,NA())</f>
        <v>0.31329999999999991</v>
      </c>
      <c r="B249" s="40">
        <f>IF('EVA Calcs'!V281="Y",'EVA Calcs'!D281,NA())</f>
        <v>0.67302452316076289</v>
      </c>
      <c r="C249" s="40">
        <f>IF('EVA Calcs'!V281="Y",'EVA Calcs'!E281,NA())</f>
        <v>0.92640796030180084</v>
      </c>
    </row>
    <row r="250" spans="1:3" x14ac:dyDescent="0.25">
      <c r="A250" s="40">
        <f>IF('EVA Calcs'!V282="Y",'EVA Calcs'!C282,NA())</f>
        <v>0.31329999999999991</v>
      </c>
      <c r="B250" s="40">
        <f>IF('EVA Calcs'!V282="Y",'EVA Calcs'!D282,NA())</f>
        <v>0.6757493188010899</v>
      </c>
      <c r="C250" s="40">
        <f>IF('EVA Calcs'!V282="Y",'EVA Calcs'!E282,NA())</f>
        <v>0.93666411220041212</v>
      </c>
    </row>
    <row r="251" spans="1:3" x14ac:dyDescent="0.25">
      <c r="A251" s="40">
        <f>IF('EVA Calcs'!V283="Y",'EVA Calcs'!C283,NA())</f>
        <v>0.31329999999999991</v>
      </c>
      <c r="B251" s="40">
        <f>IF('EVA Calcs'!V283="Y",'EVA Calcs'!D283,NA())</f>
        <v>0.67847411444141692</v>
      </c>
      <c r="C251" s="40">
        <f>IF('EVA Calcs'!V283="Y",'EVA Calcs'!E283,NA())</f>
        <v>0.94698462774689862</v>
      </c>
    </row>
    <row r="252" spans="1:3" x14ac:dyDescent="0.25">
      <c r="A252" s="40">
        <f>IF('EVA Calcs'!V284="Y",'EVA Calcs'!C284,NA())</f>
        <v>0.31329999999999991</v>
      </c>
      <c r="B252" s="40">
        <f>IF('EVA Calcs'!V284="Y",'EVA Calcs'!D284,NA())</f>
        <v>0.68119891008174382</v>
      </c>
      <c r="C252" s="40">
        <f>IF('EVA Calcs'!V284="Y",'EVA Calcs'!E284,NA())</f>
        <v>0.95737075397148563</v>
      </c>
    </row>
    <row r="253" spans="1:3" x14ac:dyDescent="0.25">
      <c r="A253" s="40">
        <f>IF('EVA Calcs'!V285="Y",'EVA Calcs'!C285,NA())</f>
        <v>0.31329999999999991</v>
      </c>
      <c r="B253" s="40">
        <f>IF('EVA Calcs'!V285="Y",'EVA Calcs'!D285,NA())</f>
        <v>0.68392370572207084</v>
      </c>
      <c r="C253" s="40">
        <f>IF('EVA Calcs'!V285="Y",'EVA Calcs'!E285,NA())</f>
        <v>0.96782376835863415</v>
      </c>
    </row>
    <row r="254" spans="1:3" x14ac:dyDescent="0.25">
      <c r="A254" s="40">
        <f>IF('EVA Calcs'!V286="Y",'EVA Calcs'!C286,NA())</f>
        <v>0.31329999999999991</v>
      </c>
      <c r="B254" s="40">
        <f>IF('EVA Calcs'!V286="Y",'EVA Calcs'!D286,NA())</f>
        <v>0.68664850136239786</v>
      </c>
      <c r="C254" s="40">
        <f>IF('EVA Calcs'!V286="Y",'EVA Calcs'!E286,NA())</f>
        <v>0.97834497992663161</v>
      </c>
    </row>
    <row r="255" spans="1:3" x14ac:dyDescent="0.25">
      <c r="A255" s="40">
        <f>IF('EVA Calcs'!V287="Y",'EVA Calcs'!C287,NA())</f>
        <v>0.31329999999999991</v>
      </c>
      <c r="B255" s="40">
        <f>IF('EVA Calcs'!V287="Y",'EVA Calcs'!D287,NA())</f>
        <v>0.68937329700272476</v>
      </c>
      <c r="C255" s="40">
        <f>IF('EVA Calcs'!V287="Y",'EVA Calcs'!E287,NA())</f>
        <v>0.98893573035386051</v>
      </c>
    </row>
    <row r="256" spans="1:3" x14ac:dyDescent="0.25">
      <c r="A256" s="40">
        <f>IF('EVA Calcs'!V288="Y",'EVA Calcs'!C288,NA())</f>
        <v>0.31329999999999991</v>
      </c>
      <c r="B256" s="40">
        <f>IF('EVA Calcs'!V288="Y",'EVA Calcs'!D288,NA())</f>
        <v>0.69209809264305178</v>
      </c>
      <c r="C256" s="40">
        <f>IF('EVA Calcs'!V288="Y",'EVA Calcs'!E288,NA())</f>
        <v>0.99959739515421941</v>
      </c>
    </row>
    <row r="257" spans="1:3" x14ac:dyDescent="0.25">
      <c r="A257" s="40">
        <f>IF('EVA Calcs'!V289="Y",'EVA Calcs'!C289,NA())</f>
        <v>0.31329999999999991</v>
      </c>
      <c r="B257" s="40">
        <f>IF('EVA Calcs'!V289="Y",'EVA Calcs'!D289,NA())</f>
        <v>0.69482288828337879</v>
      </c>
      <c r="C257" s="40">
        <f>IF('EVA Calcs'!V289="Y",'EVA Calcs'!E289,NA())</f>
        <v>1.0103313849043229</v>
      </c>
    </row>
    <row r="258" spans="1:3" x14ac:dyDescent="0.25">
      <c r="A258" s="40">
        <f>IF('EVA Calcs'!V290="Y",'EVA Calcs'!C290,NA())</f>
        <v>0.31329999999999991</v>
      </c>
      <c r="B258" s="40">
        <f>IF('EVA Calcs'!V290="Y",'EVA Calcs'!D290,NA())</f>
        <v>0.6975476839237057</v>
      </c>
      <c r="C258" s="40">
        <f>IF('EVA Calcs'!V290="Y",'EVA Calcs'!E290,NA())</f>
        <v>1.0211391465252881</v>
      </c>
    </row>
    <row r="259" spans="1:3" x14ac:dyDescent="0.25">
      <c r="A259" s="40">
        <f>IF('EVA Calcs'!V291="Y",'EVA Calcs'!C291,NA())</f>
        <v>0.31329999999999991</v>
      </c>
      <c r="B259" s="40">
        <f>IF('EVA Calcs'!V291="Y",'EVA Calcs'!D291,NA())</f>
        <v>0.70027247956403271</v>
      </c>
      <c r="C259" s="40">
        <f>IF('EVA Calcs'!V291="Y",'EVA Calcs'!E291,NA())</f>
        <v>1.0320221646220757</v>
      </c>
    </row>
    <row r="260" spans="1:3" x14ac:dyDescent="0.25">
      <c r="A260" s="40">
        <f>IF('EVA Calcs'!V292="Y",'EVA Calcs'!C292,NA())</f>
        <v>0.31329999999999991</v>
      </c>
      <c r="B260" s="40">
        <f>IF('EVA Calcs'!V292="Y",'EVA Calcs'!D292,NA())</f>
        <v>0.70299727520435973</v>
      </c>
      <c r="C260" s="40">
        <f>IF('EVA Calcs'!V292="Y",'EVA Calcs'!E292,NA())</f>
        <v>1.0429819628835468</v>
      </c>
    </row>
    <row r="261" spans="1:3" x14ac:dyDescent="0.25">
      <c r="A261" s="40">
        <f>IF('EVA Calcs'!V293="Y",'EVA Calcs'!C293,NA())</f>
        <v>0.31329999999999991</v>
      </c>
      <c r="B261" s="40">
        <f>IF('EVA Calcs'!V293="Y",'EVA Calcs'!D293,NA())</f>
        <v>0.70572207084468663</v>
      </c>
      <c r="C261" s="40">
        <f>IF('EVA Calcs'!V293="Y",'EVA Calcs'!E293,NA())</f>
        <v>1.0540201055466094</v>
      </c>
    </row>
    <row r="262" spans="1:3" x14ac:dyDescent="0.25">
      <c r="A262" s="40">
        <f>IF('EVA Calcs'!V294="Y",'EVA Calcs'!C294,NA())</f>
        <v>0.31329999999999991</v>
      </c>
      <c r="B262" s="40">
        <f>IF('EVA Calcs'!V294="Y",'EVA Calcs'!D294,NA())</f>
        <v>0.70844686648501365</v>
      </c>
      <c r="C262" s="40">
        <f>IF('EVA Calcs'!V294="Y",'EVA Calcs'!E294,NA())</f>
        <v>1.0651381989280417</v>
      </c>
    </row>
    <row r="263" spans="1:3" x14ac:dyDescent="0.25">
      <c r="A263" s="40">
        <f>IF('EVA Calcs'!V295="Y",'EVA Calcs'!C295,NA())</f>
        <v>0.31329999999999991</v>
      </c>
      <c r="B263" s="40">
        <f>IF('EVA Calcs'!V295="Y",'EVA Calcs'!D295,NA())</f>
        <v>0.71117166212534055</v>
      </c>
      <c r="C263" s="40">
        <f>IF('EVA Calcs'!V295="Y",'EVA Calcs'!E295,NA())</f>
        <v>1.0763378930278038</v>
      </c>
    </row>
    <row r="264" spans="1:3" x14ac:dyDescent="0.25">
      <c r="A264" s="40">
        <f>IF('EVA Calcs'!V296="Y",'EVA Calcs'!C296,NA())</f>
        <v>0.31329999999999991</v>
      </c>
      <c r="B264" s="40">
        <f>IF('EVA Calcs'!V296="Y",'EVA Calcs'!D296,NA())</f>
        <v>0.71389645776566757</v>
      </c>
      <c r="C264" s="40">
        <f>IF('EVA Calcs'!V296="Y",'EVA Calcs'!E296,NA())</f>
        <v>1.087620883207931</v>
      </c>
    </row>
    <row r="265" spans="1:3" x14ac:dyDescent="0.25">
      <c r="A265" s="40">
        <f>IF('EVA Calcs'!V297="Y",'EVA Calcs'!C297,NA())</f>
        <v>0.31329999999999991</v>
      </c>
      <c r="B265" s="40">
        <f>IF('EVA Calcs'!V297="Y",'EVA Calcs'!D297,NA())</f>
        <v>0.71662125340599458</v>
      </c>
      <c r="C265" s="40">
        <f>IF('EVA Calcs'!V297="Y",'EVA Calcs'!E297,NA())</f>
        <v>1.0989889119513385</v>
      </c>
    </row>
    <row r="266" spans="1:3" x14ac:dyDescent="0.25">
      <c r="A266" s="40">
        <f>IF('EVA Calcs'!V298="Y",'EVA Calcs'!C298,NA())</f>
        <v>0.31329999999999991</v>
      </c>
      <c r="B266" s="40">
        <f>IF('EVA Calcs'!V298="Y",'EVA Calcs'!D298,NA())</f>
        <v>0.71934604904632149</v>
      </c>
      <c r="C266" s="40">
        <f>IF('EVA Calcs'!V298="Y",'EVA Calcs'!E298,NA())</f>
        <v>1.1104437707051966</v>
      </c>
    </row>
    <row r="267" spans="1:3" x14ac:dyDescent="0.25">
      <c r="A267" s="40">
        <f>IF('EVA Calcs'!V299="Y",'EVA Calcs'!C299,NA())</f>
        <v>0.31329999999999991</v>
      </c>
      <c r="B267" s="40">
        <f>IF('EVA Calcs'!V299="Y",'EVA Calcs'!D299,NA())</f>
        <v>0.72207084468664851</v>
      </c>
      <c r="C267" s="40">
        <f>IF('EVA Calcs'!V299="Y",'EVA Calcs'!E299,NA())</f>
        <v>1.1219873018138251</v>
      </c>
    </row>
    <row r="268" spans="1:3" x14ac:dyDescent="0.25">
      <c r="A268" s="40">
        <f>IF('EVA Calcs'!V300="Y",'EVA Calcs'!C300,NA())</f>
        <v>0.31329999999999991</v>
      </c>
      <c r="B268" s="40">
        <f>IF('EVA Calcs'!V300="Y",'EVA Calcs'!D300,NA())</f>
        <v>0.72479564032697552</v>
      </c>
      <c r="C268" s="40">
        <f>IF('EVA Calcs'!V300="Y",'EVA Calcs'!E300,NA())</f>
        <v>1.1336214005464091</v>
      </c>
    </row>
    <row r="269" spans="1:3" x14ac:dyDescent="0.25">
      <c r="A269" s="40">
        <f>IF('EVA Calcs'!V301="Y",'EVA Calcs'!C301,NA())</f>
        <v>0.31329999999999991</v>
      </c>
      <c r="B269" s="40">
        <f>IF('EVA Calcs'!V301="Y",'EVA Calcs'!D301,NA())</f>
        <v>0.72752043596730243</v>
      </c>
      <c r="C269" s="40">
        <f>IF('EVA Calcs'!V301="Y",'EVA Calcs'!E301,NA())</f>
        <v>1.1453480172252111</v>
      </c>
    </row>
    <row r="270" spans="1:3" x14ac:dyDescent="0.25">
      <c r="A270" s="40">
        <f>IF('EVA Calcs'!V302="Y",'EVA Calcs'!C302,NA())</f>
        <v>0.31329999999999991</v>
      </c>
      <c r="B270" s="40">
        <f>IF('EVA Calcs'!V302="Y",'EVA Calcs'!D302,NA())</f>
        <v>0.73024523160762944</v>
      </c>
      <c r="C270" s="40">
        <f>IF('EVA Calcs'!V302="Y",'EVA Calcs'!E302,NA())</f>
        <v>1.1571691594603459</v>
      </c>
    </row>
    <row r="271" spans="1:3" x14ac:dyDescent="0.25">
      <c r="A271" s="40">
        <f>IF('EVA Calcs'!V303="Y",'EVA Calcs'!C303,NA())</f>
        <v>0.31329999999999991</v>
      </c>
      <c r="B271" s="40">
        <f>IF('EVA Calcs'!V303="Y",'EVA Calcs'!D303,NA())</f>
        <v>0.73297002724795646</v>
      </c>
      <c r="C271" s="40">
        <f>IF('EVA Calcs'!V303="Y",'EVA Calcs'!E303,NA())</f>
        <v>1.169086894497614</v>
      </c>
    </row>
    <row r="272" spans="1:3" x14ac:dyDescent="0.25">
      <c r="A272" s="40">
        <f>IF('EVA Calcs'!V304="Y",'EVA Calcs'!C304,NA())</f>
        <v>0.31329999999999991</v>
      </c>
      <c r="B272" s="40">
        <f>IF('EVA Calcs'!V304="Y",'EVA Calcs'!D304,NA())</f>
        <v>0.73569482288828336</v>
      </c>
      <c r="C272" s="40">
        <f>IF('EVA Calcs'!V304="Y",'EVA Calcs'!E304,NA())</f>
        <v>1.181103351686366</v>
      </c>
    </row>
    <row r="273" spans="1:3" x14ac:dyDescent="0.25">
      <c r="A273" s="40">
        <f>IF('EVA Calcs'!V305="Y",'EVA Calcs'!C305,NA())</f>
        <v>0.31329999999999991</v>
      </c>
      <c r="B273" s="40">
        <f>IF('EVA Calcs'!V305="Y",'EVA Calcs'!D305,NA())</f>
        <v>0.73841961852861038</v>
      </c>
      <c r="C273" s="40">
        <f>IF('EVA Calcs'!V305="Y",'EVA Calcs'!E305,NA())</f>
        <v>1.1932207250748688</v>
      </c>
    </row>
    <row r="274" spans="1:3" x14ac:dyDescent="0.25">
      <c r="A274" s="40">
        <f>IF('EVA Calcs'!V306="Y",'EVA Calcs'!C306,NA())</f>
        <v>0.31329999999999991</v>
      </c>
      <c r="B274" s="40">
        <f>IF('EVA Calcs'!V306="Y",'EVA Calcs'!D306,NA())</f>
        <v>0.74114441416893728</v>
      </c>
      <c r="C274" s="40">
        <f>IF('EVA Calcs'!V306="Y",'EVA Calcs'!E306,NA())</f>
        <v>1.2054412761411846</v>
      </c>
    </row>
    <row r="275" spans="1:3" x14ac:dyDescent="0.25">
      <c r="A275" s="40">
        <f>IF('EVA Calcs'!V307="Y",'EVA Calcs'!C307,NA())</f>
        <v>0.31329999999999991</v>
      </c>
      <c r="B275" s="40">
        <f>IF('EVA Calcs'!V307="Y",'EVA Calcs'!D307,NA())</f>
        <v>0.7438692098092643</v>
      </c>
      <c r="C275" s="40">
        <f>IF('EVA Calcs'!V307="Y",'EVA Calcs'!E307,NA())</f>
        <v>1.2177673366681907</v>
      </c>
    </row>
    <row r="276" spans="1:3" x14ac:dyDescent="0.25">
      <c r="A276" s="40">
        <f>IF('EVA Calcs'!V308="Y",'EVA Calcs'!C308,NA())</f>
        <v>0.31329999999999991</v>
      </c>
      <c r="B276" s="40">
        <f>IF('EVA Calcs'!V308="Y",'EVA Calcs'!D308,NA())</f>
        <v>0.74659400544959131</v>
      </c>
      <c r="C276" s="40">
        <f>IF('EVA Calcs'!V308="Y",'EVA Calcs'!E308,NA())</f>
        <v>1.230201311771979</v>
      </c>
    </row>
    <row r="277" spans="1:3" x14ac:dyDescent="0.25">
      <c r="A277" s="40">
        <f>IF('EVA Calcs'!V309="Y",'EVA Calcs'!C309,NA())</f>
        <v>0.31329999999999991</v>
      </c>
      <c r="B277" s="40">
        <f>IF('EVA Calcs'!V309="Y",'EVA Calcs'!D309,NA())</f>
        <v>0.74931880108991822</v>
      </c>
      <c r="C277" s="40">
        <f>IF('EVA Calcs'!V309="Y",'EVA Calcs'!E309,NA())</f>
        <v>1.2427456830936101</v>
      </c>
    </row>
    <row r="278" spans="1:3" x14ac:dyDescent="0.25">
      <c r="A278" s="40">
        <f>IF('EVA Calcs'!V310="Y",'EVA Calcs'!C310,NA())</f>
        <v>0.33740000000000014</v>
      </c>
      <c r="B278" s="40">
        <f>IF('EVA Calcs'!V310="Y",'EVA Calcs'!D310,NA())</f>
        <v>0.75204359673024523</v>
      </c>
      <c r="C278" s="40">
        <f>IF('EVA Calcs'!V310="Y",'EVA Calcs'!E310,NA())</f>
        <v>1.2554030121649324</v>
      </c>
    </row>
    <row r="279" spans="1:3" x14ac:dyDescent="0.25">
      <c r="A279" s="40">
        <f>IF('EVA Calcs'!V311="Y",'EVA Calcs'!C311,NA())</f>
        <v>0.33740000000000014</v>
      </c>
      <c r="B279" s="40">
        <f>IF('EVA Calcs'!V311="Y",'EVA Calcs'!D311,NA())</f>
        <v>0.75476839237057225</v>
      </c>
      <c r="C279" s="40">
        <f>IF('EVA Calcs'!V311="Y",'EVA Calcs'!E311,NA())</f>
        <v>1.2681759439600142</v>
      </c>
    </row>
    <row r="280" spans="1:3" x14ac:dyDescent="0.25">
      <c r="A280" s="40">
        <f>IF('EVA Calcs'!V312="Y",'EVA Calcs'!C312,NA())</f>
        <v>0.33740000000000014</v>
      </c>
      <c r="B280" s="40">
        <f>IF('EVA Calcs'!V312="Y",'EVA Calcs'!D312,NA())</f>
        <v>0.75749318801089915</v>
      </c>
      <c r="C280" s="40">
        <f>IF('EVA Calcs'!V312="Y",'EVA Calcs'!E312,NA())</f>
        <v>1.2810672106446452</v>
      </c>
    </row>
    <row r="281" spans="1:3" x14ac:dyDescent="0.25">
      <c r="A281" s="40">
        <f>IF('EVA Calcs'!V313="Y",'EVA Calcs'!C313,NA())</f>
        <v>0.33740000000000014</v>
      </c>
      <c r="B281" s="40">
        <f>IF('EVA Calcs'!V313="Y",'EVA Calcs'!D313,NA())</f>
        <v>0.76021798365122617</v>
      </c>
      <c r="C281" s="40">
        <f>IF('EVA Calcs'!V313="Y",'EVA Calcs'!E313,NA())</f>
        <v>1.2940796355373445</v>
      </c>
    </row>
    <row r="282" spans="1:3" x14ac:dyDescent="0.25">
      <c r="A282" s="40">
        <f>IF('EVA Calcs'!V314="Y",'EVA Calcs'!C314,NA())</f>
        <v>0.33740000000000014</v>
      </c>
      <c r="B282" s="40">
        <f>IF('EVA Calcs'!V314="Y",'EVA Calcs'!D314,NA())</f>
        <v>0.76294277929155319</v>
      </c>
      <c r="C282" s="40">
        <f>IF('EVA Calcs'!V314="Y",'EVA Calcs'!E314,NA())</f>
        <v>1.3072161372963769</v>
      </c>
    </row>
    <row r="283" spans="1:3" x14ac:dyDescent="0.25">
      <c r="A283" s="40">
        <f>IF('EVA Calcs'!V315="Y",'EVA Calcs'!C315,NA())</f>
        <v>0.33740000000000014</v>
      </c>
      <c r="B283" s="40">
        <f>IF('EVA Calcs'!V315="Y",'EVA Calcs'!D315,NA())</f>
        <v>0.76566757493188009</v>
      </c>
      <c r="C283" s="40">
        <f>IF('EVA Calcs'!V315="Y",'EVA Calcs'!E315,NA())</f>
        <v>1.3204797343484771</v>
      </c>
    </row>
    <row r="284" spans="1:3" x14ac:dyDescent="0.25">
      <c r="A284" s="40">
        <f>IF('EVA Calcs'!V316="Y",'EVA Calcs'!C316,NA())</f>
        <v>0.33740000000000014</v>
      </c>
      <c r="B284" s="40">
        <f>IF('EVA Calcs'!V316="Y",'EVA Calcs'!D316,NA())</f>
        <v>0.76839237057220711</v>
      </c>
      <c r="C284" s="40">
        <f>IF('EVA Calcs'!V316="Y",'EVA Calcs'!E316,NA())</f>
        <v>1.3338735495762419</v>
      </c>
    </row>
    <row r="285" spans="1:3" x14ac:dyDescent="0.25">
      <c r="A285" s="40">
        <f>IF('EVA Calcs'!V317="Y",'EVA Calcs'!C317,NA())</f>
        <v>0.33740000000000014</v>
      </c>
      <c r="B285" s="40">
        <f>IF('EVA Calcs'!V317="Y",'EVA Calcs'!D317,NA())</f>
        <v>0.77111716621253401</v>
      </c>
      <c r="C285" s="40">
        <f>IF('EVA Calcs'!V317="Y",'EVA Calcs'!E317,NA())</f>
        <v>1.3474008152825661</v>
      </c>
    </row>
    <row r="286" spans="1:3" x14ac:dyDescent="0.25">
      <c r="A286" s="40">
        <f>IF('EVA Calcs'!V318="Y",'EVA Calcs'!C318,NA())</f>
        <v>0.33740000000000014</v>
      </c>
      <c r="B286" s="40">
        <f>IF('EVA Calcs'!V318="Y",'EVA Calcs'!D318,NA())</f>
        <v>0.77384196185286103</v>
      </c>
      <c r="C286" s="40">
        <f>IF('EVA Calcs'!V318="Y",'EVA Calcs'!E318,NA())</f>
        <v>1.3610648784520463</v>
      </c>
    </row>
    <row r="287" spans="1:3" x14ac:dyDescent="0.25">
      <c r="A287" s="40">
        <f>IF('EVA Calcs'!V319="Y",'EVA Calcs'!C319,NA())</f>
        <v>0.33740000000000014</v>
      </c>
      <c r="B287" s="40">
        <f>IF('EVA Calcs'!V319="Y",'EVA Calcs'!D319,NA())</f>
        <v>0.77656675749318804</v>
      </c>
      <c r="C287" s="40">
        <f>IF('EVA Calcs'!V319="Y",'EVA Calcs'!E319,NA())</f>
        <v>1.3748692063309458</v>
      </c>
    </row>
    <row r="288" spans="1:3" x14ac:dyDescent="0.25">
      <c r="A288" s="40">
        <f>IF('EVA Calcs'!V320="Y",'EVA Calcs'!C320,NA())</f>
        <v>0.33740000000000014</v>
      </c>
      <c r="B288" s="40">
        <f>IF('EVA Calcs'!V320="Y",'EVA Calcs'!D320,NA())</f>
        <v>0.77929155313351495</v>
      </c>
      <c r="C288" s="40">
        <f>IF('EVA Calcs'!V320="Y",'EVA Calcs'!E320,NA())</f>
        <v>1.3888173923491949</v>
      </c>
    </row>
    <row r="289" spans="1:3" x14ac:dyDescent="0.25">
      <c r="A289" s="40">
        <f>IF('EVA Calcs'!V321="Y",'EVA Calcs'!C321,NA())</f>
        <v>0.33740000000000014</v>
      </c>
      <c r="B289" s="40">
        <f>IF('EVA Calcs'!V321="Y",'EVA Calcs'!D321,NA())</f>
        <v>0.78201634877384196</v>
      </c>
      <c r="C289" s="40">
        <f>IF('EVA Calcs'!V321="Y",'EVA Calcs'!E321,NA())</f>
        <v>1.4029131624099209</v>
      </c>
    </row>
    <row r="290" spans="1:3" x14ac:dyDescent="0.25">
      <c r="A290" s="40">
        <f>IF('EVA Calcs'!V322="Y",'EVA Calcs'!C322,NA())</f>
        <v>0.33740000000000014</v>
      </c>
      <c r="B290" s="40">
        <f>IF('EVA Calcs'!V322="Y",'EVA Calcs'!D322,NA())</f>
        <v>0.78474114441416898</v>
      </c>
      <c r="C290" s="40">
        <f>IF('EVA Calcs'!V322="Y",'EVA Calcs'!E322,NA())</f>
        <v>1.4171603815742526</v>
      </c>
    </row>
    <row r="291" spans="1:3" x14ac:dyDescent="0.25">
      <c r="A291" s="40">
        <f>IF('EVA Calcs'!V323="Y",'EVA Calcs'!C323,NA())</f>
        <v>0.33740000000000014</v>
      </c>
      <c r="B291" s="40">
        <f>IF('EVA Calcs'!V323="Y",'EVA Calcs'!D323,NA())</f>
        <v>0.78746594005449588</v>
      </c>
      <c r="C291" s="40">
        <f>IF('EVA Calcs'!V323="Y",'EVA Calcs'!E323,NA())</f>
        <v>1.4315630611716292</v>
      </c>
    </row>
    <row r="292" spans="1:3" x14ac:dyDescent="0.25">
      <c r="A292" s="40">
        <f>IF('EVA Calcs'!V324="Y",'EVA Calcs'!C324,NA())</f>
        <v>0.33740000000000014</v>
      </c>
      <c r="B292" s="40">
        <f>IF('EVA Calcs'!V324="Y",'EVA Calcs'!D324,NA())</f>
        <v>0.7901907356948229</v>
      </c>
      <c r="C292" s="40">
        <f>IF('EVA Calcs'!V324="Y",'EVA Calcs'!E324,NA())</f>
        <v>1.4461253663685623</v>
      </c>
    </row>
    <row r="293" spans="1:3" x14ac:dyDescent="0.25">
      <c r="A293" s="40">
        <f>IF('EVA Calcs'!V325="Y",'EVA Calcs'!C325,NA())</f>
        <v>0.33740000000000014</v>
      </c>
      <c r="B293" s="40">
        <f>IF('EVA Calcs'!V325="Y",'EVA Calcs'!D325,NA())</f>
        <v>0.79291553133514991</v>
      </c>
      <c r="C293" s="40">
        <f>IF('EVA Calcs'!V325="Y",'EVA Calcs'!E325,NA())</f>
        <v>1.4608516242318079</v>
      </c>
    </row>
    <row r="294" spans="1:3" x14ac:dyDescent="0.25">
      <c r="A294" s="40">
        <f>IF('EVA Calcs'!V326="Y",'EVA Calcs'!C326,NA())</f>
        <v>0.33740000000000014</v>
      </c>
      <c r="B294" s="40">
        <f>IF('EVA Calcs'!V326="Y",'EVA Calcs'!D326,NA())</f>
        <v>0.79564032697547682</v>
      </c>
      <c r="C294" s="40">
        <f>IF('EVA Calcs'!V326="Y",'EVA Calcs'!E326,NA())</f>
        <v>1.4757463323252655</v>
      </c>
    </row>
    <row r="295" spans="1:3" x14ac:dyDescent="0.25">
      <c r="A295" s="40">
        <f>IF('EVA Calcs'!V327="Y",'EVA Calcs'!C327,NA())</f>
        <v>0.33740000000000014</v>
      </c>
      <c r="B295" s="40">
        <f>IF('EVA Calcs'!V327="Y",'EVA Calcs'!D327,NA())</f>
        <v>0.79836512261580383</v>
      </c>
      <c r="C295" s="40">
        <f>IF('EVA Calcs'!V327="Y",'EVA Calcs'!E327,NA())</f>
        <v>1.4908141678835924</v>
      </c>
    </row>
    <row r="296" spans="1:3" x14ac:dyDescent="0.25">
      <c r="A296" s="40">
        <f>IF('EVA Calcs'!V328="Y",'EVA Calcs'!C328,NA())</f>
        <v>0.33740000000000014</v>
      </c>
      <c r="B296" s="40">
        <f>IF('EVA Calcs'!V328="Y",'EVA Calcs'!D328,NA())</f>
        <v>0.80108991825613074</v>
      </c>
      <c r="C296" s="40">
        <f>IF('EVA Calcs'!V328="Y",'EVA Calcs'!E328,NA())</f>
        <v>1.5060599976096136</v>
      </c>
    </row>
    <row r="297" spans="1:3" x14ac:dyDescent="0.25">
      <c r="A297" s="40">
        <f>IF('EVA Calcs'!V329="Y",'EVA Calcs'!C329,NA())</f>
        <v>0.33740000000000014</v>
      </c>
      <c r="B297" s="40">
        <f>IF('EVA Calcs'!V329="Y",'EVA Calcs'!D329,NA())</f>
        <v>0.80381471389645776</v>
      </c>
      <c r="C297" s="40">
        <f>IF('EVA Calcs'!V329="Y",'EVA Calcs'!E329,NA())</f>
        <v>1.521488888147184</v>
      </c>
    </row>
    <row r="298" spans="1:3" x14ac:dyDescent="0.25">
      <c r="A298" s="40">
        <f>IF('EVA Calcs'!V330="Y",'EVA Calcs'!C330,NA())</f>
        <v>0.33740000000000014</v>
      </c>
      <c r="B298" s="40">
        <f>IF('EVA Calcs'!V330="Y",'EVA Calcs'!D330,NA())</f>
        <v>0.80653950953678477</v>
      </c>
      <c r="C298" s="40">
        <f>IF('EVA Calcs'!V330="Y",'EVA Calcs'!E330,NA())</f>
        <v>1.5371061172861742</v>
      </c>
    </row>
    <row r="299" spans="1:3" x14ac:dyDescent="0.25">
      <c r="A299" s="40">
        <f>IF('EVA Calcs'!V331="Y",'EVA Calcs'!C331,NA())</f>
        <v>0.33740000000000014</v>
      </c>
      <c r="B299" s="40">
        <f>IF('EVA Calcs'!V331="Y",'EVA Calcs'!D331,NA())</f>
        <v>0.80926430517711168</v>
      </c>
      <c r="C299" s="40">
        <f>IF('EVA Calcs'!V331="Y",'EVA Calcs'!E331,NA())</f>
        <v>1.5529171859619177</v>
      </c>
    </row>
    <row r="300" spans="1:3" x14ac:dyDescent="0.25">
      <c r="A300" s="40">
        <f>IF('EVA Calcs'!V332="Y",'EVA Calcs'!C332,NA())</f>
        <v>0.33740000000000014</v>
      </c>
      <c r="B300" s="40">
        <f>IF('EVA Calcs'!V332="Y",'EVA Calcs'!D332,NA())</f>
        <v>0.81198910081743869</v>
      </c>
      <c r="C300" s="40">
        <f>IF('EVA Calcs'!V332="Y",'EVA Calcs'!E332,NA())</f>
        <v>1.5689278311177155</v>
      </c>
    </row>
    <row r="301" spans="1:3" x14ac:dyDescent="0.25">
      <c r="A301" s="40">
        <f>IF('EVA Calcs'!V333="Y",'EVA Calcs'!C333,NA())</f>
        <v>0.33740000000000014</v>
      </c>
      <c r="B301" s="40">
        <f>IF('EVA Calcs'!V333="Y",'EVA Calcs'!D333,NA())</f>
        <v>0.81471389645776571</v>
      </c>
      <c r="C301" s="40">
        <f>IF('EVA Calcs'!V333="Y",'EVA Calcs'!E333,NA())</f>
        <v>1.5851440395059995</v>
      </c>
    </row>
    <row r="302" spans="1:3" x14ac:dyDescent="0.25">
      <c r="A302" s="40">
        <f>IF('EVA Calcs'!V334="Y",'EVA Calcs'!C334,NA())</f>
        <v>0.33740000000000014</v>
      </c>
      <c r="B302" s="40">
        <f>IF('EVA Calcs'!V334="Y",'EVA Calcs'!D334,NA())</f>
        <v>0.81743869209809261</v>
      </c>
      <c r="C302" s="40">
        <f>IF('EVA Calcs'!V334="Y",'EVA Calcs'!E334,NA())</f>
        <v>1.6015720625116241</v>
      </c>
    </row>
    <row r="303" spans="1:3" x14ac:dyDescent="0.25">
      <c r="A303" s="40">
        <f>IF('EVA Calcs'!V335="Y",'EVA Calcs'!C335,NA())</f>
        <v>0</v>
      </c>
      <c r="B303" s="40">
        <f>IF('EVA Calcs'!V335="Y",'EVA Calcs'!D335,NA())</f>
        <v>0</v>
      </c>
      <c r="C303" s="40" t="e">
        <f>IF('EVA Calcs'!V335="Y",'EVA Calcs'!E335,NA())</f>
        <v>#NUM!</v>
      </c>
    </row>
    <row r="304" spans="1:3" x14ac:dyDescent="0.25">
      <c r="B304" s="40" t="e">
        <f>IF('EVA Calcs'!V336="Y",'EVA Calcs'!D336,NA())</f>
        <v>#N/A</v>
      </c>
    </row>
  </sheetData>
  <sheetProtection sheet="1" objects="1" scenarios="1"/>
  <phoneticPr fontId="0" type="noConversion"/>
  <conditionalFormatting sqref="C3:C303 A3:A303 B3:B304">
    <cfRule type="expression" dxfId="0" priority="1" stopIfTrue="1">
      <formula>NOT(ISNUMBER($C3))</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8</vt:i4>
      </vt:variant>
      <vt:variant>
        <vt:lpstr>Charts</vt:lpstr>
      </vt:variant>
      <vt:variant>
        <vt:i4>3</vt:i4>
      </vt:variant>
      <vt:variant>
        <vt:lpstr>Named Ranges</vt:lpstr>
      </vt:variant>
      <vt:variant>
        <vt:i4>18</vt:i4>
      </vt:variant>
    </vt:vector>
  </HeadingPairs>
  <TitlesOfParts>
    <vt:vector size="29" baseType="lpstr">
      <vt:lpstr>Instructions</vt:lpstr>
      <vt:lpstr>Main</vt:lpstr>
      <vt:lpstr>EVA Calcs</vt:lpstr>
      <vt:lpstr>Corrosion Rate &amp; End of Life</vt:lpstr>
      <vt:lpstr>VBAfix</vt:lpstr>
      <vt:lpstr>VBAfix for Office 2007</vt:lpstr>
      <vt:lpstr>PDF and CDF</vt:lpstr>
      <vt:lpstr>HiddenPlotData</vt:lpstr>
      <vt:lpstr>EVA Reduced Variate Plot</vt:lpstr>
      <vt:lpstr>EVA Cumulative Probability Plot</vt:lpstr>
      <vt:lpstr>PDF Chart</vt:lpstr>
      <vt:lpstr>Answers</vt:lpstr>
      <vt:lpstr>CR</vt:lpstr>
      <vt:lpstr>Crit</vt:lpstr>
      <vt:lpstr>Date_I</vt:lpstr>
      <vt:lpstr>Date_S</vt:lpstr>
      <vt:lpstr>DB</vt:lpstr>
      <vt:lpstr>N</vt:lpstr>
      <vt:lpstr>Name</vt:lpstr>
      <vt:lpstr>Nmeas</vt:lpstr>
      <vt:lpstr>NTubes</vt:lpstr>
      <vt:lpstr>Main!Print_Area</vt:lpstr>
      <vt:lpstr>T_80</vt:lpstr>
      <vt:lpstr>T_90</vt:lpstr>
      <vt:lpstr>T_95</vt:lpstr>
      <vt:lpstr>T_99</vt:lpstr>
      <vt:lpstr>Teva</vt:lpstr>
      <vt:lpstr>Tmin</vt:lpstr>
      <vt:lpstr>Torig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EVA</dc:title>
  <dc:subject>Extreme Value Analysis of HE Tube Inspection Data</dc:subject>
  <dc:creator>David Wang</dc:creator>
  <cp:lastModifiedBy>Chandran Subramanian</cp:lastModifiedBy>
  <cp:lastPrinted>2006-04-06T13:31:50Z</cp:lastPrinted>
  <dcterms:created xsi:type="dcterms:W3CDTF">2004-07-24T11:04:01Z</dcterms:created>
  <dcterms:modified xsi:type="dcterms:W3CDTF">2026-04-24T07:13:48Z</dcterms:modified>
</cp:coreProperties>
</file>